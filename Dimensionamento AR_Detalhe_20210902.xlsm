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iliana Ramalho\PycharmProjects\Rotas Brisa\"/>
    </mc:Choice>
  </mc:AlternateContent>
  <xr:revisionPtr revIDLastSave="0" documentId="13_ncr:1_{40F32AAD-D8C2-419B-84F5-C9B0F014DE1A}" xr6:coauthVersionLast="47" xr6:coauthVersionMax="47" xr10:uidLastSave="{00000000-0000-0000-0000-000000000000}"/>
  <bookViews>
    <workbookView xWindow="-120" yWindow="-120" windowWidth="29040" windowHeight="15840" tabRatio="904" firstSheet="2" activeTab="8" xr2:uid="{1BCFA04C-0FB9-49AF-9EFA-D1A3D703A8A3}"/>
  </bookViews>
  <sheets>
    <sheet name="Menu" sheetId="26" r:id="rId1"/>
    <sheet name="Parametros" sheetId="56" r:id="rId2"/>
    <sheet name="Inputs - 1. Nós" sheetId="27" r:id="rId3"/>
    <sheet name="Inputs - 2. Distâncias" sheetId="50" r:id="rId4"/>
    <sheet name="Inputs - 3. Turno" sheetId="30" r:id="rId5"/>
    <sheet name="Inputs - 4. Paragens Obrig." sheetId="39" r:id="rId6"/>
    <sheet name="Inputs - 5. Áreas Serviço" sheetId="53" r:id="rId7"/>
    <sheet name="Inputs - 6. Probabilidades" sheetId="40" r:id="rId8"/>
    <sheet name="Dados Solução Carro 1" sheetId="33" r:id="rId9"/>
    <sheet name="Mapa visual_1" sheetId="41" r:id="rId10"/>
    <sheet name="Dados Solução Carro 2" sheetId="45" state="hidden" r:id="rId11"/>
    <sheet name="Mapa visual_2" sheetId="42" state="hidden" r:id="rId12"/>
    <sheet name="01. nos" sheetId="46" r:id="rId13"/>
    <sheet name="02. distancias" sheetId="51" r:id="rId14"/>
    <sheet name="03. turnos" sheetId="47" r:id="rId15"/>
    <sheet name="04. pausas obrigatorias" sheetId="48" r:id="rId16"/>
    <sheet name="05. areas de servico" sheetId="54" r:id="rId17"/>
    <sheet name="probabilidades sem zeros" sheetId="49" r:id="rId18"/>
    <sheet name="probabilidades com zeros" sheetId="55" r:id="rId19"/>
  </sheets>
  <functionGroups builtInGroupCount="19"/>
  <definedNames>
    <definedName name="ExternalData_1" localSheetId="10" hidden="1">'Dados Solução Carro 2'!$B$5:$F$256</definedName>
    <definedName name="ExternalData_1" localSheetId="9" hidden="1">'Mapa visual_1'!$AG$1:$AL$166</definedName>
    <definedName name="ExternalData_1" localSheetId="11" hidden="1">'Mapa visual_2'!$A$1:$D$56</definedName>
    <definedName name="ExternalData_2" localSheetId="10" hidden="1">'Dados Solução Carro 2'!$S$5:$T$9</definedName>
    <definedName name="ExternalData_2" localSheetId="9" hidden="1">'Mapa visual_1'!$AZ$1:$BA$9</definedName>
    <definedName name="ExternalData_3" localSheetId="8" hidden="1">'Dados Solução Carro 1'!$S$6:$AB$438</definedName>
    <definedName name="ExternalData_4" localSheetId="8" hidden="1">'Dados Solução Carro 1'!$AF$6:$AG$38</definedName>
    <definedName name="FilePath">Menu!$M$10</definedName>
    <definedName name="hora_inicio">Parametros!$C$12</definedName>
    <definedName name="n_voltas_visual_1">'Mapa visual_1'!$B$2</definedName>
    <definedName name="sol1_detalhe">Menu!$M$14</definedName>
    <definedName name="sol1_filepath">Menu!$M$13</definedName>
    <definedName name="sol1_tempo_passagem">Menu!$M$16</definedName>
    <definedName name="sol1_tempo_resposta">Menu!$M$15</definedName>
    <definedName name="sol2_detalhe">Menu!$M$20</definedName>
    <definedName name="sol2_filepath">Menu!$M$19</definedName>
    <definedName name="sol2_tempo_resposta">Menu!$M$21</definedName>
    <definedName name="velocidade_nos">Parametros!$C$7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2" i="41" l="1"/>
  <c r="AM2" i="41" s="1"/>
  <c r="AO6" i="41"/>
  <c r="AM6" i="41" s="1"/>
  <c r="AO7" i="41"/>
  <c r="AM7" i="41" s="1"/>
  <c r="AO10" i="41"/>
  <c r="AM10" i="41" s="1"/>
  <c r="AO11" i="41"/>
  <c r="AM11" i="41" s="1"/>
  <c r="AO12" i="41"/>
  <c r="AM12" i="41" s="1"/>
  <c r="AO13" i="41"/>
  <c r="AM13" i="41" s="1"/>
  <c r="AO14" i="41"/>
  <c r="AM14" i="41" s="1"/>
  <c r="AO15" i="41"/>
  <c r="AM15" i="41" s="1"/>
  <c r="AO16" i="41"/>
  <c r="AM16" i="41" s="1"/>
  <c r="AO17" i="41"/>
  <c r="AM17" i="41" s="1"/>
  <c r="AO18" i="41"/>
  <c r="AM18" i="41" s="1"/>
  <c r="AO19" i="41"/>
  <c r="AM19" i="41" s="1"/>
  <c r="AO20" i="41"/>
  <c r="AM20" i="41" s="1"/>
  <c r="AO21" i="41"/>
  <c r="AM21" i="41" s="1"/>
  <c r="AO22" i="41"/>
  <c r="AM22" i="41" s="1"/>
  <c r="AO23" i="41"/>
  <c r="AM23" i="41" s="1"/>
  <c r="AO24" i="41"/>
  <c r="AM24" i="41" s="1"/>
  <c r="AO25" i="41"/>
  <c r="AM25" i="41" s="1"/>
  <c r="AO26" i="41"/>
  <c r="AM26" i="41" s="1"/>
  <c r="AO27" i="41"/>
  <c r="AM27" i="41" s="1"/>
  <c r="AO28" i="41"/>
  <c r="AM28" i="41" s="1"/>
  <c r="AO29" i="41"/>
  <c r="AM29" i="41" s="1"/>
  <c r="AO30" i="41"/>
  <c r="AM30" i="41" s="1"/>
  <c r="AO31" i="41"/>
  <c r="AM31" i="41" s="1"/>
  <c r="AO32" i="41"/>
  <c r="AM32" i="41" s="1"/>
  <c r="AO33" i="41"/>
  <c r="AO34" i="41" s="1"/>
  <c r="AM34" i="41" s="1"/>
  <c r="AO35" i="41"/>
  <c r="AM35" i="41" s="1"/>
  <c r="AO36" i="41"/>
  <c r="AM36" i="41" s="1"/>
  <c r="AO37" i="41"/>
  <c r="AM37" i="41" s="1"/>
  <c r="AO38" i="41"/>
  <c r="AM38" i="41" s="1"/>
  <c r="AO39" i="41"/>
  <c r="AM39" i="41" s="1"/>
  <c r="AO40" i="41"/>
  <c r="AM40" i="41" s="1"/>
  <c r="AO41" i="41"/>
  <c r="AM41" i="41" s="1"/>
  <c r="AO42" i="41"/>
  <c r="AM42" i="41" s="1"/>
  <c r="AO43" i="41"/>
  <c r="AM43" i="41" s="1"/>
  <c r="AO44" i="41"/>
  <c r="AM44" i="41" s="1"/>
  <c r="AO45" i="41"/>
  <c r="AM45" i="41" s="1"/>
  <c r="AO46" i="41"/>
  <c r="AM46" i="41" s="1"/>
  <c r="AO47" i="41"/>
  <c r="AM47" i="41" s="1"/>
  <c r="AO48" i="41"/>
  <c r="AM48" i="41" s="1"/>
  <c r="AO49" i="41"/>
  <c r="AM49" i="41" s="1"/>
  <c r="AO50" i="41"/>
  <c r="AM50" i="41" s="1"/>
  <c r="AO51" i="41"/>
  <c r="AM51" i="41" s="1"/>
  <c r="AO52" i="41"/>
  <c r="AM52" i="41" s="1"/>
  <c r="AO53" i="41"/>
  <c r="AM53" i="41" s="1"/>
  <c r="AO54" i="41"/>
  <c r="AM54" i="41" s="1"/>
  <c r="AO61" i="41"/>
  <c r="AM61" i="41" s="1"/>
  <c r="AO62" i="41"/>
  <c r="AM62" i="41" s="1"/>
  <c r="AO64" i="41"/>
  <c r="AM64" i="41" s="1"/>
  <c r="AO65" i="41"/>
  <c r="AM65" i="41" s="1"/>
  <c r="AO66" i="41"/>
  <c r="AM66" i="41" s="1"/>
  <c r="AO67" i="41"/>
  <c r="AM67" i="41" s="1"/>
  <c r="AO68" i="41"/>
  <c r="AM68" i="41" s="1"/>
  <c r="AO69" i="41"/>
  <c r="AM69" i="41" s="1"/>
  <c r="AO70" i="41"/>
  <c r="AM70" i="41" s="1"/>
  <c r="AO71" i="41"/>
  <c r="AM71" i="41" s="1"/>
  <c r="AO72" i="41"/>
  <c r="AM72" i="41" s="1"/>
  <c r="AO73" i="41"/>
  <c r="AM73" i="41" s="1"/>
  <c r="AO74" i="41"/>
  <c r="AM74" i="41" s="1"/>
  <c r="AO75" i="41"/>
  <c r="AM75" i="41" s="1"/>
  <c r="AO76" i="41"/>
  <c r="AM76" i="41" s="1"/>
  <c r="AO77" i="41"/>
  <c r="AM77" i="41" s="1"/>
  <c r="AO78" i="41"/>
  <c r="AM78" i="41" s="1"/>
  <c r="AO79" i="41"/>
  <c r="AM79" i="41" s="1"/>
  <c r="AO80" i="41"/>
  <c r="AM80" i="41" s="1"/>
  <c r="AO81" i="41"/>
  <c r="AM81" i="41" s="1"/>
  <c r="AO82" i="41"/>
  <c r="AM82" i="41" s="1"/>
  <c r="AO83" i="41"/>
  <c r="AM83" i="41" s="1"/>
  <c r="AO84" i="41"/>
  <c r="AM84" i="41" s="1"/>
  <c r="AO85" i="41"/>
  <c r="AM85" i="41" s="1"/>
  <c r="AO86" i="41"/>
  <c r="AM86" i="41" s="1"/>
  <c r="AO88" i="41"/>
  <c r="AM88" i="41" s="1"/>
  <c r="AO89" i="41"/>
  <c r="AM89" i="41" s="1"/>
  <c r="AO90" i="41"/>
  <c r="AM90" i="41" s="1"/>
  <c r="AO91" i="41"/>
  <c r="AM91" i="41" s="1"/>
  <c r="AO92" i="41"/>
  <c r="AM92" i="41" s="1"/>
  <c r="AO93" i="41"/>
  <c r="AM93" i="41" s="1"/>
  <c r="AO94" i="41"/>
  <c r="AM94" i="41" s="1"/>
  <c r="AO95" i="41"/>
  <c r="AM95" i="41" s="1"/>
  <c r="AO96" i="41"/>
  <c r="AM96" i="41" s="1"/>
  <c r="AO97" i="41"/>
  <c r="AM97" i="41" s="1"/>
  <c r="AO98" i="41"/>
  <c r="AM98" i="41" s="1"/>
  <c r="AO99" i="41"/>
  <c r="AM99" i="41" s="1"/>
  <c r="AO100" i="41"/>
  <c r="AM100" i="41" s="1"/>
  <c r="AO101" i="41"/>
  <c r="AM101" i="41" s="1"/>
  <c r="AO102" i="41"/>
  <c r="AM102" i="41" s="1"/>
  <c r="AO103" i="41"/>
  <c r="AM103" i="41" s="1"/>
  <c r="AO104" i="41"/>
  <c r="AM104" i="41" s="1"/>
  <c r="AO105" i="41"/>
  <c r="AM105" i="41" s="1"/>
  <c r="AO106" i="41"/>
  <c r="AM106" i="41" s="1"/>
  <c r="AO107" i="41"/>
  <c r="AM107" i="41" s="1"/>
  <c r="AO108" i="41"/>
  <c r="AM108" i="41" s="1"/>
  <c r="AO109" i="41"/>
  <c r="AO116" i="41"/>
  <c r="AM116" i="41" s="1"/>
  <c r="AO117" i="41"/>
  <c r="AO119" i="41"/>
  <c r="AM119" i="41" s="1"/>
  <c r="AO120" i="41"/>
  <c r="AM120" i="41" s="1"/>
  <c r="AO121" i="41"/>
  <c r="AM121" i="41" s="1"/>
  <c r="AO122" i="41"/>
  <c r="AM122" i="41" s="1"/>
  <c r="AO123" i="41"/>
  <c r="AM123" i="41" s="1"/>
  <c r="AO124" i="41"/>
  <c r="AM124" i="41" s="1"/>
  <c r="AO125" i="41"/>
  <c r="AM125" i="41" s="1"/>
  <c r="AO126" i="41"/>
  <c r="AM126" i="41" s="1"/>
  <c r="AO127" i="41"/>
  <c r="AM127" i="41" s="1"/>
  <c r="AO128" i="41"/>
  <c r="AM128" i="41" s="1"/>
  <c r="AO129" i="41"/>
  <c r="AM129" i="41" s="1"/>
  <c r="AO130" i="41"/>
  <c r="AM130" i="41" s="1"/>
  <c r="AO131" i="41"/>
  <c r="AM131" i="41" s="1"/>
  <c r="AO132" i="41"/>
  <c r="AM132" i="41" s="1"/>
  <c r="AO133" i="41"/>
  <c r="AM133" i="41" s="1"/>
  <c r="AO134" i="41"/>
  <c r="AM134" i="41" s="1"/>
  <c r="AO135" i="41"/>
  <c r="AM135" i="41" s="1"/>
  <c r="AO136" i="41"/>
  <c r="AM136" i="41" s="1"/>
  <c r="AO137" i="41"/>
  <c r="AM137" i="41" s="1"/>
  <c r="AO138" i="41"/>
  <c r="AM138" i="41" s="1"/>
  <c r="AO139" i="41"/>
  <c r="AM139" i="41" s="1"/>
  <c r="AO140" i="41"/>
  <c r="AM140" i="41" s="1"/>
  <c r="AO141" i="41"/>
  <c r="AO143" i="41"/>
  <c r="AM143" i="41" s="1"/>
  <c r="AO144" i="41"/>
  <c r="AM144" i="41" s="1"/>
  <c r="AO145" i="41"/>
  <c r="AM145" i="41" s="1"/>
  <c r="AO146" i="41"/>
  <c r="AM146" i="41" s="1"/>
  <c r="AO147" i="41"/>
  <c r="AM147" i="41" s="1"/>
  <c r="AO148" i="41"/>
  <c r="AM148" i="41" s="1"/>
  <c r="AO149" i="41"/>
  <c r="AM149" i="41" s="1"/>
  <c r="AO150" i="41"/>
  <c r="AM150" i="41" s="1"/>
  <c r="AO151" i="41"/>
  <c r="AM151" i="41" s="1"/>
  <c r="AO152" i="41"/>
  <c r="AM152" i="41" s="1"/>
  <c r="AO153" i="41"/>
  <c r="AM153" i="41" s="1"/>
  <c r="AO154" i="41"/>
  <c r="AM154" i="41" s="1"/>
  <c r="AO155" i="41"/>
  <c r="AM155" i="41" s="1"/>
  <c r="AO156" i="41"/>
  <c r="AM156" i="41" s="1"/>
  <c r="AO157" i="41"/>
  <c r="AM157" i="41" s="1"/>
  <c r="AO158" i="41"/>
  <c r="AM158" i="41" s="1"/>
  <c r="AO159" i="41"/>
  <c r="AM159" i="41" s="1"/>
  <c r="AO160" i="41"/>
  <c r="AM160" i="41" s="1"/>
  <c r="AO161" i="41"/>
  <c r="AM161" i="41" s="1"/>
  <c r="AO162" i="41"/>
  <c r="AM162" i="41" s="1"/>
  <c r="AO163" i="41"/>
  <c r="AM163" i="41" s="1"/>
  <c r="AO164" i="41"/>
  <c r="AM164" i="41" s="1"/>
  <c r="AO166" i="41"/>
  <c r="AM166" i="41" s="1"/>
  <c r="AS2" i="41"/>
  <c r="AS3" i="41"/>
  <c r="AS4" i="41"/>
  <c r="AS7" i="41"/>
  <c r="AS8" i="41"/>
  <c r="AS19" i="41"/>
  <c r="AS22" i="41"/>
  <c r="AS33" i="41"/>
  <c r="AS54" i="41"/>
  <c r="AS55" i="41"/>
  <c r="AS56" i="41"/>
  <c r="AS57" i="41"/>
  <c r="AS58" i="41"/>
  <c r="AS59" i="41"/>
  <c r="AS62" i="41"/>
  <c r="AS75" i="41"/>
  <c r="AS86" i="41"/>
  <c r="AS109" i="41"/>
  <c r="AS110" i="41"/>
  <c r="AS111" i="41"/>
  <c r="AS112" i="41"/>
  <c r="AS113" i="41"/>
  <c r="AS114" i="41"/>
  <c r="AS117" i="41"/>
  <c r="AS130" i="41"/>
  <c r="AS141" i="41"/>
  <c r="AS164" i="41"/>
  <c r="AU2" i="41"/>
  <c r="AU3" i="41"/>
  <c r="AU5" i="41"/>
  <c r="AU6" i="41"/>
  <c r="AU7" i="41"/>
  <c r="AU8" i="41"/>
  <c r="AU9" i="41"/>
  <c r="AU10" i="41"/>
  <c r="AU11" i="41"/>
  <c r="AU12" i="41"/>
  <c r="AU13" i="41"/>
  <c r="AU14" i="41"/>
  <c r="AU15" i="41"/>
  <c r="AU16" i="41"/>
  <c r="AU17" i="41"/>
  <c r="AU18" i="41"/>
  <c r="AU19" i="41"/>
  <c r="AU20" i="41"/>
  <c r="AU21" i="41"/>
  <c r="AU22" i="41"/>
  <c r="AU23" i="41"/>
  <c r="AU24" i="41"/>
  <c r="AU25" i="41"/>
  <c r="AU26" i="41"/>
  <c r="AU27" i="41"/>
  <c r="AU28" i="41"/>
  <c r="AU29" i="41"/>
  <c r="AU30" i="41"/>
  <c r="AU31" i="41"/>
  <c r="AU32" i="41"/>
  <c r="AU33" i="41"/>
  <c r="AU34" i="41"/>
  <c r="AU35" i="41"/>
  <c r="AU36" i="41"/>
  <c r="AU37" i="41"/>
  <c r="AU38" i="41"/>
  <c r="AU39" i="41"/>
  <c r="AU40" i="41"/>
  <c r="AU41" i="41"/>
  <c r="AU42" i="41"/>
  <c r="AU43" i="41"/>
  <c r="AU44" i="41"/>
  <c r="AU45" i="41"/>
  <c r="AU46" i="41"/>
  <c r="AU47" i="41"/>
  <c r="AU48" i="41"/>
  <c r="AU49" i="41"/>
  <c r="AU50" i="41"/>
  <c r="AU51" i="41"/>
  <c r="AU52" i="41"/>
  <c r="AU53" i="41"/>
  <c r="AU54" i="41"/>
  <c r="AU55" i="41"/>
  <c r="AU56" i="41"/>
  <c r="AU57" i="41"/>
  <c r="AU58" i="41"/>
  <c r="AU60" i="41"/>
  <c r="AU61" i="41"/>
  <c r="AU62" i="41"/>
  <c r="AU63" i="41"/>
  <c r="AU64" i="41"/>
  <c r="AU65" i="41"/>
  <c r="AU66" i="41"/>
  <c r="AU67" i="41"/>
  <c r="AU68" i="41"/>
  <c r="AU69" i="41"/>
  <c r="AU70" i="41"/>
  <c r="AU71" i="41"/>
  <c r="AU72" i="41"/>
  <c r="AU73" i="41"/>
  <c r="AU74" i="41"/>
  <c r="AU75" i="41"/>
  <c r="AU76" i="41"/>
  <c r="AU77" i="41"/>
  <c r="AU78" i="41"/>
  <c r="AU79" i="41"/>
  <c r="AU80" i="41"/>
  <c r="AU81" i="41"/>
  <c r="AU82" i="41"/>
  <c r="AU83" i="41"/>
  <c r="AU84" i="41"/>
  <c r="AU85" i="41"/>
  <c r="AU86" i="41"/>
  <c r="AU87" i="41"/>
  <c r="AU88" i="41"/>
  <c r="AU89" i="41"/>
  <c r="AU90" i="41"/>
  <c r="AU91" i="41"/>
  <c r="AU92" i="41"/>
  <c r="AU93" i="41"/>
  <c r="AU94" i="41"/>
  <c r="AU95" i="41"/>
  <c r="AU96" i="41"/>
  <c r="AU97" i="41"/>
  <c r="AU98" i="41"/>
  <c r="AU99" i="41"/>
  <c r="AU100" i="41"/>
  <c r="AU101" i="41"/>
  <c r="AU102" i="41"/>
  <c r="AU103" i="41"/>
  <c r="AU104" i="41"/>
  <c r="AU105" i="41"/>
  <c r="AU106" i="41"/>
  <c r="AU107" i="41"/>
  <c r="AU108" i="41"/>
  <c r="AU109" i="41"/>
  <c r="AU110" i="41"/>
  <c r="AU111" i="41"/>
  <c r="AU112" i="41"/>
  <c r="AU113" i="41"/>
  <c r="AU115" i="41"/>
  <c r="AU116" i="41"/>
  <c r="AU117" i="41"/>
  <c r="AU118" i="41"/>
  <c r="AU119" i="41"/>
  <c r="AU120" i="41"/>
  <c r="AU121" i="41"/>
  <c r="AU122" i="41"/>
  <c r="AU123" i="41"/>
  <c r="AU124" i="41"/>
  <c r="AU125" i="41"/>
  <c r="AU126" i="41"/>
  <c r="AU127" i="41"/>
  <c r="AU128" i="41"/>
  <c r="AU129" i="41"/>
  <c r="AU130" i="41"/>
  <c r="AU131" i="41"/>
  <c r="AU132" i="41"/>
  <c r="AU133" i="41"/>
  <c r="AU134" i="41"/>
  <c r="AU135" i="41"/>
  <c r="AU136" i="41"/>
  <c r="AU137" i="41"/>
  <c r="AU138" i="41"/>
  <c r="AU139" i="41"/>
  <c r="AU140" i="41"/>
  <c r="AU141" i="41"/>
  <c r="AU142" i="41"/>
  <c r="AU143" i="41"/>
  <c r="AU144" i="41"/>
  <c r="AU145" i="41"/>
  <c r="AU146" i="41"/>
  <c r="AU147" i="41"/>
  <c r="AU148" i="41"/>
  <c r="AU149" i="41"/>
  <c r="AU150" i="41"/>
  <c r="AU151" i="41"/>
  <c r="AU152" i="41"/>
  <c r="AU153" i="41"/>
  <c r="AU154" i="41"/>
  <c r="AU155" i="41"/>
  <c r="AU156" i="41"/>
  <c r="AU157" i="41"/>
  <c r="AU158" i="41"/>
  <c r="AU159" i="41"/>
  <c r="AU160" i="41"/>
  <c r="AU161" i="41"/>
  <c r="AU162" i="41"/>
  <c r="AU163" i="41"/>
  <c r="AU164" i="41"/>
  <c r="AU165" i="41"/>
  <c r="AU166" i="41"/>
  <c r="AC7" i="33"/>
  <c r="AC8" i="33"/>
  <c r="AC9" i="33"/>
  <c r="AC10" i="33"/>
  <c r="AC11" i="33"/>
  <c r="AC12" i="33"/>
  <c r="AC13" i="33"/>
  <c r="AC14" i="33"/>
  <c r="AH14" i="33" s="1"/>
  <c r="AC15" i="33"/>
  <c r="AC16" i="33"/>
  <c r="AC17" i="33"/>
  <c r="AC18" i="33"/>
  <c r="AC19" i="33"/>
  <c r="AC20" i="33"/>
  <c r="AC21" i="33"/>
  <c r="AC22" i="33"/>
  <c r="AH7" i="33" s="1"/>
  <c r="AC23" i="33"/>
  <c r="AC24" i="33"/>
  <c r="AC25" i="33"/>
  <c r="AC26" i="33"/>
  <c r="AC27" i="33"/>
  <c r="AC28" i="33"/>
  <c r="AC29" i="33"/>
  <c r="AC30" i="33"/>
  <c r="AH13" i="33" s="1"/>
  <c r="AC31" i="33"/>
  <c r="AC32" i="33"/>
  <c r="AC33" i="33"/>
  <c r="AC34" i="33"/>
  <c r="AC35" i="33"/>
  <c r="AC36" i="33"/>
  <c r="AC37" i="33"/>
  <c r="AC38" i="33"/>
  <c r="AH8" i="33" s="1"/>
  <c r="AC39" i="33"/>
  <c r="AC40" i="33"/>
  <c r="AC41" i="33"/>
  <c r="AC42" i="33"/>
  <c r="AC43" i="33"/>
  <c r="AC44" i="33"/>
  <c r="AC45" i="33"/>
  <c r="AC46" i="33"/>
  <c r="AH12" i="33" s="1"/>
  <c r="AC47" i="33"/>
  <c r="AC48" i="33"/>
  <c r="AC49" i="33"/>
  <c r="AC50" i="33"/>
  <c r="AC51" i="33"/>
  <c r="AC52" i="33"/>
  <c r="AC53" i="33"/>
  <c r="AC54" i="33"/>
  <c r="AC55" i="33"/>
  <c r="AC56" i="33"/>
  <c r="AC57" i="33"/>
  <c r="AC58" i="33"/>
  <c r="AC59" i="33"/>
  <c r="AC60" i="33"/>
  <c r="AC61" i="33"/>
  <c r="AC62" i="33"/>
  <c r="AC63" i="33"/>
  <c r="AC64" i="33"/>
  <c r="AC65" i="33"/>
  <c r="AC66" i="33"/>
  <c r="AC67" i="33"/>
  <c r="AC68" i="33"/>
  <c r="AC69" i="33"/>
  <c r="AC70" i="33"/>
  <c r="AC71" i="33"/>
  <c r="AC72" i="33"/>
  <c r="AC73" i="33"/>
  <c r="AC74" i="33"/>
  <c r="AC75" i="33"/>
  <c r="AC76" i="33"/>
  <c r="AC77" i="33"/>
  <c r="AC78" i="33"/>
  <c r="AC79" i="33"/>
  <c r="AC80" i="33"/>
  <c r="AC81" i="33"/>
  <c r="AC82" i="33"/>
  <c r="AC83" i="33"/>
  <c r="AC84" i="33"/>
  <c r="AC85" i="33"/>
  <c r="AC86" i="33"/>
  <c r="AH20" i="33" s="1"/>
  <c r="AC87" i="33"/>
  <c r="AC88" i="33"/>
  <c r="AC89" i="33"/>
  <c r="AC90" i="33"/>
  <c r="AC91" i="33"/>
  <c r="AC92" i="33"/>
  <c r="AC93" i="33"/>
  <c r="AC94" i="33"/>
  <c r="AH16" i="33" s="1"/>
  <c r="AC95" i="33"/>
  <c r="AC96" i="33"/>
  <c r="AC97" i="33"/>
  <c r="AC98" i="33"/>
  <c r="AC99" i="33"/>
  <c r="AC100" i="33"/>
  <c r="AC101" i="33"/>
  <c r="AC102" i="33"/>
  <c r="AH22" i="33" s="1"/>
  <c r="AC103" i="33"/>
  <c r="AC104" i="33"/>
  <c r="AC105" i="33"/>
  <c r="AC106" i="33"/>
  <c r="AC107" i="33"/>
  <c r="AC108" i="33"/>
  <c r="AC109" i="33"/>
  <c r="AC110" i="33"/>
  <c r="AH15" i="33" s="1"/>
  <c r="AC111" i="33"/>
  <c r="AC112" i="33"/>
  <c r="AC113" i="33"/>
  <c r="AC114" i="33"/>
  <c r="AC115" i="33"/>
  <c r="AC116" i="33"/>
  <c r="AC117" i="33"/>
  <c r="AC118" i="33"/>
  <c r="AH21" i="33" s="1"/>
  <c r="AC119" i="33"/>
  <c r="AC120" i="33"/>
  <c r="AC121" i="33"/>
  <c r="AC122" i="33"/>
  <c r="AC123" i="33"/>
  <c r="AC124" i="33"/>
  <c r="AC125" i="33"/>
  <c r="AC126" i="33"/>
  <c r="AC127" i="33"/>
  <c r="AC128" i="33"/>
  <c r="AC129" i="33"/>
  <c r="AC130" i="33"/>
  <c r="AC131" i="33"/>
  <c r="AC132" i="33"/>
  <c r="AC133" i="33"/>
  <c r="AC134" i="33"/>
  <c r="AC135" i="33"/>
  <c r="AC136" i="33"/>
  <c r="AC137" i="33"/>
  <c r="AC138" i="33"/>
  <c r="AC139" i="33"/>
  <c r="AC140" i="33"/>
  <c r="AC141" i="33"/>
  <c r="AC142" i="33"/>
  <c r="AC143" i="33"/>
  <c r="AC144" i="33"/>
  <c r="AC145" i="33"/>
  <c r="AC146" i="33"/>
  <c r="AC147" i="33"/>
  <c r="AC148" i="33"/>
  <c r="AC149" i="33"/>
  <c r="AC150" i="33"/>
  <c r="AC151" i="33"/>
  <c r="AC152" i="33"/>
  <c r="AC153" i="33"/>
  <c r="AC154" i="33"/>
  <c r="AC155" i="33"/>
  <c r="AC156" i="33"/>
  <c r="AC157" i="33"/>
  <c r="AC158" i="33"/>
  <c r="AC159" i="33"/>
  <c r="AC160" i="33"/>
  <c r="AC161" i="33"/>
  <c r="AC162" i="33"/>
  <c r="AC163" i="33"/>
  <c r="AC164" i="33"/>
  <c r="AC165" i="33"/>
  <c r="AC166" i="33"/>
  <c r="AC167" i="33"/>
  <c r="AC168" i="33"/>
  <c r="AC169" i="33"/>
  <c r="AC170" i="33"/>
  <c r="AC171" i="33"/>
  <c r="AC172" i="33"/>
  <c r="AC173" i="33"/>
  <c r="AC174" i="33"/>
  <c r="AH30" i="33" s="1"/>
  <c r="AC175" i="33"/>
  <c r="AC176" i="33"/>
  <c r="AC177" i="33"/>
  <c r="AC178" i="33"/>
  <c r="AC179" i="33"/>
  <c r="AC180" i="33"/>
  <c r="AC181" i="33"/>
  <c r="AC182" i="33"/>
  <c r="AH23" i="33" s="1"/>
  <c r="AC183" i="33"/>
  <c r="AC184" i="33"/>
  <c r="AC185" i="33"/>
  <c r="AC186" i="33"/>
  <c r="AC187" i="33"/>
  <c r="AC188" i="33"/>
  <c r="AC189" i="33"/>
  <c r="AC190" i="33"/>
  <c r="AH29" i="33" s="1"/>
  <c r="AC191" i="33"/>
  <c r="AC192" i="33"/>
  <c r="AC193" i="33"/>
  <c r="AC194" i="33"/>
  <c r="AC195" i="33"/>
  <c r="AC196" i="33"/>
  <c r="AC197" i="33"/>
  <c r="AC198" i="33"/>
  <c r="AC199" i="33"/>
  <c r="AC200" i="33"/>
  <c r="AC201" i="33"/>
  <c r="AC202" i="33"/>
  <c r="AC203" i="33"/>
  <c r="AC204" i="33"/>
  <c r="AC205" i="33"/>
  <c r="AC206" i="33"/>
  <c r="AC207" i="33"/>
  <c r="AC208" i="33"/>
  <c r="AC209" i="33"/>
  <c r="AC210" i="33"/>
  <c r="AC211" i="33"/>
  <c r="AC212" i="33"/>
  <c r="AC213" i="33"/>
  <c r="AC214" i="33"/>
  <c r="AC215" i="33"/>
  <c r="AC216" i="33"/>
  <c r="AC217" i="33"/>
  <c r="AC218" i="33"/>
  <c r="AC219" i="33"/>
  <c r="AC220" i="33"/>
  <c r="AC221" i="33"/>
  <c r="AC222" i="33"/>
  <c r="AC223" i="33"/>
  <c r="AC224" i="33"/>
  <c r="AC225" i="33"/>
  <c r="AC226" i="33"/>
  <c r="AC227" i="33"/>
  <c r="AC228" i="33"/>
  <c r="AC229" i="33"/>
  <c r="AC230" i="33"/>
  <c r="AC231" i="33"/>
  <c r="AC232" i="33"/>
  <c r="AC233" i="33"/>
  <c r="AC234" i="33"/>
  <c r="AC235" i="33"/>
  <c r="AC236" i="33"/>
  <c r="AC237" i="33"/>
  <c r="AC238" i="33"/>
  <c r="AC239" i="33"/>
  <c r="AC240" i="33"/>
  <c r="AC241" i="33"/>
  <c r="AC242" i="33"/>
  <c r="AC243" i="33"/>
  <c r="AC244" i="33"/>
  <c r="AC245" i="33"/>
  <c r="AC246" i="33"/>
  <c r="AC247" i="33"/>
  <c r="AC248" i="33"/>
  <c r="AC249" i="33"/>
  <c r="AC250" i="33"/>
  <c r="AC251" i="33"/>
  <c r="AC252" i="33"/>
  <c r="AC253" i="33"/>
  <c r="AC254" i="33"/>
  <c r="AC255" i="33"/>
  <c r="AC256" i="33"/>
  <c r="AC257" i="33"/>
  <c r="AC258" i="33"/>
  <c r="AC259" i="33"/>
  <c r="AC260" i="33"/>
  <c r="AC261" i="33"/>
  <c r="AC262" i="33"/>
  <c r="AC263" i="33"/>
  <c r="AC264" i="33"/>
  <c r="AC265" i="33"/>
  <c r="AC266" i="33"/>
  <c r="AC267" i="33"/>
  <c r="AC268" i="33"/>
  <c r="AC269" i="33"/>
  <c r="AC270" i="33"/>
  <c r="AC271" i="33"/>
  <c r="AC272" i="33"/>
  <c r="AC273" i="33"/>
  <c r="AC274" i="33"/>
  <c r="AC275" i="33"/>
  <c r="AC276" i="33"/>
  <c r="AC277" i="33"/>
  <c r="AC278" i="33"/>
  <c r="AC279" i="33"/>
  <c r="AC280" i="33"/>
  <c r="AC281" i="33"/>
  <c r="AC282" i="33"/>
  <c r="AC283" i="33"/>
  <c r="AC284" i="33"/>
  <c r="AC285" i="33"/>
  <c r="AC286" i="33"/>
  <c r="AC287" i="33"/>
  <c r="AC288" i="33"/>
  <c r="AC289" i="33"/>
  <c r="AC290" i="33"/>
  <c r="AC291" i="33"/>
  <c r="AC292" i="33"/>
  <c r="AC293" i="33"/>
  <c r="AC294" i="33"/>
  <c r="AC295" i="33"/>
  <c r="AC296" i="33"/>
  <c r="AC297" i="33"/>
  <c r="AC298" i="33"/>
  <c r="AC299" i="33"/>
  <c r="AC300" i="33"/>
  <c r="AC301" i="33"/>
  <c r="AC302" i="33"/>
  <c r="AC303" i="33"/>
  <c r="AC304" i="33"/>
  <c r="AC305" i="33"/>
  <c r="AC306" i="33"/>
  <c r="AC307" i="33"/>
  <c r="AC308" i="33"/>
  <c r="AC309" i="33"/>
  <c r="AC310" i="33"/>
  <c r="AC311" i="33"/>
  <c r="AC312" i="33"/>
  <c r="AC313" i="33"/>
  <c r="AC314" i="33"/>
  <c r="AC315" i="33"/>
  <c r="AC316" i="33"/>
  <c r="AC317" i="33"/>
  <c r="AC318" i="33"/>
  <c r="AC319" i="33"/>
  <c r="AC320" i="33"/>
  <c r="AC321" i="33"/>
  <c r="AC322" i="33"/>
  <c r="AC323" i="33"/>
  <c r="AC324" i="33"/>
  <c r="AC325" i="33"/>
  <c r="AC326" i="33"/>
  <c r="AC327" i="33"/>
  <c r="AC328" i="33"/>
  <c r="AC329" i="33"/>
  <c r="AC330" i="33"/>
  <c r="AC331" i="33"/>
  <c r="AC332" i="33"/>
  <c r="AC333" i="33"/>
  <c r="AC334" i="33"/>
  <c r="AC335" i="33"/>
  <c r="AC336" i="33"/>
  <c r="AC337" i="33"/>
  <c r="AC338" i="33"/>
  <c r="AC339" i="33"/>
  <c r="AC340" i="33"/>
  <c r="AC341" i="33"/>
  <c r="AC342" i="33"/>
  <c r="AC343" i="33"/>
  <c r="AC344" i="33"/>
  <c r="AC345" i="33"/>
  <c r="AC346" i="33"/>
  <c r="AC347" i="33"/>
  <c r="AC348" i="33"/>
  <c r="AC349" i="33"/>
  <c r="AC350" i="33"/>
  <c r="AC351" i="33"/>
  <c r="AC352" i="33"/>
  <c r="AC353" i="33"/>
  <c r="AC354" i="33"/>
  <c r="AC355" i="33"/>
  <c r="AC356" i="33"/>
  <c r="AC357" i="33"/>
  <c r="AC358" i="33"/>
  <c r="AC359" i="33"/>
  <c r="AC360" i="33"/>
  <c r="AC361" i="33"/>
  <c r="AC362" i="33"/>
  <c r="AC363" i="33"/>
  <c r="AC364" i="33"/>
  <c r="AC365" i="33"/>
  <c r="AC366" i="33"/>
  <c r="AC367" i="33"/>
  <c r="AC368" i="33"/>
  <c r="AC369" i="33"/>
  <c r="AC370" i="33"/>
  <c r="AC371" i="33"/>
  <c r="AC372" i="33"/>
  <c r="AC373" i="33"/>
  <c r="AC374" i="33"/>
  <c r="AH38" i="33" s="1"/>
  <c r="AC375" i="33"/>
  <c r="AC376" i="33"/>
  <c r="AC377" i="33"/>
  <c r="AC378" i="33"/>
  <c r="AC379" i="33"/>
  <c r="AC380" i="33"/>
  <c r="AC381" i="33"/>
  <c r="AC382" i="33"/>
  <c r="AC383" i="33"/>
  <c r="AC384" i="33"/>
  <c r="AC385" i="33"/>
  <c r="AC386" i="33"/>
  <c r="AC387" i="33"/>
  <c r="AC388" i="33"/>
  <c r="AC389" i="33"/>
  <c r="AC390" i="33"/>
  <c r="AC391" i="33"/>
  <c r="AC392" i="33"/>
  <c r="AC393" i="33"/>
  <c r="AC394" i="33"/>
  <c r="AC395" i="33"/>
  <c r="AC396" i="33"/>
  <c r="AC397" i="33"/>
  <c r="AC398" i="33"/>
  <c r="AC399" i="33"/>
  <c r="AC400" i="33"/>
  <c r="AC401" i="33"/>
  <c r="AC402" i="33"/>
  <c r="AC403" i="33"/>
  <c r="AC404" i="33"/>
  <c r="AC405" i="33"/>
  <c r="AC406" i="33"/>
  <c r="AC407" i="33"/>
  <c r="AC408" i="33"/>
  <c r="AC409" i="33"/>
  <c r="AC410" i="33"/>
  <c r="AC411" i="33"/>
  <c r="AC412" i="33"/>
  <c r="AC413" i="33"/>
  <c r="AC414" i="33"/>
  <c r="AC415" i="33"/>
  <c r="AC416" i="33"/>
  <c r="AC417" i="33"/>
  <c r="AC418" i="33"/>
  <c r="AC419" i="33"/>
  <c r="AC420" i="33"/>
  <c r="AC421" i="33"/>
  <c r="AC422" i="33"/>
  <c r="AC423" i="33"/>
  <c r="AC424" i="33"/>
  <c r="AC425" i="33"/>
  <c r="AC426" i="33"/>
  <c r="AC427" i="33"/>
  <c r="AC428" i="33"/>
  <c r="AC429" i="33"/>
  <c r="AC430" i="33"/>
  <c r="AC431" i="33"/>
  <c r="AC432" i="33"/>
  <c r="AC433" i="33"/>
  <c r="AC434" i="33"/>
  <c r="AC435" i="33"/>
  <c r="AC436" i="33"/>
  <c r="AC437" i="33"/>
  <c r="AC438" i="33"/>
  <c r="AH18" i="33"/>
  <c r="L7" i="33"/>
  <c r="L8" i="33"/>
  <c r="L9" i="33"/>
  <c r="L10" i="33"/>
  <c r="N11" i="33" s="1"/>
  <c r="O11" i="33" s="1"/>
  <c r="L11" i="33"/>
  <c r="L12" i="33"/>
  <c r="L13" i="33"/>
  <c r="L14" i="33"/>
  <c r="N15" i="33" s="1"/>
  <c r="L15" i="33"/>
  <c r="L16" i="33"/>
  <c r="L17" i="33"/>
  <c r="L18" i="33"/>
  <c r="N36" i="33" s="1"/>
  <c r="O36" i="33" s="1"/>
  <c r="L19" i="33"/>
  <c r="L20" i="33"/>
  <c r="L21" i="33"/>
  <c r="L22" i="33"/>
  <c r="N23" i="33" s="1"/>
  <c r="L23" i="33"/>
  <c r="L24" i="33"/>
  <c r="L25" i="33"/>
  <c r="L26" i="33"/>
  <c r="N27" i="33" s="1"/>
  <c r="O27" i="33" s="1"/>
  <c r="L27" i="33"/>
  <c r="L28" i="33"/>
  <c r="L29" i="33"/>
  <c r="L30" i="33"/>
  <c r="N31" i="33" s="1"/>
  <c r="L31" i="33"/>
  <c r="L32" i="33"/>
  <c r="L33" i="33"/>
  <c r="L34" i="33"/>
  <c r="N35" i="33" s="1"/>
  <c r="O35" i="33" s="1"/>
  <c r="L35" i="33"/>
  <c r="L36" i="33"/>
  <c r="L37" i="33"/>
  <c r="L38" i="33"/>
  <c r="N39" i="33" s="1"/>
  <c r="L39" i="33"/>
  <c r="L40" i="33"/>
  <c r="L41" i="33"/>
  <c r="L42" i="33"/>
  <c r="N94" i="33" s="1"/>
  <c r="O94" i="33" s="1"/>
  <c r="L43" i="33"/>
  <c r="L44" i="33"/>
  <c r="L45" i="33"/>
  <c r="L46" i="33"/>
  <c r="L47" i="33"/>
  <c r="L48" i="33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74" i="33"/>
  <c r="L75" i="33"/>
  <c r="L76" i="33"/>
  <c r="L77" i="33"/>
  <c r="L78" i="33"/>
  <c r="L79" i="33"/>
  <c r="L80" i="33"/>
  <c r="L81" i="33"/>
  <c r="L82" i="33"/>
  <c r="L83" i="33"/>
  <c r="L84" i="33"/>
  <c r="L85" i="33"/>
  <c r="L86" i="33"/>
  <c r="L87" i="33"/>
  <c r="L88" i="33"/>
  <c r="L89" i="33"/>
  <c r="L90" i="33"/>
  <c r="L91" i="33"/>
  <c r="L92" i="33"/>
  <c r="L93" i="33"/>
  <c r="L94" i="33"/>
  <c r="L95" i="33"/>
  <c r="L96" i="33"/>
  <c r="L97" i="33"/>
  <c r="L98" i="33"/>
  <c r="L99" i="33"/>
  <c r="L100" i="33"/>
  <c r="L101" i="33"/>
  <c r="L102" i="33"/>
  <c r="L103" i="33"/>
  <c r="L104" i="33"/>
  <c r="L105" i="33"/>
  <c r="L106" i="33"/>
  <c r="L107" i="33"/>
  <c r="L108" i="33"/>
  <c r="L109" i="33"/>
  <c r="L110" i="33"/>
  <c r="L111" i="33"/>
  <c r="L112" i="33"/>
  <c r="L113" i="33"/>
  <c r="L114" i="33"/>
  <c r="L115" i="33"/>
  <c r="L116" i="33"/>
  <c r="L117" i="33"/>
  <c r="L118" i="33"/>
  <c r="L119" i="33"/>
  <c r="L120" i="33"/>
  <c r="L121" i="33"/>
  <c r="L122" i="33"/>
  <c r="L123" i="33"/>
  <c r="L124" i="33"/>
  <c r="L125" i="33"/>
  <c r="L126" i="33"/>
  <c r="L127" i="33"/>
  <c r="L128" i="33"/>
  <c r="L129" i="33"/>
  <c r="L130" i="33"/>
  <c r="N163" i="33" s="1"/>
  <c r="O163" i="33" s="1"/>
  <c r="L131" i="33"/>
  <c r="L132" i="33"/>
  <c r="L133" i="33"/>
  <c r="L134" i="33"/>
  <c r="N135" i="33" s="1"/>
  <c r="O135" i="33" s="1"/>
  <c r="L135" i="33"/>
  <c r="L136" i="33"/>
  <c r="L137" i="33"/>
  <c r="L138" i="33"/>
  <c r="N157" i="33" s="1"/>
  <c r="O157" i="33" s="1"/>
  <c r="L139" i="33"/>
  <c r="L140" i="33"/>
  <c r="L141" i="33"/>
  <c r="L142" i="33"/>
  <c r="N143" i="33" s="1"/>
  <c r="O143" i="33" s="1"/>
  <c r="L143" i="33"/>
  <c r="L144" i="33"/>
  <c r="L145" i="33"/>
  <c r="L146" i="33"/>
  <c r="N278" i="33" s="1"/>
  <c r="O278" i="33" s="1"/>
  <c r="L147" i="33"/>
  <c r="L148" i="33"/>
  <c r="L149" i="33"/>
  <c r="L150" i="33"/>
  <c r="L151" i="33"/>
  <c r="L152" i="33"/>
  <c r="L153" i="33"/>
  <c r="L154" i="33"/>
  <c r="N221" i="33" s="1"/>
  <c r="O221" i="33" s="1"/>
  <c r="L155" i="33"/>
  <c r="L156" i="33"/>
  <c r="L157" i="33"/>
  <c r="L158" i="33"/>
  <c r="N159" i="33" s="1"/>
  <c r="L159" i="33"/>
  <c r="L160" i="33"/>
  <c r="L161" i="33"/>
  <c r="L162" i="33"/>
  <c r="N214" i="33" s="1"/>
  <c r="O214" i="33" s="1"/>
  <c r="L163" i="33"/>
  <c r="L164" i="33"/>
  <c r="L165" i="33"/>
  <c r="L166" i="33"/>
  <c r="L167" i="33"/>
  <c r="L168" i="33"/>
  <c r="L169" i="33"/>
  <c r="L170" i="33"/>
  <c r="L171" i="33"/>
  <c r="L172" i="33"/>
  <c r="L173" i="33"/>
  <c r="L174" i="33"/>
  <c r="L175" i="33"/>
  <c r="L176" i="33"/>
  <c r="L177" i="33"/>
  <c r="L178" i="33"/>
  <c r="L179" i="33"/>
  <c r="L180" i="33"/>
  <c r="L181" i="33"/>
  <c r="L182" i="33"/>
  <c r="L183" i="33"/>
  <c r="L184" i="33"/>
  <c r="L185" i="33"/>
  <c r="L186" i="33"/>
  <c r="L187" i="33"/>
  <c r="L188" i="33"/>
  <c r="L189" i="33"/>
  <c r="L190" i="33"/>
  <c r="L191" i="33"/>
  <c r="L192" i="33"/>
  <c r="L193" i="33"/>
  <c r="L194" i="33"/>
  <c r="L195" i="33"/>
  <c r="L196" i="33"/>
  <c r="L197" i="33"/>
  <c r="L198" i="33"/>
  <c r="L199" i="33"/>
  <c r="L200" i="33"/>
  <c r="L201" i="33"/>
  <c r="L202" i="33"/>
  <c r="N279" i="33" s="1"/>
  <c r="O279" i="33" s="1"/>
  <c r="L203" i="33"/>
  <c r="L204" i="33"/>
  <c r="L205" i="33"/>
  <c r="L206" i="33"/>
  <c r="L207" i="33"/>
  <c r="L208" i="33"/>
  <c r="L209" i="33"/>
  <c r="L210" i="33"/>
  <c r="L211" i="33"/>
  <c r="L212" i="33"/>
  <c r="L213" i="33"/>
  <c r="L214" i="33"/>
  <c r="L215" i="33"/>
  <c r="L216" i="33"/>
  <c r="L217" i="33"/>
  <c r="L218" i="33"/>
  <c r="L219" i="33"/>
  <c r="L220" i="33"/>
  <c r="L221" i="33"/>
  <c r="L222" i="33"/>
  <c r="L223" i="33"/>
  <c r="L224" i="33"/>
  <c r="L225" i="33"/>
  <c r="L226" i="33"/>
  <c r="L227" i="33"/>
  <c r="L228" i="33"/>
  <c r="L229" i="33"/>
  <c r="L230" i="33"/>
  <c r="L231" i="33"/>
  <c r="L232" i="33"/>
  <c r="L233" i="33"/>
  <c r="L234" i="33"/>
  <c r="L235" i="33"/>
  <c r="L236" i="33"/>
  <c r="L237" i="33"/>
  <c r="L238" i="33"/>
  <c r="L239" i="33"/>
  <c r="L240" i="33"/>
  <c r="L241" i="33"/>
  <c r="L242" i="33"/>
  <c r="L243" i="33"/>
  <c r="L244" i="33"/>
  <c r="L245" i="33"/>
  <c r="L246" i="33"/>
  <c r="L247" i="33"/>
  <c r="L248" i="33"/>
  <c r="L249" i="33"/>
  <c r="L250" i="33"/>
  <c r="L251" i="33"/>
  <c r="L252" i="33"/>
  <c r="L253" i="33"/>
  <c r="L254" i="33"/>
  <c r="L255" i="33"/>
  <c r="L256" i="33"/>
  <c r="L257" i="33"/>
  <c r="L258" i="33"/>
  <c r="L259" i="33"/>
  <c r="L260" i="33"/>
  <c r="L261" i="33"/>
  <c r="L262" i="33"/>
  <c r="L263" i="33"/>
  <c r="L264" i="33"/>
  <c r="L265" i="33"/>
  <c r="L266" i="33"/>
  <c r="L267" i="33"/>
  <c r="L268" i="33"/>
  <c r="L269" i="33"/>
  <c r="L270" i="33"/>
  <c r="L271" i="33"/>
  <c r="L272" i="33"/>
  <c r="L273" i="33"/>
  <c r="L274" i="33"/>
  <c r="L275" i="33"/>
  <c r="L276" i="33"/>
  <c r="L277" i="33"/>
  <c r="L278" i="33"/>
  <c r="L279" i="33"/>
  <c r="L280" i="33"/>
  <c r="L281" i="33"/>
  <c r="L282" i="33"/>
  <c r="L283" i="33"/>
  <c r="L284" i="33"/>
  <c r="L285" i="33"/>
  <c r="L286" i="33"/>
  <c r="L287" i="33"/>
  <c r="L288" i="33"/>
  <c r="L289" i="33"/>
  <c r="L290" i="33"/>
  <c r="L291" i="33"/>
  <c r="L292" i="33"/>
  <c r="L293" i="33"/>
  <c r="L294" i="33"/>
  <c r="N295" i="33" s="1"/>
  <c r="O295" i="33" s="1"/>
  <c r="L295" i="33"/>
  <c r="L296" i="33"/>
  <c r="L297" i="33"/>
  <c r="L298" i="33"/>
  <c r="N466" i="33" s="1"/>
  <c r="O466" i="33" s="1"/>
  <c r="L299" i="33"/>
  <c r="L300" i="33"/>
  <c r="L301" i="33"/>
  <c r="L302" i="33"/>
  <c r="L303" i="33"/>
  <c r="L304" i="33"/>
  <c r="L305" i="33"/>
  <c r="L306" i="33"/>
  <c r="N333" i="33" s="1"/>
  <c r="O333" i="33" s="1"/>
  <c r="L307" i="33"/>
  <c r="L308" i="33"/>
  <c r="L309" i="33"/>
  <c r="L310" i="33"/>
  <c r="N311" i="33" s="1"/>
  <c r="O311" i="33" s="1"/>
  <c r="L311" i="33"/>
  <c r="L312" i="33"/>
  <c r="L313" i="33"/>
  <c r="L314" i="33"/>
  <c r="N422" i="33" s="1"/>
  <c r="O422" i="33" s="1"/>
  <c r="L315" i="33"/>
  <c r="L316" i="33"/>
  <c r="L317" i="33"/>
  <c r="L318" i="33"/>
  <c r="L319" i="33"/>
  <c r="L320" i="33"/>
  <c r="L321" i="33"/>
  <c r="L322" i="33"/>
  <c r="N374" i="33" s="1"/>
  <c r="O374" i="33" s="1"/>
  <c r="L323" i="33"/>
  <c r="L324" i="33"/>
  <c r="L325" i="33"/>
  <c r="L326" i="33"/>
  <c r="L327" i="33"/>
  <c r="L328" i="33"/>
  <c r="L329" i="33"/>
  <c r="L330" i="33"/>
  <c r="L331" i="33"/>
  <c r="L332" i="33"/>
  <c r="L333" i="33"/>
  <c r="L334" i="33"/>
  <c r="L335" i="33"/>
  <c r="L336" i="33"/>
  <c r="L337" i="33"/>
  <c r="L338" i="33"/>
  <c r="N456" i="33" s="1"/>
  <c r="O456" i="33" s="1"/>
  <c r="L339" i="33"/>
  <c r="L340" i="33"/>
  <c r="L341" i="33"/>
  <c r="L342" i="33"/>
  <c r="L343" i="33"/>
  <c r="L344" i="33"/>
  <c r="L345" i="33"/>
  <c r="L346" i="33"/>
  <c r="L347" i="33"/>
  <c r="L348" i="33"/>
  <c r="L349" i="33"/>
  <c r="L350" i="33"/>
  <c r="L351" i="33"/>
  <c r="L352" i="33"/>
  <c r="L353" i="33"/>
  <c r="L354" i="33"/>
  <c r="L355" i="33"/>
  <c r="L356" i="33"/>
  <c r="L357" i="33"/>
  <c r="L358" i="33"/>
  <c r="L359" i="33"/>
  <c r="L360" i="33"/>
  <c r="L361" i="33"/>
  <c r="L362" i="33"/>
  <c r="N414" i="33" s="1"/>
  <c r="O414" i="33" s="1"/>
  <c r="L363" i="33"/>
  <c r="L364" i="33"/>
  <c r="L365" i="33"/>
  <c r="L366" i="33"/>
  <c r="L367" i="33"/>
  <c r="L368" i="33"/>
  <c r="L369" i="33"/>
  <c r="L370" i="33"/>
  <c r="L371" i="33"/>
  <c r="L372" i="33"/>
  <c r="L373" i="33"/>
  <c r="L374" i="33"/>
  <c r="L375" i="33"/>
  <c r="L376" i="33"/>
  <c r="L377" i="33"/>
  <c r="L378" i="33"/>
  <c r="N474" i="33" s="1"/>
  <c r="O474" i="33" s="1"/>
  <c r="L379" i="33"/>
  <c r="L380" i="33"/>
  <c r="L381" i="33"/>
  <c r="L382" i="33"/>
  <c r="L383" i="33"/>
  <c r="L384" i="33"/>
  <c r="L385" i="33"/>
  <c r="L386" i="33"/>
  <c r="L387" i="33"/>
  <c r="L388" i="33"/>
  <c r="L389" i="33"/>
  <c r="L390" i="33"/>
  <c r="L391" i="33"/>
  <c r="L392" i="33"/>
  <c r="L393" i="33"/>
  <c r="L394" i="33"/>
  <c r="N463" i="33" s="1"/>
  <c r="O463" i="33" s="1"/>
  <c r="L395" i="33"/>
  <c r="L396" i="33"/>
  <c r="L397" i="33"/>
  <c r="L398" i="33"/>
  <c r="L399" i="33"/>
  <c r="L400" i="33"/>
  <c r="L401" i="33"/>
  <c r="L402" i="33"/>
  <c r="L403" i="33"/>
  <c r="L404" i="33"/>
  <c r="L405" i="33"/>
  <c r="L406" i="33"/>
  <c r="L407" i="33"/>
  <c r="L408" i="33"/>
  <c r="L409" i="33"/>
  <c r="L410" i="33"/>
  <c r="L411" i="33"/>
  <c r="L412" i="33"/>
  <c r="L413" i="33"/>
  <c r="L414" i="33"/>
  <c r="L415" i="33"/>
  <c r="L416" i="33"/>
  <c r="L417" i="33"/>
  <c r="L418" i="33"/>
  <c r="L419" i="33"/>
  <c r="L420" i="33"/>
  <c r="L421" i="33"/>
  <c r="L422" i="33"/>
  <c r="L423" i="33"/>
  <c r="L424" i="33"/>
  <c r="L425" i="33"/>
  <c r="L426" i="33"/>
  <c r="L427" i="33"/>
  <c r="L428" i="33"/>
  <c r="L429" i="33"/>
  <c r="L430" i="33"/>
  <c r="L431" i="33"/>
  <c r="L432" i="33"/>
  <c r="L433" i="33"/>
  <c r="L434" i="33"/>
  <c r="L435" i="33"/>
  <c r="L436" i="33"/>
  <c r="L437" i="33"/>
  <c r="L438" i="33"/>
  <c r="L439" i="33"/>
  <c r="L440" i="33"/>
  <c r="L441" i="33"/>
  <c r="L442" i="33"/>
  <c r="L443" i="33"/>
  <c r="L444" i="33"/>
  <c r="L445" i="33"/>
  <c r="L446" i="33"/>
  <c r="L447" i="33"/>
  <c r="L448" i="33"/>
  <c r="L449" i="33"/>
  <c r="L450" i="33"/>
  <c r="L451" i="33"/>
  <c r="L452" i="33"/>
  <c r="L453" i="33"/>
  <c r="L454" i="33"/>
  <c r="L455" i="33"/>
  <c r="L456" i="33"/>
  <c r="L457" i="33"/>
  <c r="L458" i="33"/>
  <c r="L459" i="33"/>
  <c r="L460" i="33"/>
  <c r="L461" i="33"/>
  <c r="L462" i="33"/>
  <c r="L463" i="33"/>
  <c r="L464" i="33"/>
  <c r="L465" i="33"/>
  <c r="L466" i="33"/>
  <c r="L467" i="33"/>
  <c r="L468" i="33"/>
  <c r="L469" i="33"/>
  <c r="L470" i="33"/>
  <c r="L471" i="33"/>
  <c r="L472" i="33"/>
  <c r="L473" i="33"/>
  <c r="L474" i="33"/>
  <c r="L475" i="33"/>
  <c r="L476" i="33"/>
  <c r="L477" i="33"/>
  <c r="L478" i="33"/>
  <c r="L479" i="33"/>
  <c r="L480" i="33"/>
  <c r="L481" i="33"/>
  <c r="L482" i="33"/>
  <c r="L483" i="33"/>
  <c r="L484" i="33"/>
  <c r="L485" i="33"/>
  <c r="L486" i="33"/>
  <c r="L487" i="33"/>
  <c r="L488" i="33"/>
  <c r="L489" i="33"/>
  <c r="L490" i="33"/>
  <c r="L491" i="33"/>
  <c r="L492" i="33"/>
  <c r="L493" i="33"/>
  <c r="L494" i="33"/>
  <c r="L495" i="33"/>
  <c r="L496" i="33"/>
  <c r="L497" i="33"/>
  <c r="L498" i="33"/>
  <c r="L499" i="33"/>
  <c r="L500" i="33"/>
  <c r="L501" i="33"/>
  <c r="L502" i="33"/>
  <c r="L503" i="33"/>
  <c r="L504" i="33"/>
  <c r="L505" i="33"/>
  <c r="L506" i="33"/>
  <c r="L507" i="33"/>
  <c r="L508" i="33"/>
  <c r="L509" i="33"/>
  <c r="L510" i="33"/>
  <c r="L511" i="33"/>
  <c r="L512" i="33"/>
  <c r="L513" i="33"/>
  <c r="L514" i="33"/>
  <c r="L515" i="33"/>
  <c r="L516" i="33"/>
  <c r="L517" i="33"/>
  <c r="L518" i="33"/>
  <c r="L519" i="33"/>
  <c r="L520" i="33"/>
  <c r="L521" i="33"/>
  <c r="L522" i="33"/>
  <c r="L523" i="33"/>
  <c r="L524" i="33"/>
  <c r="L525" i="33"/>
  <c r="L526" i="33"/>
  <c r="L527" i="33"/>
  <c r="L528" i="33"/>
  <c r="L529" i="33"/>
  <c r="L530" i="33"/>
  <c r="L531" i="33"/>
  <c r="L532" i="33"/>
  <c r="L533" i="33"/>
  <c r="L534" i="33"/>
  <c r="L535" i="33"/>
  <c r="L536" i="33"/>
  <c r="L537" i="33"/>
  <c r="L538" i="33"/>
  <c r="L539" i="33"/>
  <c r="L540" i="33"/>
  <c r="L541" i="33"/>
  <c r="L542" i="33"/>
  <c r="L543" i="33"/>
  <c r="L544" i="33"/>
  <c r="L545" i="33"/>
  <c r="L546" i="33"/>
  <c r="L547" i="33"/>
  <c r="L548" i="33"/>
  <c r="L549" i="33"/>
  <c r="L550" i="33"/>
  <c r="L551" i="33"/>
  <c r="L552" i="33"/>
  <c r="L553" i="33"/>
  <c r="L554" i="33"/>
  <c r="L555" i="33"/>
  <c r="L556" i="33"/>
  <c r="L557" i="33"/>
  <c r="L558" i="33"/>
  <c r="L559" i="33"/>
  <c r="L560" i="33"/>
  <c r="L561" i="33"/>
  <c r="L562" i="33"/>
  <c r="L563" i="33"/>
  <c r="L564" i="33"/>
  <c r="L565" i="33"/>
  <c r="L566" i="33"/>
  <c r="L567" i="33"/>
  <c r="L568" i="33"/>
  <c r="L569" i="33"/>
  <c r="L570" i="33"/>
  <c r="L571" i="33"/>
  <c r="L572" i="33"/>
  <c r="L573" i="33"/>
  <c r="L574" i="33"/>
  <c r="L575" i="33"/>
  <c r="L576" i="33"/>
  <c r="L577" i="33"/>
  <c r="L578" i="33"/>
  <c r="L579" i="33"/>
  <c r="L580" i="33"/>
  <c r="L581" i="33"/>
  <c r="L582" i="33"/>
  <c r="L583" i="33"/>
  <c r="L584" i="33"/>
  <c r="L585" i="33"/>
  <c r="L586" i="33"/>
  <c r="L587" i="33"/>
  <c r="L588" i="33"/>
  <c r="L589" i="33"/>
  <c r="L590" i="33"/>
  <c r="L591" i="33"/>
  <c r="L592" i="33"/>
  <c r="L593" i="33"/>
  <c r="L594" i="33"/>
  <c r="L595" i="33"/>
  <c r="L596" i="33"/>
  <c r="L597" i="33"/>
  <c r="L598" i="33"/>
  <c r="L599" i="33"/>
  <c r="L600" i="33"/>
  <c r="L601" i="33"/>
  <c r="L602" i="33"/>
  <c r="L603" i="33"/>
  <c r="L604" i="33"/>
  <c r="L605" i="33"/>
  <c r="L606" i="33"/>
  <c r="L607" i="33"/>
  <c r="L608" i="33"/>
  <c r="L609" i="33"/>
  <c r="L610" i="33"/>
  <c r="L611" i="33"/>
  <c r="L612" i="33"/>
  <c r="L613" i="33"/>
  <c r="L614" i="33"/>
  <c r="L615" i="33"/>
  <c r="L616" i="33"/>
  <c r="L617" i="33"/>
  <c r="L618" i="33"/>
  <c r="L619" i="33"/>
  <c r="L620" i="33"/>
  <c r="L621" i="33"/>
  <c r="L622" i="33"/>
  <c r="L623" i="33"/>
  <c r="L624" i="33"/>
  <c r="L625" i="33"/>
  <c r="L626" i="33"/>
  <c r="L627" i="33"/>
  <c r="L628" i="33"/>
  <c r="L629" i="33"/>
  <c r="L630" i="33"/>
  <c r="L631" i="33"/>
  <c r="L632" i="33"/>
  <c r="L633" i="33"/>
  <c r="L634" i="33"/>
  <c r="L635" i="33"/>
  <c r="L636" i="33"/>
  <c r="L637" i="33"/>
  <c r="L638" i="33"/>
  <c r="L639" i="33"/>
  <c r="L640" i="33"/>
  <c r="L641" i="33"/>
  <c r="L642" i="33"/>
  <c r="L643" i="33"/>
  <c r="L644" i="33"/>
  <c r="L645" i="33"/>
  <c r="L646" i="33"/>
  <c r="L647" i="33"/>
  <c r="L648" i="33"/>
  <c r="L649" i="33"/>
  <c r="L650" i="33"/>
  <c r="L651" i="33"/>
  <c r="L652" i="33"/>
  <c r="L653" i="33"/>
  <c r="L654" i="33"/>
  <c r="L655" i="33"/>
  <c r="L656" i="33"/>
  <c r="L657" i="33"/>
  <c r="L658" i="33"/>
  <c r="L659" i="33"/>
  <c r="L660" i="33"/>
  <c r="L661" i="33"/>
  <c r="L662" i="33"/>
  <c r="L663" i="33"/>
  <c r="L664" i="33"/>
  <c r="L665" i="33"/>
  <c r="L666" i="33"/>
  <c r="L667" i="33"/>
  <c r="L668" i="33"/>
  <c r="L669" i="33"/>
  <c r="L670" i="33"/>
  <c r="L671" i="33"/>
  <c r="L672" i="33"/>
  <c r="L673" i="33"/>
  <c r="L674" i="33"/>
  <c r="L675" i="33"/>
  <c r="L676" i="33"/>
  <c r="L677" i="33"/>
  <c r="L678" i="33"/>
  <c r="L679" i="33"/>
  <c r="L680" i="33"/>
  <c r="L681" i="33"/>
  <c r="L682" i="33"/>
  <c r="L683" i="33"/>
  <c r="L684" i="33"/>
  <c r="L685" i="33"/>
  <c r="L686" i="33"/>
  <c r="L687" i="33"/>
  <c r="L688" i="33"/>
  <c r="L689" i="33"/>
  <c r="L690" i="33"/>
  <c r="L691" i="33"/>
  <c r="L692" i="33"/>
  <c r="L693" i="33"/>
  <c r="L694" i="33"/>
  <c r="L695" i="33"/>
  <c r="L696" i="33"/>
  <c r="L697" i="33"/>
  <c r="L698" i="33"/>
  <c r="L699" i="33"/>
  <c r="L700" i="33"/>
  <c r="L701" i="33"/>
  <c r="L702" i="33"/>
  <c r="L703" i="33"/>
  <c r="L704" i="33"/>
  <c r="L705" i="33"/>
  <c r="L706" i="33"/>
  <c r="L707" i="33"/>
  <c r="L708" i="33"/>
  <c r="L709" i="33"/>
  <c r="L710" i="33"/>
  <c r="L711" i="33"/>
  <c r="L712" i="33"/>
  <c r="L713" i="33"/>
  <c r="L714" i="33"/>
  <c r="L715" i="33"/>
  <c r="L716" i="33"/>
  <c r="L717" i="33"/>
  <c r="L718" i="33"/>
  <c r="L719" i="33"/>
  <c r="L720" i="33"/>
  <c r="L721" i="33"/>
  <c r="L722" i="33"/>
  <c r="L723" i="33"/>
  <c r="L724" i="33"/>
  <c r="L725" i="33"/>
  <c r="L726" i="33"/>
  <c r="L727" i="33"/>
  <c r="L728" i="33"/>
  <c r="L729" i="33"/>
  <c r="L730" i="33"/>
  <c r="L731" i="33"/>
  <c r="L732" i="33"/>
  <c r="L733" i="33"/>
  <c r="L734" i="33"/>
  <c r="L735" i="33"/>
  <c r="L736" i="33"/>
  <c r="L737" i="33"/>
  <c r="L738" i="33"/>
  <c r="L739" i="33"/>
  <c r="L740" i="33"/>
  <c r="L741" i="33"/>
  <c r="L742" i="33"/>
  <c r="L743" i="33"/>
  <c r="L744" i="33"/>
  <c r="L745" i="33"/>
  <c r="L746" i="33"/>
  <c r="L747" i="33"/>
  <c r="L748" i="33"/>
  <c r="L749" i="33"/>
  <c r="L750" i="33"/>
  <c r="L751" i="33"/>
  <c r="L752" i="33"/>
  <c r="L753" i="33"/>
  <c r="L754" i="33"/>
  <c r="L755" i="33"/>
  <c r="L756" i="33"/>
  <c r="L757" i="33"/>
  <c r="L758" i="33"/>
  <c r="L759" i="33"/>
  <c r="L760" i="33"/>
  <c r="L761" i="33"/>
  <c r="L762" i="33"/>
  <c r="M7" i="33"/>
  <c r="M8" i="33"/>
  <c r="M9" i="33"/>
  <c r="M10" i="33"/>
  <c r="M11" i="33"/>
  <c r="M12" i="33"/>
  <c r="M13" i="33"/>
  <c r="M14" i="33"/>
  <c r="M15" i="33"/>
  <c r="M16" i="33"/>
  <c r="M17" i="33"/>
  <c r="M18" i="33"/>
  <c r="O18" i="33" s="1"/>
  <c r="M19" i="33"/>
  <c r="M20" i="33"/>
  <c r="M21" i="33"/>
  <c r="M22" i="33"/>
  <c r="M23" i="33"/>
  <c r="M24" i="33"/>
  <c r="M25" i="33"/>
  <c r="M26" i="33"/>
  <c r="O26" i="33" s="1"/>
  <c r="M27" i="33"/>
  <c r="M28" i="33"/>
  <c r="M29" i="33"/>
  <c r="M30" i="33"/>
  <c r="M31" i="33"/>
  <c r="M32" i="33"/>
  <c r="M33" i="33"/>
  <c r="M34" i="33"/>
  <c r="M35" i="33"/>
  <c r="M36" i="33"/>
  <c r="M37" i="33"/>
  <c r="M38" i="33"/>
  <c r="M39" i="33"/>
  <c r="M40" i="33"/>
  <c r="M41" i="33"/>
  <c r="M42" i="33"/>
  <c r="M43" i="33"/>
  <c r="M44" i="33"/>
  <c r="M45" i="33"/>
  <c r="M46" i="33"/>
  <c r="M47" i="33"/>
  <c r="M48" i="33"/>
  <c r="M49" i="33"/>
  <c r="M50" i="33"/>
  <c r="M51" i="33"/>
  <c r="M52" i="33"/>
  <c r="M53" i="33"/>
  <c r="M54" i="33"/>
  <c r="M55" i="33"/>
  <c r="M56" i="33"/>
  <c r="M57" i="33"/>
  <c r="M58" i="33"/>
  <c r="M59" i="33"/>
  <c r="M60" i="33"/>
  <c r="M61" i="33"/>
  <c r="M62" i="33"/>
  <c r="M63" i="33"/>
  <c r="M64" i="33"/>
  <c r="M65" i="33"/>
  <c r="M66" i="33"/>
  <c r="M67" i="33"/>
  <c r="M68" i="33"/>
  <c r="M69" i="33"/>
  <c r="M70" i="33"/>
  <c r="M71" i="33"/>
  <c r="M72" i="33"/>
  <c r="M73" i="33"/>
  <c r="M74" i="33"/>
  <c r="M75" i="33"/>
  <c r="M76" i="33"/>
  <c r="M77" i="33"/>
  <c r="M78" i="33"/>
  <c r="M79" i="33"/>
  <c r="M80" i="33"/>
  <c r="M81" i="33"/>
  <c r="M82" i="33"/>
  <c r="M83" i="33"/>
  <c r="M84" i="33"/>
  <c r="M85" i="33"/>
  <c r="M86" i="33"/>
  <c r="M87" i="33"/>
  <c r="M88" i="33"/>
  <c r="M89" i="33"/>
  <c r="M90" i="33"/>
  <c r="M91" i="33"/>
  <c r="M92" i="33"/>
  <c r="M93" i="33"/>
  <c r="M94" i="33"/>
  <c r="M95" i="33"/>
  <c r="M96" i="33"/>
  <c r="M97" i="33"/>
  <c r="M98" i="33"/>
  <c r="M99" i="33"/>
  <c r="M100" i="33"/>
  <c r="M101" i="33"/>
  <c r="M102" i="33"/>
  <c r="M103" i="33"/>
  <c r="M104" i="33"/>
  <c r="M105" i="33"/>
  <c r="M106" i="33"/>
  <c r="M107" i="33"/>
  <c r="M108" i="33"/>
  <c r="M109" i="33"/>
  <c r="M110" i="33"/>
  <c r="M111" i="33"/>
  <c r="M112" i="33"/>
  <c r="M113" i="33"/>
  <c r="M114" i="33"/>
  <c r="M115" i="33"/>
  <c r="M116" i="33"/>
  <c r="M117" i="33"/>
  <c r="M118" i="33"/>
  <c r="M119" i="33"/>
  <c r="M120" i="33"/>
  <c r="M121" i="33"/>
  <c r="M122" i="33"/>
  <c r="M123" i="33"/>
  <c r="M124" i="33"/>
  <c r="M125" i="33"/>
  <c r="M126" i="33"/>
  <c r="M127" i="33"/>
  <c r="M128" i="33"/>
  <c r="M129" i="33"/>
  <c r="M130" i="33"/>
  <c r="M131" i="33"/>
  <c r="M132" i="33"/>
  <c r="M133" i="33"/>
  <c r="M134" i="33"/>
  <c r="M135" i="33"/>
  <c r="M136" i="33"/>
  <c r="M137" i="33"/>
  <c r="M138" i="33"/>
  <c r="M139" i="33"/>
  <c r="M140" i="33"/>
  <c r="M141" i="33"/>
  <c r="M142" i="33"/>
  <c r="M143" i="33"/>
  <c r="M144" i="33"/>
  <c r="M145" i="33"/>
  <c r="M146" i="33"/>
  <c r="M147" i="33"/>
  <c r="M148" i="33"/>
  <c r="M149" i="33"/>
  <c r="M150" i="33"/>
  <c r="M151" i="33"/>
  <c r="M152" i="33"/>
  <c r="M153" i="33"/>
  <c r="M154" i="33"/>
  <c r="M155" i="33"/>
  <c r="M156" i="33"/>
  <c r="M157" i="33"/>
  <c r="M158" i="33"/>
  <c r="M159" i="33"/>
  <c r="M160" i="33"/>
  <c r="M161" i="33"/>
  <c r="M162" i="33"/>
  <c r="M163" i="33"/>
  <c r="M164" i="33"/>
  <c r="M165" i="33"/>
  <c r="M166" i="33"/>
  <c r="M167" i="33"/>
  <c r="M168" i="33"/>
  <c r="M169" i="33"/>
  <c r="M170" i="33"/>
  <c r="M171" i="33"/>
  <c r="M172" i="33"/>
  <c r="M173" i="33"/>
  <c r="M174" i="33"/>
  <c r="M175" i="33"/>
  <c r="M176" i="33"/>
  <c r="M177" i="33"/>
  <c r="M178" i="33"/>
  <c r="M179" i="33"/>
  <c r="M180" i="33"/>
  <c r="M181" i="33"/>
  <c r="M182" i="33"/>
  <c r="M183" i="33"/>
  <c r="M184" i="33"/>
  <c r="M185" i="33"/>
  <c r="M186" i="33"/>
  <c r="M187" i="33"/>
  <c r="M188" i="33"/>
  <c r="M189" i="33"/>
  <c r="M190" i="33"/>
  <c r="M191" i="33"/>
  <c r="M192" i="33"/>
  <c r="M193" i="33"/>
  <c r="M194" i="33"/>
  <c r="M195" i="33"/>
  <c r="M196" i="33"/>
  <c r="M197" i="33"/>
  <c r="M198" i="33"/>
  <c r="M199" i="33"/>
  <c r="M200" i="33"/>
  <c r="M201" i="33"/>
  <c r="M202" i="33"/>
  <c r="M203" i="33"/>
  <c r="M204" i="33"/>
  <c r="M205" i="33"/>
  <c r="M206" i="33"/>
  <c r="M207" i="33"/>
  <c r="M208" i="33"/>
  <c r="M209" i="33"/>
  <c r="M210" i="33"/>
  <c r="M211" i="33"/>
  <c r="M212" i="33"/>
  <c r="M213" i="33"/>
  <c r="M214" i="33"/>
  <c r="M215" i="33"/>
  <c r="M216" i="33"/>
  <c r="M217" i="33"/>
  <c r="M218" i="33"/>
  <c r="M219" i="33"/>
  <c r="M220" i="33"/>
  <c r="M221" i="33"/>
  <c r="M222" i="33"/>
  <c r="M223" i="33"/>
  <c r="M224" i="33"/>
  <c r="M225" i="33"/>
  <c r="M226" i="33"/>
  <c r="M227" i="33"/>
  <c r="M228" i="33"/>
  <c r="M229" i="33"/>
  <c r="M230" i="33"/>
  <c r="M231" i="33"/>
  <c r="M232" i="33"/>
  <c r="M233" i="33"/>
  <c r="M234" i="33"/>
  <c r="M235" i="33"/>
  <c r="M236" i="33"/>
  <c r="M237" i="33"/>
  <c r="M238" i="33"/>
  <c r="M239" i="33"/>
  <c r="M240" i="33"/>
  <c r="M241" i="33"/>
  <c r="M242" i="33"/>
  <c r="M243" i="33"/>
  <c r="M244" i="33"/>
  <c r="M245" i="33"/>
  <c r="M246" i="33"/>
  <c r="M247" i="33"/>
  <c r="M248" i="33"/>
  <c r="M249" i="33"/>
  <c r="M250" i="33"/>
  <c r="M251" i="33"/>
  <c r="M252" i="33"/>
  <c r="M253" i="33"/>
  <c r="M254" i="33"/>
  <c r="M255" i="33"/>
  <c r="M256" i="33"/>
  <c r="M257" i="33"/>
  <c r="M258" i="33"/>
  <c r="M259" i="33"/>
  <c r="M260" i="33"/>
  <c r="M261" i="33"/>
  <c r="M262" i="33"/>
  <c r="M263" i="33"/>
  <c r="M264" i="33"/>
  <c r="M265" i="33"/>
  <c r="M266" i="33"/>
  <c r="M267" i="33"/>
  <c r="M268" i="33"/>
  <c r="M269" i="33"/>
  <c r="M270" i="33"/>
  <c r="M271" i="33"/>
  <c r="M272" i="33"/>
  <c r="M273" i="33"/>
  <c r="M274" i="33"/>
  <c r="M275" i="33"/>
  <c r="M276" i="33"/>
  <c r="M277" i="33"/>
  <c r="M278" i="33"/>
  <c r="M279" i="33"/>
  <c r="M280" i="33"/>
  <c r="M281" i="33"/>
  <c r="M282" i="33"/>
  <c r="M283" i="33"/>
  <c r="M284" i="33"/>
  <c r="M285" i="33"/>
  <c r="M286" i="33"/>
  <c r="M287" i="33"/>
  <c r="M288" i="33"/>
  <c r="M289" i="33"/>
  <c r="M290" i="33"/>
  <c r="M291" i="33"/>
  <c r="M292" i="33"/>
  <c r="M293" i="33"/>
  <c r="M294" i="33"/>
  <c r="M295" i="33"/>
  <c r="M296" i="33"/>
  <c r="M297" i="33"/>
  <c r="M298" i="33"/>
  <c r="M299" i="33"/>
  <c r="M300" i="33"/>
  <c r="M301" i="33"/>
  <c r="M302" i="33"/>
  <c r="M303" i="33"/>
  <c r="M304" i="33"/>
  <c r="M305" i="33"/>
  <c r="M306" i="33"/>
  <c r="M307" i="33"/>
  <c r="M308" i="33"/>
  <c r="M309" i="33"/>
  <c r="M310" i="33"/>
  <c r="M311" i="33"/>
  <c r="M312" i="33"/>
  <c r="M313" i="33"/>
  <c r="M314" i="33"/>
  <c r="M315" i="33"/>
  <c r="M316" i="33"/>
  <c r="M317" i="33"/>
  <c r="M318" i="33"/>
  <c r="M319" i="33"/>
  <c r="M320" i="33"/>
  <c r="M321" i="33"/>
  <c r="M322" i="33"/>
  <c r="M323" i="33"/>
  <c r="M324" i="33"/>
  <c r="M325" i="33"/>
  <c r="M326" i="33"/>
  <c r="M327" i="33"/>
  <c r="M328" i="33"/>
  <c r="M329" i="33"/>
  <c r="M330" i="33"/>
  <c r="M331" i="33"/>
  <c r="M332" i="33"/>
  <c r="M333" i="33"/>
  <c r="M334" i="33"/>
  <c r="M335" i="33"/>
  <c r="M336" i="33"/>
  <c r="M337" i="33"/>
  <c r="M338" i="33"/>
  <c r="M339" i="33"/>
  <c r="M340" i="33"/>
  <c r="M341" i="33"/>
  <c r="M342" i="33"/>
  <c r="M343" i="33"/>
  <c r="M344" i="33"/>
  <c r="M345" i="33"/>
  <c r="M346" i="33"/>
  <c r="M347" i="33"/>
  <c r="M348" i="33"/>
  <c r="M349" i="33"/>
  <c r="M350" i="33"/>
  <c r="M351" i="33"/>
  <c r="M352" i="33"/>
  <c r="M353" i="33"/>
  <c r="M354" i="33"/>
  <c r="M355" i="33"/>
  <c r="M356" i="33"/>
  <c r="M357" i="33"/>
  <c r="M358" i="33"/>
  <c r="M359" i="33"/>
  <c r="M360" i="33"/>
  <c r="M361" i="33"/>
  <c r="M362" i="33"/>
  <c r="M363" i="33"/>
  <c r="M364" i="33"/>
  <c r="M365" i="33"/>
  <c r="M366" i="33"/>
  <c r="M367" i="33"/>
  <c r="M368" i="33"/>
  <c r="M369" i="33"/>
  <c r="M370" i="33"/>
  <c r="M371" i="33"/>
  <c r="M372" i="33"/>
  <c r="M373" i="33"/>
  <c r="M374" i="33"/>
  <c r="M375" i="33"/>
  <c r="M376" i="33"/>
  <c r="M377" i="33"/>
  <c r="M378" i="33"/>
  <c r="M379" i="33"/>
  <c r="M380" i="33"/>
  <c r="M381" i="33"/>
  <c r="M382" i="33"/>
  <c r="M383" i="33"/>
  <c r="M384" i="33"/>
  <c r="M385" i="33"/>
  <c r="M386" i="33"/>
  <c r="M387" i="33"/>
  <c r="M388" i="33"/>
  <c r="M389" i="33"/>
  <c r="M390" i="33"/>
  <c r="M391" i="33"/>
  <c r="M392" i="33"/>
  <c r="M393" i="33"/>
  <c r="M394" i="33"/>
  <c r="M395" i="33"/>
  <c r="M396" i="33"/>
  <c r="M397" i="33"/>
  <c r="M398" i="33"/>
  <c r="M399" i="33"/>
  <c r="M400" i="33"/>
  <c r="M401" i="33"/>
  <c r="M402" i="33"/>
  <c r="M403" i="33"/>
  <c r="M404" i="33"/>
  <c r="M405" i="33"/>
  <c r="M406" i="33"/>
  <c r="M407" i="33"/>
  <c r="M408" i="33"/>
  <c r="M409" i="33"/>
  <c r="M410" i="33"/>
  <c r="M411" i="33"/>
  <c r="M412" i="33"/>
  <c r="M413" i="33"/>
  <c r="M414" i="33"/>
  <c r="M415" i="33"/>
  <c r="M416" i="33"/>
  <c r="M417" i="33"/>
  <c r="M418" i="33"/>
  <c r="M419" i="33"/>
  <c r="M420" i="33"/>
  <c r="M421" i="33"/>
  <c r="M422" i="33"/>
  <c r="M423" i="33"/>
  <c r="M424" i="33"/>
  <c r="M425" i="33"/>
  <c r="M426" i="33"/>
  <c r="M427" i="33"/>
  <c r="M428" i="33"/>
  <c r="M429" i="33"/>
  <c r="M430" i="33"/>
  <c r="M431" i="33"/>
  <c r="M432" i="33"/>
  <c r="M433" i="33"/>
  <c r="M434" i="33"/>
  <c r="M435" i="33"/>
  <c r="M436" i="33"/>
  <c r="M437" i="33"/>
  <c r="M438" i="33"/>
  <c r="M439" i="33"/>
  <c r="M440" i="33"/>
  <c r="M441" i="33"/>
  <c r="M442" i="33"/>
  <c r="M443" i="33"/>
  <c r="M444" i="33"/>
  <c r="M445" i="33"/>
  <c r="M446" i="33"/>
  <c r="M447" i="33"/>
  <c r="M448" i="33"/>
  <c r="M449" i="33"/>
  <c r="M450" i="33"/>
  <c r="M451" i="33"/>
  <c r="M452" i="33"/>
  <c r="M453" i="33"/>
  <c r="M454" i="33"/>
  <c r="M455" i="33"/>
  <c r="M456" i="33"/>
  <c r="M457" i="33"/>
  <c r="M458" i="33"/>
  <c r="M459" i="33"/>
  <c r="M460" i="33"/>
  <c r="M461" i="33"/>
  <c r="M462" i="33"/>
  <c r="M463" i="33"/>
  <c r="M464" i="33"/>
  <c r="M465" i="33"/>
  <c r="M466" i="33"/>
  <c r="M467" i="33"/>
  <c r="M468" i="33"/>
  <c r="M469" i="33"/>
  <c r="M470" i="33"/>
  <c r="M471" i="33"/>
  <c r="M472" i="33"/>
  <c r="M473" i="33"/>
  <c r="M474" i="33"/>
  <c r="M475" i="33"/>
  <c r="M476" i="33"/>
  <c r="M477" i="33"/>
  <c r="M478" i="33"/>
  <c r="M479" i="33"/>
  <c r="M480" i="33"/>
  <c r="M481" i="33"/>
  <c r="M482" i="33"/>
  <c r="M483" i="33"/>
  <c r="M484" i="33"/>
  <c r="M485" i="33"/>
  <c r="M486" i="33"/>
  <c r="M487" i="33"/>
  <c r="M488" i="33"/>
  <c r="M489" i="33"/>
  <c r="M490" i="33"/>
  <c r="M491" i="33"/>
  <c r="M492" i="33"/>
  <c r="M493" i="33"/>
  <c r="M494" i="33"/>
  <c r="M495" i="33"/>
  <c r="M496" i="33"/>
  <c r="M497" i="33"/>
  <c r="M498" i="33"/>
  <c r="M499" i="33"/>
  <c r="M500" i="33"/>
  <c r="M501" i="33"/>
  <c r="M502" i="33"/>
  <c r="M503" i="33"/>
  <c r="M504" i="33"/>
  <c r="M505" i="33"/>
  <c r="M506" i="33"/>
  <c r="M507" i="33"/>
  <c r="M508" i="33"/>
  <c r="M509" i="33"/>
  <c r="M510" i="33"/>
  <c r="M511" i="33"/>
  <c r="M512" i="33"/>
  <c r="M513" i="33"/>
  <c r="M514" i="33"/>
  <c r="M515" i="33"/>
  <c r="M516" i="33"/>
  <c r="M517" i="33"/>
  <c r="M518" i="33"/>
  <c r="M519" i="33"/>
  <c r="M520" i="33"/>
  <c r="M521" i="33"/>
  <c r="M522" i="33"/>
  <c r="M523" i="33"/>
  <c r="M524" i="33"/>
  <c r="M525" i="33"/>
  <c r="M526" i="33"/>
  <c r="M527" i="33"/>
  <c r="M528" i="33"/>
  <c r="M529" i="33"/>
  <c r="M530" i="33"/>
  <c r="M531" i="33"/>
  <c r="M532" i="33"/>
  <c r="M533" i="33"/>
  <c r="M534" i="33"/>
  <c r="M535" i="33"/>
  <c r="M536" i="33"/>
  <c r="M537" i="33"/>
  <c r="M538" i="33"/>
  <c r="M539" i="33"/>
  <c r="M540" i="33"/>
  <c r="M541" i="33"/>
  <c r="M542" i="33"/>
  <c r="M543" i="33"/>
  <c r="M544" i="33"/>
  <c r="M545" i="33"/>
  <c r="M546" i="33"/>
  <c r="M547" i="33"/>
  <c r="M548" i="33"/>
  <c r="M549" i="33"/>
  <c r="M550" i="33"/>
  <c r="M551" i="33"/>
  <c r="M552" i="33"/>
  <c r="M553" i="33"/>
  <c r="M554" i="33"/>
  <c r="M555" i="33"/>
  <c r="M556" i="33"/>
  <c r="M557" i="33"/>
  <c r="M558" i="33"/>
  <c r="M559" i="33"/>
  <c r="M560" i="33"/>
  <c r="M561" i="33"/>
  <c r="M562" i="33"/>
  <c r="M563" i="33"/>
  <c r="M564" i="33"/>
  <c r="M565" i="33"/>
  <c r="M566" i="33"/>
  <c r="M567" i="33"/>
  <c r="M568" i="33"/>
  <c r="M569" i="33"/>
  <c r="M570" i="33"/>
  <c r="M571" i="33"/>
  <c r="M572" i="33"/>
  <c r="M573" i="33"/>
  <c r="M574" i="33"/>
  <c r="M575" i="33"/>
  <c r="M576" i="33"/>
  <c r="M577" i="33"/>
  <c r="M578" i="33"/>
  <c r="M579" i="33"/>
  <c r="M580" i="33"/>
  <c r="M581" i="33"/>
  <c r="M582" i="33"/>
  <c r="M583" i="33"/>
  <c r="M584" i="33"/>
  <c r="M585" i="33"/>
  <c r="M586" i="33"/>
  <c r="M587" i="33"/>
  <c r="M588" i="33"/>
  <c r="M589" i="33"/>
  <c r="M590" i="33"/>
  <c r="M591" i="33"/>
  <c r="M592" i="33"/>
  <c r="M593" i="33"/>
  <c r="M594" i="33"/>
  <c r="M595" i="33"/>
  <c r="M596" i="33"/>
  <c r="M597" i="33"/>
  <c r="M598" i="33"/>
  <c r="M599" i="33"/>
  <c r="M600" i="33"/>
  <c r="M601" i="33"/>
  <c r="M602" i="33"/>
  <c r="M603" i="33"/>
  <c r="M604" i="33"/>
  <c r="M605" i="33"/>
  <c r="M606" i="33"/>
  <c r="M607" i="33"/>
  <c r="M608" i="33"/>
  <c r="M609" i="33"/>
  <c r="M610" i="33"/>
  <c r="M611" i="33"/>
  <c r="M612" i="33"/>
  <c r="M613" i="33"/>
  <c r="M614" i="33"/>
  <c r="M615" i="33"/>
  <c r="M616" i="33"/>
  <c r="M617" i="33"/>
  <c r="M618" i="33"/>
  <c r="M619" i="33"/>
  <c r="M620" i="33"/>
  <c r="M621" i="33"/>
  <c r="M622" i="33"/>
  <c r="M623" i="33"/>
  <c r="M624" i="33"/>
  <c r="M625" i="33"/>
  <c r="M626" i="33"/>
  <c r="M627" i="33"/>
  <c r="M628" i="33"/>
  <c r="M629" i="33"/>
  <c r="M630" i="33"/>
  <c r="M631" i="33"/>
  <c r="M632" i="33"/>
  <c r="M633" i="33"/>
  <c r="M634" i="33"/>
  <c r="M635" i="33"/>
  <c r="M636" i="33"/>
  <c r="M637" i="33"/>
  <c r="M638" i="33"/>
  <c r="M639" i="33"/>
  <c r="M640" i="33"/>
  <c r="M641" i="33"/>
  <c r="M642" i="33"/>
  <c r="M643" i="33"/>
  <c r="M644" i="33"/>
  <c r="M645" i="33"/>
  <c r="M646" i="33"/>
  <c r="M647" i="33"/>
  <c r="M648" i="33"/>
  <c r="M649" i="33"/>
  <c r="M650" i="33"/>
  <c r="M651" i="33"/>
  <c r="M652" i="33"/>
  <c r="M653" i="33"/>
  <c r="M654" i="33"/>
  <c r="M655" i="33"/>
  <c r="M656" i="33"/>
  <c r="M657" i="33"/>
  <c r="M658" i="33"/>
  <c r="M659" i="33"/>
  <c r="M660" i="33"/>
  <c r="M661" i="33"/>
  <c r="M662" i="33"/>
  <c r="M663" i="33"/>
  <c r="M664" i="33"/>
  <c r="M665" i="33"/>
  <c r="M666" i="33"/>
  <c r="M667" i="33"/>
  <c r="M668" i="33"/>
  <c r="M669" i="33"/>
  <c r="M670" i="33"/>
  <c r="M671" i="33"/>
  <c r="M672" i="33"/>
  <c r="M673" i="33"/>
  <c r="M674" i="33"/>
  <c r="M675" i="33"/>
  <c r="M676" i="33"/>
  <c r="M677" i="33"/>
  <c r="M678" i="33"/>
  <c r="M679" i="33"/>
  <c r="M680" i="33"/>
  <c r="M681" i="33"/>
  <c r="M682" i="33"/>
  <c r="M683" i="33"/>
  <c r="M684" i="33"/>
  <c r="M685" i="33"/>
  <c r="M686" i="33"/>
  <c r="M687" i="33"/>
  <c r="M688" i="33"/>
  <c r="M689" i="33"/>
  <c r="M690" i="33"/>
  <c r="M691" i="33"/>
  <c r="M692" i="33"/>
  <c r="M693" i="33"/>
  <c r="M694" i="33"/>
  <c r="M695" i="33"/>
  <c r="M696" i="33"/>
  <c r="M697" i="33"/>
  <c r="M698" i="33"/>
  <c r="M699" i="33"/>
  <c r="M700" i="33"/>
  <c r="M701" i="33"/>
  <c r="M702" i="33"/>
  <c r="M703" i="33"/>
  <c r="M704" i="33"/>
  <c r="M705" i="33"/>
  <c r="M706" i="33"/>
  <c r="M707" i="33"/>
  <c r="M708" i="33"/>
  <c r="M709" i="33"/>
  <c r="M710" i="33"/>
  <c r="M711" i="33"/>
  <c r="M712" i="33"/>
  <c r="M713" i="33"/>
  <c r="M714" i="33"/>
  <c r="M715" i="33"/>
  <c r="M716" i="33"/>
  <c r="M717" i="33"/>
  <c r="M718" i="33"/>
  <c r="M719" i="33"/>
  <c r="M720" i="33"/>
  <c r="M721" i="33"/>
  <c r="M722" i="33"/>
  <c r="M723" i="33"/>
  <c r="M724" i="33"/>
  <c r="M725" i="33"/>
  <c r="M726" i="33"/>
  <c r="M727" i="33"/>
  <c r="M728" i="33"/>
  <c r="M729" i="33"/>
  <c r="M730" i="33"/>
  <c r="M731" i="33"/>
  <c r="M732" i="33"/>
  <c r="M733" i="33"/>
  <c r="M734" i="33"/>
  <c r="M735" i="33"/>
  <c r="M736" i="33"/>
  <c r="M737" i="33"/>
  <c r="M738" i="33"/>
  <c r="M739" i="33"/>
  <c r="M740" i="33"/>
  <c r="M741" i="33"/>
  <c r="M742" i="33"/>
  <c r="M743" i="33"/>
  <c r="M744" i="33"/>
  <c r="M745" i="33"/>
  <c r="M746" i="33"/>
  <c r="M747" i="33"/>
  <c r="M748" i="33"/>
  <c r="M749" i="33"/>
  <c r="M750" i="33"/>
  <c r="M751" i="33"/>
  <c r="M752" i="33"/>
  <c r="M753" i="33"/>
  <c r="M754" i="33"/>
  <c r="M755" i="33"/>
  <c r="M756" i="33"/>
  <c r="M757" i="33"/>
  <c r="M758" i="33"/>
  <c r="M759" i="33"/>
  <c r="M760" i="33"/>
  <c r="M761" i="33"/>
  <c r="M762" i="33"/>
  <c r="N7" i="33"/>
  <c r="N8" i="33"/>
  <c r="N9" i="33"/>
  <c r="N10" i="33"/>
  <c r="N13" i="33"/>
  <c r="N14" i="33"/>
  <c r="N16" i="33"/>
  <c r="N17" i="33"/>
  <c r="N18" i="33"/>
  <c r="N20" i="33"/>
  <c r="N21" i="33"/>
  <c r="N22" i="33"/>
  <c r="N24" i="33"/>
  <c r="N25" i="33"/>
  <c r="N26" i="33"/>
  <c r="N29" i="33"/>
  <c r="N34" i="33"/>
  <c r="N38" i="33"/>
  <c r="N66" i="33"/>
  <c r="N127" i="33"/>
  <c r="O127" i="33" s="1"/>
  <c r="N128" i="33"/>
  <c r="N129" i="33"/>
  <c r="N130" i="33"/>
  <c r="N132" i="33"/>
  <c r="N133" i="33"/>
  <c r="N134" i="33"/>
  <c r="N136" i="33"/>
  <c r="O136" i="33" s="1"/>
  <c r="N137" i="33"/>
  <c r="N138" i="33"/>
  <c r="N140" i="33"/>
  <c r="N141" i="33"/>
  <c r="N142" i="33"/>
  <c r="N144" i="33"/>
  <c r="N145" i="33"/>
  <c r="O145" i="33" s="1"/>
  <c r="N146" i="33"/>
  <c r="N147" i="33"/>
  <c r="N148" i="33"/>
  <c r="N149" i="33"/>
  <c r="N154" i="33"/>
  <c r="N156" i="33"/>
  <c r="O156" i="33" s="1"/>
  <c r="N158" i="33"/>
  <c r="N166" i="33"/>
  <c r="N171" i="33"/>
  <c r="O171" i="33" s="1"/>
  <c r="N172" i="33"/>
  <c r="N174" i="33"/>
  <c r="N182" i="33"/>
  <c r="O182" i="33" s="1"/>
  <c r="N190" i="33"/>
  <c r="N200" i="33"/>
  <c r="N201" i="33"/>
  <c r="O201" i="33" s="1"/>
  <c r="N202" i="33"/>
  <c r="N206" i="33"/>
  <c r="N220" i="33"/>
  <c r="O220" i="33" s="1"/>
  <c r="N222" i="33"/>
  <c r="N225" i="33"/>
  <c r="N246" i="33"/>
  <c r="O246" i="33" s="1"/>
  <c r="N255" i="33"/>
  <c r="N270" i="33"/>
  <c r="O270" i="33" s="1"/>
  <c r="N286" i="33"/>
  <c r="N292" i="33"/>
  <c r="N293" i="33"/>
  <c r="N294" i="33"/>
  <c r="N297" i="33"/>
  <c r="O297" i="33" s="1"/>
  <c r="N298" i="33"/>
  <c r="N301" i="33"/>
  <c r="N302" i="33"/>
  <c r="N303" i="33"/>
  <c r="N304" i="33"/>
  <c r="N305" i="33"/>
  <c r="O305" i="33" s="1"/>
  <c r="N306" i="33"/>
  <c r="N307" i="33"/>
  <c r="N308" i="33"/>
  <c r="N309" i="33"/>
  <c r="N310" i="33"/>
  <c r="N312" i="33"/>
  <c r="N313" i="33"/>
  <c r="N314" i="33"/>
  <c r="O314" i="33" s="1"/>
  <c r="N317" i="33"/>
  <c r="N318" i="33"/>
  <c r="N320" i="33"/>
  <c r="N321" i="33"/>
  <c r="N322" i="33"/>
  <c r="N332" i="33"/>
  <c r="O332" i="33" s="1"/>
  <c r="N334" i="33"/>
  <c r="N337" i="33"/>
  <c r="N342" i="33"/>
  <c r="N348" i="33"/>
  <c r="O348" i="33" s="1"/>
  <c r="N350" i="33"/>
  <c r="N353" i="33"/>
  <c r="N358" i="33"/>
  <c r="N366" i="33"/>
  <c r="O366" i="33" s="1"/>
  <c r="N382" i="33"/>
  <c r="N406" i="33"/>
  <c r="N438" i="33"/>
  <c r="N454" i="33"/>
  <c r="O454" i="33" s="1"/>
  <c r="N461" i="33"/>
  <c r="N465" i="33"/>
  <c r="O465" i="33" s="1"/>
  <c r="N467" i="33"/>
  <c r="N469" i="33"/>
  <c r="N470" i="33"/>
  <c r="N471" i="33"/>
  <c r="N473" i="33"/>
  <c r="O473" i="33" s="1"/>
  <c r="N475" i="33"/>
  <c r="N477" i="33"/>
  <c r="N478" i="33"/>
  <c r="N479" i="33"/>
  <c r="N481" i="33"/>
  <c r="O481" i="33" s="1"/>
  <c r="N482" i="33"/>
  <c r="N483" i="33"/>
  <c r="N484" i="33"/>
  <c r="N485" i="33"/>
  <c r="N486" i="33"/>
  <c r="N487" i="33"/>
  <c r="N488" i="33"/>
  <c r="N489" i="33"/>
  <c r="O489" i="33" s="1"/>
  <c r="N490" i="33"/>
  <c r="N491" i="33"/>
  <c r="N492" i="33"/>
  <c r="N493" i="33"/>
  <c r="N494" i="33"/>
  <c r="N495" i="33"/>
  <c r="N496" i="33"/>
  <c r="N497" i="33"/>
  <c r="O497" i="33" s="1"/>
  <c r="N498" i="33"/>
  <c r="N499" i="33"/>
  <c r="N500" i="33"/>
  <c r="N501" i="33"/>
  <c r="N502" i="33"/>
  <c r="N503" i="33"/>
  <c r="N504" i="33"/>
  <c r="N505" i="33"/>
  <c r="O505" i="33" s="1"/>
  <c r="N506" i="33"/>
  <c r="N507" i="33"/>
  <c r="N508" i="33"/>
  <c r="N509" i="33"/>
  <c r="N510" i="33"/>
  <c r="N511" i="33"/>
  <c r="N512" i="33"/>
  <c r="N513" i="33"/>
  <c r="O513" i="33" s="1"/>
  <c r="N514" i="33"/>
  <c r="N515" i="33"/>
  <c r="N516" i="33"/>
  <c r="N517" i="33"/>
  <c r="N518" i="33"/>
  <c r="N519" i="33"/>
  <c r="N520" i="33"/>
  <c r="N521" i="33"/>
  <c r="O521" i="33" s="1"/>
  <c r="N522" i="33"/>
  <c r="N523" i="33"/>
  <c r="N524" i="33"/>
  <c r="N525" i="33"/>
  <c r="N526" i="33"/>
  <c r="N527" i="33"/>
  <c r="N528" i="33"/>
  <c r="N529" i="33"/>
  <c r="O529" i="33" s="1"/>
  <c r="N530" i="33"/>
  <c r="N531" i="33"/>
  <c r="N532" i="33"/>
  <c r="N533" i="33"/>
  <c r="N534" i="33"/>
  <c r="N535" i="33"/>
  <c r="N536" i="33"/>
  <c r="N537" i="33"/>
  <c r="O537" i="33" s="1"/>
  <c r="N538" i="33"/>
  <c r="N539" i="33"/>
  <c r="N540" i="33"/>
  <c r="N541" i="33"/>
  <c r="N542" i="33"/>
  <c r="N543" i="33"/>
  <c r="N544" i="33"/>
  <c r="N545" i="33"/>
  <c r="O545" i="33" s="1"/>
  <c r="N546" i="33"/>
  <c r="N547" i="33"/>
  <c r="N548" i="33"/>
  <c r="N549" i="33"/>
  <c r="N550" i="33"/>
  <c r="N551" i="33"/>
  <c r="N552" i="33"/>
  <c r="N553" i="33"/>
  <c r="O553" i="33" s="1"/>
  <c r="N554" i="33"/>
  <c r="N555" i="33"/>
  <c r="N556" i="33"/>
  <c r="N557" i="33"/>
  <c r="N558" i="33"/>
  <c r="N559" i="33"/>
  <c r="N560" i="33"/>
  <c r="N561" i="33"/>
  <c r="O561" i="33" s="1"/>
  <c r="N562" i="33"/>
  <c r="N563" i="33"/>
  <c r="N564" i="33"/>
  <c r="N565" i="33"/>
  <c r="N566" i="33"/>
  <c r="N567" i="33"/>
  <c r="N568" i="33"/>
  <c r="N569" i="33"/>
  <c r="O569" i="33" s="1"/>
  <c r="N570" i="33"/>
  <c r="N571" i="33"/>
  <c r="N572" i="33"/>
  <c r="N573" i="33"/>
  <c r="N574" i="33"/>
  <c r="N575" i="33"/>
  <c r="N576" i="33"/>
  <c r="N577" i="33"/>
  <c r="O577" i="33" s="1"/>
  <c r="N578" i="33"/>
  <c r="N579" i="33"/>
  <c r="N580" i="33"/>
  <c r="N581" i="33"/>
  <c r="N582" i="33"/>
  <c r="N583" i="33"/>
  <c r="N584" i="33"/>
  <c r="N585" i="33"/>
  <c r="O585" i="33" s="1"/>
  <c r="N586" i="33"/>
  <c r="N587" i="33"/>
  <c r="N588" i="33"/>
  <c r="N589" i="33"/>
  <c r="N590" i="33"/>
  <c r="N591" i="33"/>
  <c r="N592" i="33"/>
  <c r="N593" i="33"/>
  <c r="O593" i="33" s="1"/>
  <c r="N594" i="33"/>
  <c r="N595" i="33"/>
  <c r="N596" i="33"/>
  <c r="N597" i="33"/>
  <c r="N598" i="33"/>
  <c r="N599" i="33"/>
  <c r="N600" i="33"/>
  <c r="N601" i="33"/>
  <c r="O601" i="33" s="1"/>
  <c r="N602" i="33"/>
  <c r="N603" i="33"/>
  <c r="N604" i="33"/>
  <c r="N605" i="33"/>
  <c r="N606" i="33"/>
  <c r="N607" i="33"/>
  <c r="N608" i="33"/>
  <c r="N609" i="33"/>
  <c r="O609" i="33" s="1"/>
  <c r="N610" i="33"/>
  <c r="N611" i="33"/>
  <c r="N612" i="33"/>
  <c r="N613" i="33"/>
  <c r="N614" i="33"/>
  <c r="N615" i="33"/>
  <c r="N616" i="33"/>
  <c r="N617" i="33"/>
  <c r="O617" i="33" s="1"/>
  <c r="N618" i="33"/>
  <c r="N619" i="33"/>
  <c r="N620" i="33"/>
  <c r="N621" i="33"/>
  <c r="N622" i="33"/>
  <c r="N623" i="33"/>
  <c r="N624" i="33"/>
  <c r="N625" i="33"/>
  <c r="O625" i="33" s="1"/>
  <c r="N626" i="33"/>
  <c r="N627" i="33"/>
  <c r="N628" i="33"/>
  <c r="N629" i="33"/>
  <c r="N630" i="33"/>
  <c r="N631" i="33"/>
  <c r="N632" i="33"/>
  <c r="N633" i="33"/>
  <c r="O633" i="33" s="1"/>
  <c r="N634" i="33"/>
  <c r="N635" i="33"/>
  <c r="N636" i="33"/>
  <c r="N637" i="33"/>
  <c r="N638" i="33"/>
  <c r="O638" i="33" s="1"/>
  <c r="N639" i="33"/>
  <c r="N640" i="33"/>
  <c r="N641" i="33"/>
  <c r="N642" i="33"/>
  <c r="N643" i="33"/>
  <c r="N644" i="33"/>
  <c r="N645" i="33"/>
  <c r="N646" i="33"/>
  <c r="O646" i="33" s="1"/>
  <c r="N647" i="33"/>
  <c r="N648" i="33"/>
  <c r="N649" i="33"/>
  <c r="O649" i="33" s="1"/>
  <c r="N650" i="33"/>
  <c r="N651" i="33"/>
  <c r="N652" i="33"/>
  <c r="N653" i="33"/>
  <c r="O653" i="33" s="1"/>
  <c r="N654" i="33"/>
  <c r="O654" i="33" s="1"/>
  <c r="N655" i="33"/>
  <c r="N656" i="33"/>
  <c r="N657" i="33"/>
  <c r="O657" i="33" s="1"/>
  <c r="N658" i="33"/>
  <c r="N659" i="33"/>
  <c r="N660" i="33"/>
  <c r="N661" i="33"/>
  <c r="O661" i="33" s="1"/>
  <c r="N662" i="33"/>
  <c r="O662" i="33" s="1"/>
  <c r="N663" i="33"/>
  <c r="N664" i="33"/>
  <c r="N665" i="33"/>
  <c r="O665" i="33" s="1"/>
  <c r="N666" i="33"/>
  <c r="N667" i="33"/>
  <c r="N668" i="33"/>
  <c r="N669" i="33"/>
  <c r="O669" i="33" s="1"/>
  <c r="N670" i="33"/>
  <c r="O670" i="33" s="1"/>
  <c r="N671" i="33"/>
  <c r="N672" i="33"/>
  <c r="N673" i="33"/>
  <c r="O673" i="33" s="1"/>
  <c r="N674" i="33"/>
  <c r="N675" i="33"/>
  <c r="N676" i="33"/>
  <c r="N677" i="33"/>
  <c r="O677" i="33" s="1"/>
  <c r="N678" i="33"/>
  <c r="O678" i="33" s="1"/>
  <c r="N679" i="33"/>
  <c r="N680" i="33"/>
  <c r="N681" i="33"/>
  <c r="O681" i="33" s="1"/>
  <c r="N682" i="33"/>
  <c r="N683" i="33"/>
  <c r="N684" i="33"/>
  <c r="N685" i="33"/>
  <c r="O685" i="33" s="1"/>
  <c r="N686" i="33"/>
  <c r="O686" i="33" s="1"/>
  <c r="N687" i="33"/>
  <c r="N688" i="33"/>
  <c r="N689" i="33"/>
  <c r="O689" i="33" s="1"/>
  <c r="N690" i="33"/>
  <c r="N691" i="33"/>
  <c r="N692" i="33"/>
  <c r="N693" i="33"/>
  <c r="O693" i="33" s="1"/>
  <c r="N694" i="33"/>
  <c r="O694" i="33" s="1"/>
  <c r="N695" i="33"/>
  <c r="N696" i="33"/>
  <c r="N697" i="33"/>
  <c r="O697" i="33" s="1"/>
  <c r="N698" i="33"/>
  <c r="N699" i="33"/>
  <c r="O699" i="33" s="1"/>
  <c r="N700" i="33"/>
  <c r="N701" i="33"/>
  <c r="O701" i="33" s="1"/>
  <c r="N702" i="33"/>
  <c r="O702" i="33" s="1"/>
  <c r="N703" i="33"/>
  <c r="N704" i="33"/>
  <c r="N705" i="33"/>
  <c r="O705" i="33" s="1"/>
  <c r="N706" i="33"/>
  <c r="N707" i="33"/>
  <c r="O707" i="33" s="1"/>
  <c r="N708" i="33"/>
  <c r="N709" i="33"/>
  <c r="O709" i="33" s="1"/>
  <c r="N710" i="33"/>
  <c r="O710" i="33" s="1"/>
  <c r="N711" i="33"/>
  <c r="O711" i="33" s="1"/>
  <c r="N712" i="33"/>
  <c r="N713" i="33"/>
  <c r="O713" i="33" s="1"/>
  <c r="N714" i="33"/>
  <c r="N715" i="33"/>
  <c r="N716" i="33"/>
  <c r="N717" i="33"/>
  <c r="O717" i="33" s="1"/>
  <c r="N718" i="33"/>
  <c r="O718" i="33" s="1"/>
  <c r="N719" i="33"/>
  <c r="N720" i="33"/>
  <c r="O720" i="33" s="1"/>
  <c r="N721" i="33"/>
  <c r="O721" i="33" s="1"/>
  <c r="N722" i="33"/>
  <c r="N723" i="33"/>
  <c r="O723" i="33" s="1"/>
  <c r="N724" i="33"/>
  <c r="O724" i="33" s="1"/>
  <c r="N725" i="33"/>
  <c r="O725" i="33" s="1"/>
  <c r="N726" i="33"/>
  <c r="O726" i="33" s="1"/>
  <c r="N727" i="33"/>
  <c r="N728" i="33"/>
  <c r="N729" i="33"/>
  <c r="O729" i="33" s="1"/>
  <c r="N730" i="33"/>
  <c r="N731" i="33"/>
  <c r="O731" i="33" s="1"/>
  <c r="N732" i="33"/>
  <c r="N733" i="33"/>
  <c r="O733" i="33" s="1"/>
  <c r="N734" i="33"/>
  <c r="O734" i="33" s="1"/>
  <c r="N735" i="33"/>
  <c r="N736" i="33"/>
  <c r="N737" i="33"/>
  <c r="O737" i="33" s="1"/>
  <c r="N738" i="33"/>
  <c r="N739" i="33"/>
  <c r="O739" i="33" s="1"/>
  <c r="N740" i="33"/>
  <c r="O740" i="33" s="1"/>
  <c r="N741" i="33"/>
  <c r="O741" i="33" s="1"/>
  <c r="N742" i="33"/>
  <c r="O742" i="33" s="1"/>
  <c r="N743" i="33"/>
  <c r="O743" i="33" s="1"/>
  <c r="N744" i="33"/>
  <c r="O744" i="33" s="1"/>
  <c r="N745" i="33"/>
  <c r="O745" i="33" s="1"/>
  <c r="N746" i="33"/>
  <c r="N747" i="33"/>
  <c r="N748" i="33"/>
  <c r="O748" i="33" s="1"/>
  <c r="N749" i="33"/>
  <c r="O749" i="33" s="1"/>
  <c r="N750" i="33"/>
  <c r="O750" i="33" s="1"/>
  <c r="N751" i="33"/>
  <c r="N752" i="33"/>
  <c r="O752" i="33" s="1"/>
  <c r="N753" i="33"/>
  <c r="O753" i="33" s="1"/>
  <c r="N754" i="33"/>
  <c r="O754" i="33" s="1"/>
  <c r="N755" i="33"/>
  <c r="O755" i="33" s="1"/>
  <c r="N756" i="33"/>
  <c r="O756" i="33" s="1"/>
  <c r="N757" i="33"/>
  <c r="O757" i="33" s="1"/>
  <c r="N758" i="33"/>
  <c r="O758" i="33" s="1"/>
  <c r="N759" i="33"/>
  <c r="N760" i="33"/>
  <c r="O760" i="33" s="1"/>
  <c r="N761" i="33"/>
  <c r="O761" i="33" s="1"/>
  <c r="N762" i="33"/>
  <c r="O762" i="33" s="1"/>
  <c r="O7" i="33"/>
  <c r="O8" i="33"/>
  <c r="O9" i="33"/>
  <c r="O13" i="33"/>
  <c r="O16" i="33"/>
  <c r="O17" i="33"/>
  <c r="O20" i="33"/>
  <c r="O21" i="33"/>
  <c r="O22" i="33"/>
  <c r="O25" i="33"/>
  <c r="O29" i="33"/>
  <c r="O34" i="33"/>
  <c r="O38" i="33"/>
  <c r="O66" i="33"/>
  <c r="O128" i="33"/>
  <c r="O129" i="33"/>
  <c r="O130" i="33"/>
  <c r="O132" i="33"/>
  <c r="O133" i="33"/>
  <c r="O134" i="33"/>
  <c r="O137" i="33"/>
  <c r="O138" i="33"/>
  <c r="O140" i="33"/>
  <c r="O141" i="33"/>
  <c r="O142" i="33"/>
  <c r="O144" i="33"/>
  <c r="O146" i="33"/>
  <c r="O147" i="33"/>
  <c r="O148" i="33"/>
  <c r="O149" i="33"/>
  <c r="O154" i="33"/>
  <c r="O158" i="33"/>
  <c r="O159" i="33"/>
  <c r="O166" i="33"/>
  <c r="O172" i="33"/>
  <c r="O174" i="33"/>
  <c r="O190" i="33"/>
  <c r="O200" i="33"/>
  <c r="O202" i="33"/>
  <c r="O206" i="33"/>
  <c r="O222" i="33"/>
  <c r="O225" i="33"/>
  <c r="O255" i="33"/>
  <c r="O286" i="33"/>
  <c r="O292" i="33"/>
  <c r="O293" i="33"/>
  <c r="O294" i="33"/>
  <c r="O298" i="33"/>
  <c r="O301" i="33"/>
  <c r="O302" i="33"/>
  <c r="O303" i="33"/>
  <c r="O304" i="33"/>
  <c r="O306" i="33"/>
  <c r="O307" i="33"/>
  <c r="O308" i="33"/>
  <c r="O309" i="33"/>
  <c r="O310" i="33"/>
  <c r="O312" i="33"/>
  <c r="O313" i="33"/>
  <c r="O317" i="33"/>
  <c r="O318" i="33"/>
  <c r="O320" i="33"/>
  <c r="O321" i="33"/>
  <c r="O322" i="33"/>
  <c r="O334" i="33"/>
  <c r="O337" i="33"/>
  <c r="O342" i="33"/>
  <c r="O350" i="33"/>
  <c r="O353" i="33"/>
  <c r="O358" i="33"/>
  <c r="O382" i="33"/>
  <c r="O406" i="33"/>
  <c r="O438" i="33"/>
  <c r="O461" i="33"/>
  <c r="O467" i="33"/>
  <c r="O469" i="33"/>
  <c r="O470" i="33"/>
  <c r="O471" i="33"/>
  <c r="O475" i="33"/>
  <c r="O477" i="33"/>
  <c r="O478" i="33"/>
  <c r="O479" i="33"/>
  <c r="O482" i="33"/>
  <c r="O483" i="33"/>
  <c r="O484" i="33"/>
  <c r="O485" i="33"/>
  <c r="O486" i="33"/>
  <c r="O487" i="33"/>
  <c r="O488" i="33"/>
  <c r="O490" i="33"/>
  <c r="O491" i="33"/>
  <c r="O492" i="33"/>
  <c r="O493" i="33"/>
  <c r="O494" i="33"/>
  <c r="O495" i="33"/>
  <c r="O496" i="33"/>
  <c r="O498" i="33"/>
  <c r="O499" i="33"/>
  <c r="O500" i="33"/>
  <c r="O501" i="33"/>
  <c r="O502" i="33"/>
  <c r="O503" i="33"/>
  <c r="O504" i="33"/>
  <c r="O506" i="33"/>
  <c r="O507" i="33"/>
  <c r="O508" i="33"/>
  <c r="O509" i="33"/>
  <c r="O510" i="33"/>
  <c r="O511" i="33"/>
  <c r="O512" i="33"/>
  <c r="O514" i="33"/>
  <c r="O515" i="33"/>
  <c r="O516" i="33"/>
  <c r="O517" i="33"/>
  <c r="O518" i="33"/>
  <c r="O519" i="33"/>
  <c r="O520" i="33"/>
  <c r="O522" i="33"/>
  <c r="O523" i="33"/>
  <c r="O524" i="33"/>
  <c r="O525" i="33"/>
  <c r="O526" i="33"/>
  <c r="O527" i="33"/>
  <c r="O528" i="33"/>
  <c r="O530" i="33"/>
  <c r="O531" i="33"/>
  <c r="O532" i="33"/>
  <c r="O533" i="33"/>
  <c r="O534" i="33"/>
  <c r="O535" i="33"/>
  <c r="O536" i="33"/>
  <c r="O538" i="33"/>
  <c r="O539" i="33"/>
  <c r="O540" i="33"/>
  <c r="O541" i="33"/>
  <c r="O542" i="33"/>
  <c r="O543" i="33"/>
  <c r="O544" i="33"/>
  <c r="O546" i="33"/>
  <c r="O547" i="33"/>
  <c r="O548" i="33"/>
  <c r="O549" i="33"/>
  <c r="O550" i="33"/>
  <c r="O551" i="33"/>
  <c r="O552" i="33"/>
  <c r="O554" i="33"/>
  <c r="O555" i="33"/>
  <c r="O556" i="33"/>
  <c r="O557" i="33"/>
  <c r="O558" i="33"/>
  <c r="O559" i="33"/>
  <c r="O560" i="33"/>
  <c r="O562" i="33"/>
  <c r="O563" i="33"/>
  <c r="O564" i="33"/>
  <c r="O565" i="33"/>
  <c r="O566" i="33"/>
  <c r="O567" i="33"/>
  <c r="O568" i="33"/>
  <c r="O570" i="33"/>
  <c r="O571" i="33"/>
  <c r="O572" i="33"/>
  <c r="O573" i="33"/>
  <c r="O574" i="33"/>
  <c r="O575" i="33"/>
  <c r="O576" i="33"/>
  <c r="O578" i="33"/>
  <c r="O579" i="33"/>
  <c r="O580" i="33"/>
  <c r="O581" i="33"/>
  <c r="O582" i="33"/>
  <c r="O583" i="33"/>
  <c r="O584" i="33"/>
  <c r="O586" i="33"/>
  <c r="O587" i="33"/>
  <c r="O588" i="33"/>
  <c r="O589" i="33"/>
  <c r="O590" i="33"/>
  <c r="O591" i="33"/>
  <c r="O592" i="33"/>
  <c r="O594" i="33"/>
  <c r="O595" i="33"/>
  <c r="O596" i="33"/>
  <c r="O597" i="33"/>
  <c r="O598" i="33"/>
  <c r="O599" i="33"/>
  <c r="O600" i="33"/>
  <c r="O602" i="33"/>
  <c r="O603" i="33"/>
  <c r="O604" i="33"/>
  <c r="O605" i="33"/>
  <c r="O606" i="33"/>
  <c r="O607" i="33"/>
  <c r="O608" i="33"/>
  <c r="O610" i="33"/>
  <c r="O611" i="33"/>
  <c r="O612" i="33"/>
  <c r="O613" i="33"/>
  <c r="O614" i="33"/>
  <c r="O615" i="33"/>
  <c r="O616" i="33"/>
  <c r="O618" i="33"/>
  <c r="O619" i="33"/>
  <c r="O620" i="33"/>
  <c r="O621" i="33"/>
  <c r="O622" i="33"/>
  <c r="O623" i="33"/>
  <c r="O624" i="33"/>
  <c r="O626" i="33"/>
  <c r="O627" i="33"/>
  <c r="O628" i="33"/>
  <c r="O629" i="33"/>
  <c r="O630" i="33"/>
  <c r="O631" i="33"/>
  <c r="O632" i="33"/>
  <c r="O634" i="33"/>
  <c r="O635" i="33"/>
  <c r="O636" i="33"/>
  <c r="O637" i="33"/>
  <c r="O639" i="33"/>
  <c r="O640" i="33"/>
  <c r="O641" i="33"/>
  <c r="O642" i="33"/>
  <c r="O643" i="33"/>
  <c r="O644" i="33"/>
  <c r="O645" i="33"/>
  <c r="O647" i="33"/>
  <c r="O648" i="33"/>
  <c r="O650" i="33"/>
  <c r="O651" i="33"/>
  <c r="O652" i="33"/>
  <c r="O655" i="33"/>
  <c r="O656" i="33"/>
  <c r="O658" i="33"/>
  <c r="O659" i="33"/>
  <c r="O660" i="33"/>
  <c r="O663" i="33"/>
  <c r="O664" i="33"/>
  <c r="O666" i="33"/>
  <c r="O667" i="33"/>
  <c r="O668" i="33"/>
  <c r="O671" i="33"/>
  <c r="O672" i="33"/>
  <c r="O674" i="33"/>
  <c r="O675" i="33"/>
  <c r="O676" i="33"/>
  <c r="O679" i="33"/>
  <c r="O680" i="33"/>
  <c r="O682" i="33"/>
  <c r="O683" i="33"/>
  <c r="O684" i="33"/>
  <c r="O687" i="33"/>
  <c r="O688" i="33"/>
  <c r="O690" i="33"/>
  <c r="O691" i="33"/>
  <c r="O692" i="33"/>
  <c r="O695" i="33"/>
  <c r="O696" i="33"/>
  <c r="O698" i="33"/>
  <c r="O700" i="33"/>
  <c r="O703" i="33"/>
  <c r="O704" i="33"/>
  <c r="O706" i="33"/>
  <c r="O708" i="33"/>
  <c r="O712" i="33"/>
  <c r="O714" i="33"/>
  <c r="O715" i="33"/>
  <c r="O716" i="33"/>
  <c r="O719" i="33"/>
  <c r="O722" i="33"/>
  <c r="O727" i="33"/>
  <c r="O728" i="33"/>
  <c r="O730" i="33"/>
  <c r="O732" i="33"/>
  <c r="O735" i="33"/>
  <c r="O736" i="33"/>
  <c r="O738" i="33"/>
  <c r="O746" i="33"/>
  <c r="O747" i="33"/>
  <c r="O751" i="33"/>
  <c r="O759" i="33"/>
  <c r="P7" i="33"/>
  <c r="Q7" i="33" s="1"/>
  <c r="P8" i="33"/>
  <c r="Q8" i="33" s="1"/>
  <c r="P9" i="33"/>
  <c r="Q9" i="33" s="1"/>
  <c r="P10" i="33"/>
  <c r="Q10" i="33" s="1"/>
  <c r="P11" i="33"/>
  <c r="P12" i="33"/>
  <c r="P13" i="33"/>
  <c r="Q13" i="33" s="1"/>
  <c r="P14" i="33"/>
  <c r="Q14" i="33" s="1"/>
  <c r="P15" i="33"/>
  <c r="Q15" i="33" s="1"/>
  <c r="P16" i="33"/>
  <c r="Q16" i="33" s="1"/>
  <c r="P17" i="33"/>
  <c r="Q17" i="33" s="1"/>
  <c r="P18" i="33"/>
  <c r="Q18" i="33" s="1"/>
  <c r="P19" i="33"/>
  <c r="P20" i="33"/>
  <c r="P21" i="33"/>
  <c r="Q21" i="33" s="1"/>
  <c r="P22" i="33"/>
  <c r="Q22" i="33" s="1"/>
  <c r="P23" i="33"/>
  <c r="Q23" i="33" s="1"/>
  <c r="P24" i="33"/>
  <c r="Q24" i="33" s="1"/>
  <c r="P25" i="33"/>
  <c r="Q25" i="33" s="1"/>
  <c r="P26" i="33"/>
  <c r="Q26" i="33" s="1"/>
  <c r="P27" i="33"/>
  <c r="P28" i="33"/>
  <c r="P29" i="33"/>
  <c r="Q29" i="33" s="1"/>
  <c r="P30" i="33"/>
  <c r="Q30" i="33" s="1"/>
  <c r="P31" i="33"/>
  <c r="Q31" i="33" s="1"/>
  <c r="P32" i="33"/>
  <c r="Q32" i="33" s="1"/>
  <c r="P33" i="33"/>
  <c r="P34" i="33"/>
  <c r="Q34" i="33" s="1"/>
  <c r="P35" i="33"/>
  <c r="P36" i="33"/>
  <c r="P37" i="33"/>
  <c r="Q37" i="33" s="1"/>
  <c r="P38" i="33"/>
  <c r="Q38" i="33" s="1"/>
  <c r="P39" i="33"/>
  <c r="Q39" i="33" s="1"/>
  <c r="P40" i="33"/>
  <c r="Q40" i="33" s="1"/>
  <c r="P41" i="33"/>
  <c r="P42" i="33"/>
  <c r="P43" i="33"/>
  <c r="P44" i="33"/>
  <c r="P45" i="33"/>
  <c r="Q45" i="33" s="1"/>
  <c r="P46" i="33"/>
  <c r="Q46" i="33" s="1"/>
  <c r="P47" i="33"/>
  <c r="Q47" i="33" s="1"/>
  <c r="P48" i="33"/>
  <c r="Q48" i="33" s="1"/>
  <c r="P49" i="33"/>
  <c r="P50" i="33"/>
  <c r="P51" i="33"/>
  <c r="P52" i="33"/>
  <c r="P53" i="33"/>
  <c r="Q53" i="33" s="1"/>
  <c r="P54" i="33"/>
  <c r="P55" i="33"/>
  <c r="Q55" i="33" s="1"/>
  <c r="P56" i="33"/>
  <c r="Q56" i="33" s="1"/>
  <c r="P57" i="33"/>
  <c r="P58" i="33"/>
  <c r="Q58" i="33" s="1"/>
  <c r="P59" i="33"/>
  <c r="P60" i="33"/>
  <c r="P61" i="33"/>
  <c r="Q61" i="33" s="1"/>
  <c r="P62" i="33"/>
  <c r="Q62" i="33" s="1"/>
  <c r="P63" i="33"/>
  <c r="P64" i="33"/>
  <c r="Q64" i="33" s="1"/>
  <c r="P65" i="33"/>
  <c r="Q65" i="33" s="1"/>
  <c r="P66" i="33"/>
  <c r="Q66" i="33" s="1"/>
  <c r="P67" i="33"/>
  <c r="P68" i="33"/>
  <c r="P69" i="33"/>
  <c r="Q69" i="33" s="1"/>
  <c r="P70" i="33"/>
  <c r="Q70" i="33" s="1"/>
  <c r="P71" i="33"/>
  <c r="Q71" i="33" s="1"/>
  <c r="P72" i="33"/>
  <c r="Q72" i="33" s="1"/>
  <c r="P73" i="33"/>
  <c r="P74" i="33"/>
  <c r="Q74" i="33" s="1"/>
  <c r="P75" i="33"/>
  <c r="P76" i="33"/>
  <c r="P77" i="33"/>
  <c r="Q77" i="33" s="1"/>
  <c r="P78" i="33"/>
  <c r="P79" i="33"/>
  <c r="Q79" i="33" s="1"/>
  <c r="P80" i="33"/>
  <c r="Q80" i="33" s="1"/>
  <c r="P81" i="33"/>
  <c r="Q81" i="33" s="1"/>
  <c r="P82" i="33"/>
  <c r="Q82" i="33" s="1"/>
  <c r="P83" i="33"/>
  <c r="P84" i="33"/>
  <c r="P85" i="33"/>
  <c r="Q85" i="33" s="1"/>
  <c r="P86" i="33"/>
  <c r="Q86" i="33" s="1"/>
  <c r="P87" i="33"/>
  <c r="Q87" i="33" s="1"/>
  <c r="P88" i="33"/>
  <c r="Q88" i="33" s="1"/>
  <c r="P89" i="33"/>
  <c r="Q89" i="33" s="1"/>
  <c r="P90" i="33"/>
  <c r="Q90" i="33" s="1"/>
  <c r="P91" i="33"/>
  <c r="P92" i="33"/>
  <c r="P93" i="33"/>
  <c r="Q93" i="33" s="1"/>
  <c r="P94" i="33"/>
  <c r="Q94" i="33" s="1"/>
  <c r="P95" i="33"/>
  <c r="Q95" i="33" s="1"/>
  <c r="P96" i="33"/>
  <c r="Q96" i="33" s="1"/>
  <c r="P97" i="33"/>
  <c r="P98" i="33"/>
  <c r="Q98" i="33" s="1"/>
  <c r="P99" i="33"/>
  <c r="P100" i="33"/>
  <c r="P101" i="33"/>
  <c r="Q101" i="33" s="1"/>
  <c r="P102" i="33"/>
  <c r="P103" i="33"/>
  <c r="P104" i="33"/>
  <c r="Q104" i="33" s="1"/>
  <c r="P105" i="33"/>
  <c r="P106" i="33"/>
  <c r="Q106" i="33" s="1"/>
  <c r="P107" i="33"/>
  <c r="P108" i="33"/>
  <c r="P109" i="33"/>
  <c r="Q109" i="33" s="1"/>
  <c r="P110" i="33"/>
  <c r="Q110" i="33" s="1"/>
  <c r="P111" i="33"/>
  <c r="Q111" i="33" s="1"/>
  <c r="P112" i="33"/>
  <c r="Q112" i="33" s="1"/>
  <c r="P113" i="33"/>
  <c r="P114" i="33"/>
  <c r="Q114" i="33" s="1"/>
  <c r="P115" i="33"/>
  <c r="P116" i="33"/>
  <c r="P117" i="33"/>
  <c r="Q117" i="33" s="1"/>
  <c r="P118" i="33"/>
  <c r="Q118" i="33" s="1"/>
  <c r="P119" i="33"/>
  <c r="Q119" i="33" s="1"/>
  <c r="P120" i="33"/>
  <c r="Q120" i="33" s="1"/>
  <c r="P121" i="33"/>
  <c r="Q121" i="33" s="1"/>
  <c r="P122" i="33"/>
  <c r="P123" i="33"/>
  <c r="P124" i="33"/>
  <c r="P125" i="33"/>
  <c r="Q125" i="33" s="1"/>
  <c r="P126" i="33"/>
  <c r="Q126" i="33" s="1"/>
  <c r="P127" i="33"/>
  <c r="Q127" i="33" s="1"/>
  <c r="P128" i="33"/>
  <c r="P129" i="33"/>
  <c r="P130" i="33"/>
  <c r="Q130" i="33" s="1"/>
  <c r="P131" i="33"/>
  <c r="P132" i="33"/>
  <c r="P133" i="33"/>
  <c r="Q133" i="33" s="1"/>
  <c r="P134" i="33"/>
  <c r="Q134" i="33" s="1"/>
  <c r="P135" i="33"/>
  <c r="Q135" i="33" s="1"/>
  <c r="P136" i="33"/>
  <c r="P137" i="33"/>
  <c r="P138" i="33"/>
  <c r="P139" i="33"/>
  <c r="P140" i="33"/>
  <c r="P141" i="33"/>
  <c r="Q141" i="33" s="1"/>
  <c r="P142" i="33"/>
  <c r="P143" i="33"/>
  <c r="Q143" i="33" s="1"/>
  <c r="P144" i="33"/>
  <c r="Q144" i="33" s="1"/>
  <c r="P145" i="33"/>
  <c r="P146" i="33"/>
  <c r="Q146" i="33" s="1"/>
  <c r="P147" i="33"/>
  <c r="P148" i="33"/>
  <c r="P149" i="33"/>
  <c r="Q149" i="33" s="1"/>
  <c r="P150" i="33"/>
  <c r="Q150" i="33" s="1"/>
  <c r="P151" i="33"/>
  <c r="Q151" i="33" s="1"/>
  <c r="P152" i="33"/>
  <c r="P153" i="33"/>
  <c r="Q153" i="33" s="1"/>
  <c r="P154" i="33"/>
  <c r="Q154" i="33" s="1"/>
  <c r="P155" i="33"/>
  <c r="P156" i="33"/>
  <c r="P157" i="33"/>
  <c r="Q157" i="33" s="1"/>
  <c r="P158" i="33"/>
  <c r="P159" i="33"/>
  <c r="P160" i="33"/>
  <c r="P161" i="33"/>
  <c r="P162" i="33"/>
  <c r="P163" i="33"/>
  <c r="P164" i="33"/>
  <c r="P165" i="33"/>
  <c r="Q165" i="33" s="1"/>
  <c r="P166" i="33"/>
  <c r="Q166" i="33" s="1"/>
  <c r="P167" i="33"/>
  <c r="Q167" i="33" s="1"/>
  <c r="P168" i="33"/>
  <c r="P169" i="33"/>
  <c r="P170" i="33"/>
  <c r="Q170" i="33" s="1"/>
  <c r="P171" i="33"/>
  <c r="P172" i="33"/>
  <c r="P173" i="33"/>
  <c r="Q173" i="33" s="1"/>
  <c r="P174" i="33"/>
  <c r="Q174" i="33" s="1"/>
  <c r="P175" i="33"/>
  <c r="Q175" i="33" s="1"/>
  <c r="P176" i="33"/>
  <c r="Q176" i="33" s="1"/>
  <c r="P177" i="33"/>
  <c r="P178" i="33"/>
  <c r="Q178" i="33" s="1"/>
  <c r="P179" i="33"/>
  <c r="P180" i="33"/>
  <c r="P181" i="33"/>
  <c r="Q181" i="33" s="1"/>
  <c r="P182" i="33"/>
  <c r="Q182" i="33" s="1"/>
  <c r="P183" i="33"/>
  <c r="Q183" i="33" s="1"/>
  <c r="P184" i="33"/>
  <c r="Q184" i="33" s="1"/>
  <c r="P185" i="33"/>
  <c r="Q185" i="33" s="1"/>
  <c r="P186" i="33"/>
  <c r="Q186" i="33" s="1"/>
  <c r="P187" i="33"/>
  <c r="P188" i="33"/>
  <c r="P189" i="33"/>
  <c r="Q189" i="33" s="1"/>
  <c r="P190" i="33"/>
  <c r="Q190" i="33" s="1"/>
  <c r="P191" i="33"/>
  <c r="Q191" i="33" s="1"/>
  <c r="P192" i="33"/>
  <c r="P193" i="33"/>
  <c r="P194" i="33"/>
  <c r="Q194" i="33" s="1"/>
  <c r="P195" i="33"/>
  <c r="P196" i="33"/>
  <c r="P197" i="33"/>
  <c r="Q197" i="33" s="1"/>
  <c r="P198" i="33"/>
  <c r="Q198" i="33" s="1"/>
  <c r="P199" i="33"/>
  <c r="Q199" i="33" s="1"/>
  <c r="P200" i="33"/>
  <c r="Q200" i="33" s="1"/>
  <c r="P201" i="33"/>
  <c r="P202" i="33"/>
  <c r="Q202" i="33" s="1"/>
  <c r="P203" i="33"/>
  <c r="P204" i="33"/>
  <c r="P205" i="33"/>
  <c r="Q205" i="33" s="1"/>
  <c r="P206" i="33"/>
  <c r="Q206" i="33" s="1"/>
  <c r="P207" i="33"/>
  <c r="Q207" i="33" s="1"/>
  <c r="P208" i="33"/>
  <c r="Q208" i="33" s="1"/>
  <c r="P209" i="33"/>
  <c r="P210" i="33"/>
  <c r="Q210" i="33" s="1"/>
  <c r="P211" i="33"/>
  <c r="P212" i="33"/>
  <c r="P213" i="33"/>
  <c r="Q213" i="33" s="1"/>
  <c r="P214" i="33"/>
  <c r="P215" i="33"/>
  <c r="Q215" i="33" s="1"/>
  <c r="P216" i="33"/>
  <c r="Q216" i="33" s="1"/>
  <c r="P217" i="33"/>
  <c r="Q217" i="33" s="1"/>
  <c r="P218" i="33"/>
  <c r="P219" i="33"/>
  <c r="P220" i="33"/>
  <c r="P221" i="33"/>
  <c r="Q221" i="33" s="1"/>
  <c r="P222" i="33"/>
  <c r="Q222" i="33" s="1"/>
  <c r="P223" i="33"/>
  <c r="Q223" i="33" s="1"/>
  <c r="P224" i="33"/>
  <c r="P225" i="33"/>
  <c r="P226" i="33"/>
  <c r="Q226" i="33" s="1"/>
  <c r="P227" i="33"/>
  <c r="P228" i="33"/>
  <c r="P229" i="33"/>
  <c r="Q229" i="33" s="1"/>
  <c r="P230" i="33"/>
  <c r="Q230" i="33" s="1"/>
  <c r="P231" i="33"/>
  <c r="Q231" i="33" s="1"/>
  <c r="P232" i="33"/>
  <c r="P233" i="33"/>
  <c r="P234" i="33"/>
  <c r="P235" i="33"/>
  <c r="P236" i="33"/>
  <c r="P237" i="33"/>
  <c r="Q237" i="33" s="1"/>
  <c r="P238" i="33"/>
  <c r="P239" i="33"/>
  <c r="Q239" i="33" s="1"/>
  <c r="P240" i="33"/>
  <c r="Q240" i="33" s="1"/>
  <c r="P241" i="33"/>
  <c r="P242" i="33"/>
  <c r="Q242" i="33" s="1"/>
  <c r="P243" i="33"/>
  <c r="P244" i="33"/>
  <c r="P245" i="33"/>
  <c r="Q245" i="33" s="1"/>
  <c r="P246" i="33"/>
  <c r="P247" i="33"/>
  <c r="Q247" i="33" s="1"/>
  <c r="P248" i="33"/>
  <c r="Q248" i="33" s="1"/>
  <c r="P249" i="33"/>
  <c r="Q249" i="33" s="1"/>
  <c r="P250" i="33"/>
  <c r="Q250" i="33" s="1"/>
  <c r="P251" i="33"/>
  <c r="P252" i="33"/>
  <c r="P253" i="33"/>
  <c r="Q253" i="33" s="1"/>
  <c r="P254" i="33"/>
  <c r="Q254" i="33" s="1"/>
  <c r="P255" i="33"/>
  <c r="Q255" i="33" s="1"/>
  <c r="P256" i="33"/>
  <c r="P257" i="33"/>
  <c r="P258" i="33"/>
  <c r="P259" i="33"/>
  <c r="P260" i="33"/>
  <c r="P261" i="33"/>
  <c r="Q261" i="33" s="1"/>
  <c r="P262" i="33"/>
  <c r="P263" i="33"/>
  <c r="Q263" i="33" s="1"/>
  <c r="P264" i="33"/>
  <c r="Q264" i="33" s="1"/>
  <c r="P265" i="33"/>
  <c r="P266" i="33"/>
  <c r="Q266" i="33" s="1"/>
  <c r="P267" i="33"/>
  <c r="P268" i="33"/>
  <c r="P269" i="33"/>
  <c r="Q269" i="33" s="1"/>
  <c r="P270" i="33"/>
  <c r="Q270" i="33" s="1"/>
  <c r="P271" i="33"/>
  <c r="Q271" i="33" s="1"/>
  <c r="P272" i="33"/>
  <c r="Q272" i="33" s="1"/>
  <c r="P273" i="33"/>
  <c r="P274" i="33"/>
  <c r="Q274" i="33" s="1"/>
  <c r="P275" i="33"/>
  <c r="P276" i="33"/>
  <c r="P277" i="33"/>
  <c r="Q277" i="33" s="1"/>
  <c r="P278" i="33"/>
  <c r="P279" i="33"/>
  <c r="P280" i="33"/>
  <c r="P281" i="33"/>
  <c r="Q281" i="33" s="1"/>
  <c r="P282" i="33"/>
  <c r="Q282" i="33" s="1"/>
  <c r="P283" i="33"/>
  <c r="P284" i="33"/>
  <c r="P285" i="33"/>
  <c r="Q285" i="33" s="1"/>
  <c r="P286" i="33"/>
  <c r="Q286" i="33" s="1"/>
  <c r="P287" i="33"/>
  <c r="Q287" i="33" s="1"/>
  <c r="P288" i="33"/>
  <c r="P289" i="33"/>
  <c r="P290" i="33"/>
  <c r="Q290" i="33" s="1"/>
  <c r="P291" i="33"/>
  <c r="P292" i="33"/>
  <c r="P293" i="33"/>
  <c r="Q293" i="33" s="1"/>
  <c r="P294" i="33"/>
  <c r="Q294" i="33" s="1"/>
  <c r="P295" i="33"/>
  <c r="Q295" i="33" s="1"/>
  <c r="P296" i="33"/>
  <c r="Q296" i="33" s="1"/>
  <c r="P297" i="33"/>
  <c r="P298" i="33"/>
  <c r="Q298" i="33" s="1"/>
  <c r="P299" i="33"/>
  <c r="P300" i="33"/>
  <c r="P301" i="33"/>
  <c r="Q301" i="33" s="1"/>
  <c r="P302" i="33"/>
  <c r="Q302" i="33" s="1"/>
  <c r="P303" i="33"/>
  <c r="Q303" i="33" s="1"/>
  <c r="P304" i="33"/>
  <c r="Q304" i="33" s="1"/>
  <c r="P305" i="33"/>
  <c r="P306" i="33"/>
  <c r="Q306" i="33" s="1"/>
  <c r="P307" i="33"/>
  <c r="P308" i="33"/>
  <c r="P309" i="33"/>
  <c r="Q309" i="33" s="1"/>
  <c r="P310" i="33"/>
  <c r="P311" i="33"/>
  <c r="Q311" i="33" s="1"/>
  <c r="P312" i="33"/>
  <c r="Q312" i="33" s="1"/>
  <c r="P313" i="33"/>
  <c r="Q313" i="33" s="1"/>
  <c r="P314" i="33"/>
  <c r="P315" i="33"/>
  <c r="P316" i="33"/>
  <c r="P317" i="33"/>
  <c r="Q317" i="33" s="1"/>
  <c r="P318" i="33"/>
  <c r="P319" i="33"/>
  <c r="Q319" i="33" s="1"/>
  <c r="P320" i="33"/>
  <c r="Q320" i="33" s="1"/>
  <c r="P321" i="33"/>
  <c r="P322" i="33"/>
  <c r="Q322" i="33" s="1"/>
  <c r="P323" i="33"/>
  <c r="P324" i="33"/>
  <c r="P325" i="33"/>
  <c r="Q325" i="33" s="1"/>
  <c r="P326" i="33"/>
  <c r="Q326" i="33" s="1"/>
  <c r="P327" i="33"/>
  <c r="Q327" i="33" s="1"/>
  <c r="P328" i="33"/>
  <c r="P329" i="33"/>
  <c r="P330" i="33"/>
  <c r="Q330" i="33" s="1"/>
  <c r="P331" i="33"/>
  <c r="P332" i="33"/>
  <c r="P333" i="33"/>
  <c r="Q333" i="33" s="1"/>
  <c r="P334" i="33"/>
  <c r="P335" i="33"/>
  <c r="Q335" i="33" s="1"/>
  <c r="P336" i="33"/>
  <c r="Q336" i="33" s="1"/>
  <c r="P337" i="33"/>
  <c r="P338" i="33"/>
  <c r="P339" i="33"/>
  <c r="P340" i="33"/>
  <c r="P341" i="33"/>
  <c r="Q341" i="33" s="1"/>
  <c r="P342" i="33"/>
  <c r="Q342" i="33" s="1"/>
  <c r="P343" i="33"/>
  <c r="Q343" i="33" s="1"/>
  <c r="P344" i="33"/>
  <c r="P345" i="33"/>
  <c r="Q345" i="33" s="1"/>
  <c r="P346" i="33"/>
  <c r="Q346" i="33" s="1"/>
  <c r="P347" i="33"/>
  <c r="P348" i="33"/>
  <c r="P349" i="33"/>
  <c r="Q349" i="33" s="1"/>
  <c r="P350" i="33"/>
  <c r="Q350" i="33" s="1"/>
  <c r="P351" i="33"/>
  <c r="Q351" i="33" s="1"/>
  <c r="P352" i="33"/>
  <c r="P353" i="33"/>
  <c r="P354" i="33"/>
  <c r="P355" i="33"/>
  <c r="P356" i="33"/>
  <c r="P357" i="33"/>
  <c r="Q357" i="33" s="1"/>
  <c r="P358" i="33"/>
  <c r="P359" i="33"/>
  <c r="Q359" i="33" s="1"/>
  <c r="P360" i="33"/>
  <c r="Q360" i="33" s="1"/>
  <c r="P361" i="33"/>
  <c r="P362" i="33"/>
  <c r="Q362" i="33" s="1"/>
  <c r="P363" i="33"/>
  <c r="P364" i="33"/>
  <c r="P365" i="33"/>
  <c r="Q365" i="33" s="1"/>
  <c r="P366" i="33"/>
  <c r="Q366" i="33" s="1"/>
  <c r="P367" i="33"/>
  <c r="Q367" i="33" s="1"/>
  <c r="P368" i="33"/>
  <c r="Q368" i="33" s="1"/>
  <c r="P369" i="33"/>
  <c r="P370" i="33"/>
  <c r="P371" i="33"/>
  <c r="P372" i="33"/>
  <c r="P373" i="33"/>
  <c r="Q373" i="33" s="1"/>
  <c r="P374" i="33"/>
  <c r="Q374" i="33" s="1"/>
  <c r="P375" i="33"/>
  <c r="Q375" i="33" s="1"/>
  <c r="P376" i="33"/>
  <c r="Q376" i="33" s="1"/>
  <c r="P377" i="33"/>
  <c r="Q377" i="33" s="1"/>
  <c r="P378" i="33"/>
  <c r="Q378" i="33" s="1"/>
  <c r="P379" i="33"/>
  <c r="P380" i="33"/>
  <c r="P381" i="33"/>
  <c r="Q381" i="33" s="1"/>
  <c r="P382" i="33"/>
  <c r="Q382" i="33" s="1"/>
  <c r="P383" i="33"/>
  <c r="Q383" i="33" s="1"/>
  <c r="P384" i="33"/>
  <c r="Q384" i="33" s="1"/>
  <c r="P385" i="33"/>
  <c r="P386" i="33"/>
  <c r="Q386" i="33" s="1"/>
  <c r="P387" i="33"/>
  <c r="P388" i="33"/>
  <c r="P389" i="33"/>
  <c r="Q389" i="33" s="1"/>
  <c r="P390" i="33"/>
  <c r="Q390" i="33" s="1"/>
  <c r="P391" i="33"/>
  <c r="Q391" i="33" s="1"/>
  <c r="P392" i="33"/>
  <c r="Q392" i="33" s="1"/>
  <c r="P393" i="33"/>
  <c r="P394" i="33"/>
  <c r="Q394" i="33" s="1"/>
  <c r="P395" i="33"/>
  <c r="P396" i="33"/>
  <c r="P397" i="33"/>
  <c r="Q397" i="33" s="1"/>
  <c r="P398" i="33"/>
  <c r="P399" i="33"/>
  <c r="P400" i="33"/>
  <c r="Q400" i="33" s="1"/>
  <c r="P401" i="33"/>
  <c r="P402" i="33"/>
  <c r="Q402" i="33" s="1"/>
  <c r="P403" i="33"/>
  <c r="P404" i="33"/>
  <c r="P405" i="33"/>
  <c r="Q405" i="33" s="1"/>
  <c r="P406" i="33"/>
  <c r="Q406" i="33" s="1"/>
  <c r="P407" i="33"/>
  <c r="Q407" i="33" s="1"/>
  <c r="P408" i="33"/>
  <c r="P409" i="33"/>
  <c r="Q409" i="33" s="1"/>
  <c r="P410" i="33"/>
  <c r="P411" i="33"/>
  <c r="P412" i="33"/>
  <c r="P413" i="33"/>
  <c r="Q413" i="33" s="1"/>
  <c r="P414" i="33"/>
  <c r="P415" i="33"/>
  <c r="Q415" i="33" s="1"/>
  <c r="P416" i="33"/>
  <c r="Q416" i="33" s="1"/>
  <c r="P417" i="33"/>
  <c r="P418" i="33"/>
  <c r="Q418" i="33" s="1"/>
  <c r="P419" i="33"/>
  <c r="P420" i="33"/>
  <c r="P421" i="33"/>
  <c r="Q421" i="33" s="1"/>
  <c r="P422" i="33"/>
  <c r="Q422" i="33" s="1"/>
  <c r="P423" i="33"/>
  <c r="Q423" i="33" s="1"/>
  <c r="P424" i="33"/>
  <c r="P425" i="33"/>
  <c r="P426" i="33"/>
  <c r="Q426" i="33" s="1"/>
  <c r="P427" i="33"/>
  <c r="P428" i="33"/>
  <c r="P429" i="33"/>
  <c r="Q429" i="33" s="1"/>
  <c r="P430" i="33"/>
  <c r="P431" i="33"/>
  <c r="Q431" i="33" s="1"/>
  <c r="P432" i="33"/>
  <c r="Q432" i="33" s="1"/>
  <c r="P433" i="33"/>
  <c r="P434" i="33"/>
  <c r="Q434" i="33" s="1"/>
  <c r="P435" i="33"/>
  <c r="P436" i="33"/>
  <c r="P437" i="33"/>
  <c r="Q437" i="33" s="1"/>
  <c r="P438" i="33"/>
  <c r="Q438" i="33" s="1"/>
  <c r="P439" i="33"/>
  <c r="Q439" i="33" s="1"/>
  <c r="P440" i="33"/>
  <c r="Q440" i="33" s="1"/>
  <c r="P441" i="33"/>
  <c r="Q441" i="33" s="1"/>
  <c r="P442" i="33"/>
  <c r="P443" i="33"/>
  <c r="P444" i="33"/>
  <c r="P445" i="33"/>
  <c r="Q445" i="33" s="1"/>
  <c r="P446" i="33"/>
  <c r="P447" i="33"/>
  <c r="P448" i="33"/>
  <c r="P449" i="33"/>
  <c r="P450" i="33"/>
  <c r="P451" i="33"/>
  <c r="P452" i="33"/>
  <c r="P453" i="33"/>
  <c r="Q453" i="33" s="1"/>
  <c r="P454" i="33"/>
  <c r="P455" i="33"/>
  <c r="Q455" i="33" s="1"/>
  <c r="P456" i="33"/>
  <c r="P457" i="33"/>
  <c r="P458" i="33"/>
  <c r="P459" i="33"/>
  <c r="P460" i="33"/>
  <c r="P461" i="33"/>
  <c r="Q461" i="33" s="1"/>
  <c r="P462" i="33"/>
  <c r="P463" i="33"/>
  <c r="P464" i="33"/>
  <c r="Q464" i="33" s="1"/>
  <c r="P465" i="33"/>
  <c r="P466" i="33"/>
  <c r="P467" i="33"/>
  <c r="P468" i="33"/>
  <c r="P469" i="33"/>
  <c r="Q469" i="33" s="1"/>
  <c r="P470" i="33"/>
  <c r="P471" i="33"/>
  <c r="P472" i="33"/>
  <c r="P473" i="33"/>
  <c r="Q473" i="33" s="1"/>
  <c r="P474" i="33"/>
  <c r="P475" i="33"/>
  <c r="P476" i="33"/>
  <c r="P477" i="33"/>
  <c r="Q477" i="33" s="1"/>
  <c r="P478" i="33"/>
  <c r="P479" i="33"/>
  <c r="P480" i="33"/>
  <c r="P481" i="33"/>
  <c r="P482" i="33"/>
  <c r="P483" i="33"/>
  <c r="P484" i="33"/>
  <c r="P485" i="33"/>
  <c r="Q485" i="33" s="1"/>
  <c r="P486" i="33"/>
  <c r="P487" i="33"/>
  <c r="Q487" i="33" s="1"/>
  <c r="P488" i="33"/>
  <c r="P489" i="33"/>
  <c r="P490" i="33"/>
  <c r="P491" i="33"/>
  <c r="P492" i="33"/>
  <c r="P493" i="33"/>
  <c r="Q493" i="33" s="1"/>
  <c r="P494" i="33"/>
  <c r="P495" i="33"/>
  <c r="Q495" i="33" s="1"/>
  <c r="P496" i="33"/>
  <c r="Q496" i="33" s="1"/>
  <c r="P497" i="33"/>
  <c r="P498" i="33"/>
  <c r="P499" i="33"/>
  <c r="P500" i="33"/>
  <c r="P501" i="33"/>
  <c r="Q501" i="33" s="1"/>
  <c r="P502" i="33"/>
  <c r="P503" i="33"/>
  <c r="Q503" i="33" s="1"/>
  <c r="P504" i="33"/>
  <c r="Q504" i="33" s="1"/>
  <c r="P505" i="33"/>
  <c r="P506" i="33"/>
  <c r="P507" i="33"/>
  <c r="P508" i="33"/>
  <c r="P509" i="33"/>
  <c r="Q509" i="33" s="1"/>
  <c r="P510" i="33"/>
  <c r="P511" i="33"/>
  <c r="Q511" i="33" s="1"/>
  <c r="P512" i="33"/>
  <c r="Q512" i="33" s="1"/>
  <c r="P513" i="33"/>
  <c r="P514" i="33"/>
  <c r="P515" i="33"/>
  <c r="P516" i="33"/>
  <c r="P517" i="33"/>
  <c r="Q517" i="33" s="1"/>
  <c r="P518" i="33"/>
  <c r="P519" i="33"/>
  <c r="Q519" i="33" s="1"/>
  <c r="P520" i="33"/>
  <c r="Q520" i="33" s="1"/>
  <c r="P521" i="33"/>
  <c r="P522" i="33"/>
  <c r="P523" i="33"/>
  <c r="P524" i="33"/>
  <c r="P525" i="33"/>
  <c r="Q525" i="33" s="1"/>
  <c r="P526" i="33"/>
  <c r="P527" i="33"/>
  <c r="Q527" i="33" s="1"/>
  <c r="P528" i="33"/>
  <c r="Q528" i="33" s="1"/>
  <c r="P529" i="33"/>
  <c r="P530" i="33"/>
  <c r="P531" i="33"/>
  <c r="P532" i="33"/>
  <c r="P533" i="33"/>
  <c r="Q533" i="33" s="1"/>
  <c r="P534" i="33"/>
  <c r="P535" i="33"/>
  <c r="Q535" i="33" s="1"/>
  <c r="P536" i="33"/>
  <c r="Q536" i="33" s="1"/>
  <c r="P537" i="33"/>
  <c r="P538" i="33"/>
  <c r="P539" i="33"/>
  <c r="P540" i="33"/>
  <c r="P541" i="33"/>
  <c r="Q541" i="33" s="1"/>
  <c r="P542" i="33"/>
  <c r="P543" i="33"/>
  <c r="Q543" i="33" s="1"/>
  <c r="P544" i="33"/>
  <c r="Q544" i="33" s="1"/>
  <c r="P545" i="33"/>
  <c r="P546" i="33"/>
  <c r="P547" i="33"/>
  <c r="P548" i="33"/>
  <c r="P549" i="33"/>
  <c r="Q549" i="33" s="1"/>
  <c r="P550" i="33"/>
  <c r="P551" i="33"/>
  <c r="Q551" i="33" s="1"/>
  <c r="P552" i="33"/>
  <c r="Q552" i="33" s="1"/>
  <c r="P553" i="33"/>
  <c r="P554" i="33"/>
  <c r="P555" i="33"/>
  <c r="P556" i="33"/>
  <c r="P557" i="33"/>
  <c r="Q557" i="33" s="1"/>
  <c r="P558" i="33"/>
  <c r="P559" i="33"/>
  <c r="Q559" i="33" s="1"/>
  <c r="P560" i="33"/>
  <c r="Q560" i="33" s="1"/>
  <c r="P561" i="33"/>
  <c r="P562" i="33"/>
  <c r="P563" i="33"/>
  <c r="P564" i="33"/>
  <c r="P565" i="33"/>
  <c r="Q565" i="33" s="1"/>
  <c r="P566" i="33"/>
  <c r="P567" i="33"/>
  <c r="Q567" i="33" s="1"/>
  <c r="P568" i="33"/>
  <c r="Q568" i="33" s="1"/>
  <c r="P569" i="33"/>
  <c r="P570" i="33"/>
  <c r="P571" i="33"/>
  <c r="P572" i="33"/>
  <c r="P573" i="33"/>
  <c r="Q573" i="33" s="1"/>
  <c r="P574" i="33"/>
  <c r="P575" i="33"/>
  <c r="Q575" i="33" s="1"/>
  <c r="P576" i="33"/>
  <c r="Q576" i="33" s="1"/>
  <c r="P577" i="33"/>
  <c r="P578" i="33"/>
  <c r="P579" i="33"/>
  <c r="P580" i="33"/>
  <c r="P581" i="33"/>
  <c r="Q581" i="33" s="1"/>
  <c r="P582" i="33"/>
  <c r="P583" i="33"/>
  <c r="Q583" i="33" s="1"/>
  <c r="P584" i="33"/>
  <c r="Q584" i="33" s="1"/>
  <c r="P585" i="33"/>
  <c r="P586" i="33"/>
  <c r="P587" i="33"/>
  <c r="P588" i="33"/>
  <c r="P589" i="33"/>
  <c r="Q589" i="33" s="1"/>
  <c r="P590" i="33"/>
  <c r="P591" i="33"/>
  <c r="Q591" i="33" s="1"/>
  <c r="P592" i="33"/>
  <c r="Q592" i="33" s="1"/>
  <c r="P593" i="33"/>
  <c r="P594" i="33"/>
  <c r="P595" i="33"/>
  <c r="P596" i="33"/>
  <c r="P597" i="33"/>
  <c r="Q597" i="33" s="1"/>
  <c r="P598" i="33"/>
  <c r="P599" i="33"/>
  <c r="Q599" i="33" s="1"/>
  <c r="P600" i="33"/>
  <c r="Q600" i="33" s="1"/>
  <c r="P601" i="33"/>
  <c r="P602" i="33"/>
  <c r="P603" i="33"/>
  <c r="P604" i="33"/>
  <c r="P605" i="33"/>
  <c r="Q605" i="33" s="1"/>
  <c r="P606" i="33"/>
  <c r="P607" i="33"/>
  <c r="Q607" i="33" s="1"/>
  <c r="P608" i="33"/>
  <c r="Q608" i="33" s="1"/>
  <c r="P609" i="33"/>
  <c r="P610" i="33"/>
  <c r="P611" i="33"/>
  <c r="P612" i="33"/>
  <c r="P613" i="33"/>
  <c r="P614" i="33"/>
  <c r="P615" i="33"/>
  <c r="Q615" i="33" s="1"/>
  <c r="P616" i="33"/>
  <c r="Q616" i="33" s="1"/>
  <c r="P617" i="33"/>
  <c r="P618" i="33"/>
  <c r="P619" i="33"/>
  <c r="P620" i="33"/>
  <c r="P621" i="33"/>
  <c r="Q621" i="33" s="1"/>
  <c r="P622" i="33"/>
  <c r="P623" i="33"/>
  <c r="Q623" i="33" s="1"/>
  <c r="P624" i="33"/>
  <c r="Q624" i="33" s="1"/>
  <c r="P625" i="33"/>
  <c r="P626" i="33"/>
  <c r="P627" i="33"/>
  <c r="P628" i="33"/>
  <c r="P629" i="33"/>
  <c r="P630" i="33"/>
  <c r="P631" i="33"/>
  <c r="Q631" i="33" s="1"/>
  <c r="P632" i="33"/>
  <c r="Q632" i="33" s="1"/>
  <c r="P633" i="33"/>
  <c r="P634" i="33"/>
  <c r="P635" i="33"/>
  <c r="P636" i="33"/>
  <c r="P637" i="33"/>
  <c r="Q637" i="33" s="1"/>
  <c r="P638" i="33"/>
  <c r="P639" i="33"/>
  <c r="Q639" i="33" s="1"/>
  <c r="P640" i="33"/>
  <c r="Q640" i="33" s="1"/>
  <c r="P641" i="33"/>
  <c r="P642" i="33"/>
  <c r="P643" i="33"/>
  <c r="P644" i="33"/>
  <c r="P645" i="33"/>
  <c r="P646" i="33"/>
  <c r="P647" i="33"/>
  <c r="Q647" i="33" s="1"/>
  <c r="P648" i="33"/>
  <c r="Q648" i="33" s="1"/>
  <c r="P649" i="33"/>
  <c r="P650" i="33"/>
  <c r="P651" i="33"/>
  <c r="P652" i="33"/>
  <c r="P653" i="33"/>
  <c r="Q653" i="33" s="1"/>
  <c r="P654" i="33"/>
  <c r="P655" i="33"/>
  <c r="Q655" i="33" s="1"/>
  <c r="P656" i="33"/>
  <c r="Q656" i="33" s="1"/>
  <c r="P657" i="33"/>
  <c r="P658" i="33"/>
  <c r="P659" i="33"/>
  <c r="P660" i="33"/>
  <c r="P661" i="33"/>
  <c r="P662" i="33"/>
  <c r="P663" i="33"/>
  <c r="Q663" i="33" s="1"/>
  <c r="P664" i="33"/>
  <c r="Q664" i="33" s="1"/>
  <c r="P665" i="33"/>
  <c r="P666" i="33"/>
  <c r="P667" i="33"/>
  <c r="P668" i="33"/>
  <c r="P669" i="33"/>
  <c r="Q669" i="33" s="1"/>
  <c r="P670" i="33"/>
  <c r="P671" i="33"/>
  <c r="Q671" i="33" s="1"/>
  <c r="P672" i="33"/>
  <c r="Q672" i="33" s="1"/>
  <c r="P673" i="33"/>
  <c r="P674" i="33"/>
  <c r="P675" i="33"/>
  <c r="P676" i="33"/>
  <c r="P677" i="33"/>
  <c r="P678" i="33"/>
  <c r="P679" i="33"/>
  <c r="Q679" i="33" s="1"/>
  <c r="P680" i="33"/>
  <c r="Q680" i="33" s="1"/>
  <c r="P681" i="33"/>
  <c r="P682" i="33"/>
  <c r="P683" i="33"/>
  <c r="P684" i="33"/>
  <c r="P685" i="33"/>
  <c r="Q685" i="33" s="1"/>
  <c r="P686" i="33"/>
  <c r="P687" i="33"/>
  <c r="Q687" i="33" s="1"/>
  <c r="P688" i="33"/>
  <c r="Q688" i="33" s="1"/>
  <c r="P689" i="33"/>
  <c r="P690" i="33"/>
  <c r="P691" i="33"/>
  <c r="P692" i="33"/>
  <c r="P693" i="33"/>
  <c r="P694" i="33"/>
  <c r="P695" i="33"/>
  <c r="Q695" i="33" s="1"/>
  <c r="P696" i="33"/>
  <c r="Q696" i="33" s="1"/>
  <c r="P697" i="33"/>
  <c r="P698" i="33"/>
  <c r="P699" i="33"/>
  <c r="P700" i="33"/>
  <c r="P701" i="33"/>
  <c r="Q701" i="33" s="1"/>
  <c r="P702" i="33"/>
  <c r="P703" i="33"/>
  <c r="Q703" i="33" s="1"/>
  <c r="P704" i="33"/>
  <c r="Q704" i="33" s="1"/>
  <c r="P705" i="33"/>
  <c r="P706" i="33"/>
  <c r="P707" i="33"/>
  <c r="P708" i="33"/>
  <c r="P709" i="33"/>
  <c r="P710" i="33"/>
  <c r="P711" i="33"/>
  <c r="Q711" i="33" s="1"/>
  <c r="P712" i="33"/>
  <c r="Q712" i="33" s="1"/>
  <c r="P713" i="33"/>
  <c r="P714" i="33"/>
  <c r="P715" i="33"/>
  <c r="P716" i="33"/>
  <c r="P717" i="33"/>
  <c r="Q717" i="33" s="1"/>
  <c r="P718" i="33"/>
  <c r="P719" i="33"/>
  <c r="Q719" i="33" s="1"/>
  <c r="P720" i="33"/>
  <c r="Q720" i="33" s="1"/>
  <c r="P721" i="33"/>
  <c r="P722" i="33"/>
  <c r="P723" i="33"/>
  <c r="P724" i="33"/>
  <c r="P725" i="33"/>
  <c r="P726" i="33"/>
  <c r="P727" i="33"/>
  <c r="Q727" i="33" s="1"/>
  <c r="P728" i="33"/>
  <c r="Q728" i="33" s="1"/>
  <c r="P729" i="33"/>
  <c r="P730" i="33"/>
  <c r="P731" i="33"/>
  <c r="P732" i="33"/>
  <c r="P733" i="33"/>
  <c r="Q733" i="33" s="1"/>
  <c r="P734" i="33"/>
  <c r="P735" i="33"/>
  <c r="Q735" i="33" s="1"/>
  <c r="P736" i="33"/>
  <c r="Q736" i="33" s="1"/>
  <c r="P737" i="33"/>
  <c r="P738" i="33"/>
  <c r="P739" i="33"/>
  <c r="P740" i="33"/>
  <c r="P741" i="33"/>
  <c r="P742" i="33"/>
  <c r="P743" i="33"/>
  <c r="Q743" i="33" s="1"/>
  <c r="P744" i="33"/>
  <c r="Q744" i="33" s="1"/>
  <c r="P745" i="33"/>
  <c r="P746" i="33"/>
  <c r="P747" i="33"/>
  <c r="P748" i="33"/>
  <c r="P749" i="33"/>
  <c r="Q749" i="33" s="1"/>
  <c r="P750" i="33"/>
  <c r="P751" i="33"/>
  <c r="Q751" i="33" s="1"/>
  <c r="P752" i="33"/>
  <c r="Q752" i="33" s="1"/>
  <c r="P753" i="33"/>
  <c r="P754" i="33"/>
  <c r="P755" i="33"/>
  <c r="P756" i="33"/>
  <c r="P757" i="33"/>
  <c r="P758" i="33"/>
  <c r="P759" i="33"/>
  <c r="Q759" i="33" s="1"/>
  <c r="P760" i="33"/>
  <c r="Q760" i="33" s="1"/>
  <c r="P761" i="33"/>
  <c r="P762" i="33"/>
  <c r="Q11" i="33"/>
  <c r="Q12" i="33"/>
  <c r="Q19" i="33"/>
  <c r="Q20" i="33"/>
  <c r="Q27" i="33"/>
  <c r="Q28" i="33"/>
  <c r="Q33" i="33"/>
  <c r="Q35" i="33"/>
  <c r="Q36" i="33"/>
  <c r="Q41" i="33"/>
  <c r="Q42" i="33"/>
  <c r="Q43" i="33"/>
  <c r="Q44" i="33"/>
  <c r="Q49" i="33"/>
  <c r="Q50" i="33"/>
  <c r="Q51" i="33"/>
  <c r="Q52" i="33"/>
  <c r="Q54" i="33"/>
  <c r="Q57" i="33"/>
  <c r="Q59" i="33"/>
  <c r="Q60" i="33"/>
  <c r="Q63" i="33"/>
  <c r="Q67" i="33"/>
  <c r="Q68" i="33"/>
  <c r="Q73" i="33"/>
  <c r="Q75" i="33"/>
  <c r="Q76" i="33"/>
  <c r="Q78" i="33"/>
  <c r="Q83" i="33"/>
  <c r="Q84" i="33"/>
  <c r="Q91" i="33"/>
  <c r="Q92" i="33"/>
  <c r="Q97" i="33"/>
  <c r="Q99" i="33"/>
  <c r="Q100" i="33"/>
  <c r="Q102" i="33"/>
  <c r="Q103" i="33"/>
  <c r="Q105" i="33"/>
  <c r="Q107" i="33"/>
  <c r="Q108" i="33"/>
  <c r="Q113" i="33"/>
  <c r="Q115" i="33"/>
  <c r="Q116" i="33"/>
  <c r="Q122" i="33"/>
  <c r="Q123" i="33"/>
  <c r="Q124" i="33"/>
  <c r="Q128" i="33"/>
  <c r="Q129" i="33"/>
  <c r="Q131" i="33"/>
  <c r="Q132" i="33"/>
  <c r="Q136" i="33"/>
  <c r="Q137" i="33"/>
  <c r="Q138" i="33"/>
  <c r="Q139" i="33"/>
  <c r="Q140" i="33"/>
  <c r="Q142" i="33"/>
  <c r="Q145" i="33"/>
  <c r="Q147" i="33"/>
  <c r="Q148" i="33"/>
  <c r="Q152" i="33"/>
  <c r="Q155" i="33"/>
  <c r="Q156" i="33"/>
  <c r="Q158" i="33"/>
  <c r="Q159" i="33"/>
  <c r="Q160" i="33"/>
  <c r="Q161" i="33"/>
  <c r="Q162" i="33"/>
  <c r="Q163" i="33"/>
  <c r="Q164" i="33"/>
  <c r="Q168" i="33"/>
  <c r="Q169" i="33"/>
  <c r="Q171" i="33"/>
  <c r="Q172" i="33"/>
  <c r="Q177" i="33"/>
  <c r="Q179" i="33"/>
  <c r="Q180" i="33"/>
  <c r="Q187" i="33"/>
  <c r="Q188" i="33"/>
  <c r="Q192" i="33"/>
  <c r="Q193" i="33"/>
  <c r="Q195" i="33"/>
  <c r="Q196" i="33"/>
  <c r="Q201" i="33"/>
  <c r="Q203" i="33"/>
  <c r="Q204" i="33"/>
  <c r="Q209" i="33"/>
  <c r="Q211" i="33"/>
  <c r="Q212" i="33"/>
  <c r="Q214" i="33"/>
  <c r="Q218" i="33"/>
  <c r="Q219" i="33"/>
  <c r="Q220" i="33"/>
  <c r="Q224" i="33"/>
  <c r="Q225" i="33"/>
  <c r="Q227" i="33"/>
  <c r="Q228" i="33"/>
  <c r="Q232" i="33"/>
  <c r="Q233" i="33"/>
  <c r="Q234" i="33"/>
  <c r="Q235" i="33"/>
  <c r="Q236" i="33"/>
  <c r="Q238" i="33"/>
  <c r="Q241" i="33"/>
  <c r="Q243" i="33"/>
  <c r="Q244" i="33"/>
  <c r="Q246" i="33"/>
  <c r="Q251" i="33"/>
  <c r="Q252" i="33"/>
  <c r="Q256" i="33"/>
  <c r="Q257" i="33"/>
  <c r="Q258" i="33"/>
  <c r="Q259" i="33"/>
  <c r="Q260" i="33"/>
  <c r="Q262" i="33"/>
  <c r="Q265" i="33"/>
  <c r="Q267" i="33"/>
  <c r="Q268" i="33"/>
  <c r="Q273" i="33"/>
  <c r="Q275" i="33"/>
  <c r="Q276" i="33"/>
  <c r="Q278" i="33"/>
  <c r="Q279" i="33"/>
  <c r="Q280" i="33"/>
  <c r="Q283" i="33"/>
  <c r="Q284" i="33"/>
  <c r="Q288" i="33"/>
  <c r="Q289" i="33"/>
  <c r="Q291" i="33"/>
  <c r="Q292" i="33"/>
  <c r="Q297" i="33"/>
  <c r="Q299" i="33"/>
  <c r="Q300" i="33"/>
  <c r="Q305" i="33"/>
  <c r="Q307" i="33"/>
  <c r="Q308" i="33"/>
  <c r="Q310" i="33"/>
  <c r="Q314" i="33"/>
  <c r="Q315" i="33"/>
  <c r="Q316" i="33"/>
  <c r="Q318" i="33"/>
  <c r="Q321" i="33"/>
  <c r="Q323" i="33"/>
  <c r="Q324" i="33"/>
  <c r="Q328" i="33"/>
  <c r="Q329" i="33"/>
  <c r="Q331" i="33"/>
  <c r="Q332" i="33"/>
  <c r="Q334" i="33"/>
  <c r="Q337" i="33"/>
  <c r="Q338" i="33"/>
  <c r="Q339" i="33"/>
  <c r="Q340" i="33"/>
  <c r="Q344" i="33"/>
  <c r="Q347" i="33"/>
  <c r="Q348" i="33"/>
  <c r="Q352" i="33"/>
  <c r="Q353" i="33"/>
  <c r="Q354" i="33"/>
  <c r="Q355" i="33"/>
  <c r="Q356" i="33"/>
  <c r="Q358" i="33"/>
  <c r="Q361" i="33"/>
  <c r="Q363" i="33"/>
  <c r="Q364" i="33"/>
  <c r="Q369" i="33"/>
  <c r="Q370" i="33"/>
  <c r="Q371" i="33"/>
  <c r="Q372" i="33"/>
  <c r="Q379" i="33"/>
  <c r="Q380" i="33"/>
  <c r="Q385" i="33"/>
  <c r="Q387" i="33"/>
  <c r="Q388" i="33"/>
  <c r="Q393" i="33"/>
  <c r="Q395" i="33"/>
  <c r="Q396" i="33"/>
  <c r="Q398" i="33"/>
  <c r="Q399" i="33"/>
  <c r="Q401" i="33"/>
  <c r="Q403" i="33"/>
  <c r="Q404" i="33"/>
  <c r="Q408" i="33"/>
  <c r="Q410" i="33"/>
  <c r="Q411" i="33"/>
  <c r="Q412" i="33"/>
  <c r="Q414" i="33"/>
  <c r="Q417" i="33"/>
  <c r="Q419" i="33"/>
  <c r="Q420" i="33"/>
  <c r="Q424" i="33"/>
  <c r="Q425" i="33"/>
  <c r="Q427" i="33"/>
  <c r="Q428" i="33"/>
  <c r="Q430" i="33"/>
  <c r="Q433" i="33"/>
  <c r="Q435" i="33"/>
  <c r="Q436" i="33"/>
  <c r="Q442" i="33"/>
  <c r="Q443" i="33"/>
  <c r="Q444" i="33"/>
  <c r="Q446" i="33"/>
  <c r="Q447" i="33"/>
  <c r="Q448" i="33"/>
  <c r="Q449" i="33"/>
  <c r="Q450" i="33"/>
  <c r="Q451" i="33"/>
  <c r="Q452" i="33"/>
  <c r="Q454" i="33"/>
  <c r="Q456" i="33"/>
  <c r="Q457" i="33"/>
  <c r="Q458" i="33"/>
  <c r="Q459" i="33"/>
  <c r="Q460" i="33"/>
  <c r="Q462" i="33"/>
  <c r="Q463" i="33"/>
  <c r="Q465" i="33"/>
  <c r="Q466" i="33"/>
  <c r="Q467" i="33"/>
  <c r="Q468" i="33"/>
  <c r="Q470" i="33"/>
  <c r="Q471" i="33"/>
  <c r="Q472" i="33"/>
  <c r="Q474" i="33"/>
  <c r="Q475" i="33"/>
  <c r="Q476" i="33"/>
  <c r="Q478" i="33"/>
  <c r="Q479" i="33"/>
  <c r="Q480" i="33"/>
  <c r="Q481" i="33"/>
  <c r="Q482" i="33"/>
  <c r="Q483" i="33"/>
  <c r="Q484" i="33"/>
  <c r="Q486" i="33"/>
  <c r="Q488" i="33"/>
  <c r="Q489" i="33"/>
  <c r="Q490" i="33"/>
  <c r="Q491" i="33"/>
  <c r="Q492" i="33"/>
  <c r="Q494" i="33"/>
  <c r="Q497" i="33"/>
  <c r="Q498" i="33"/>
  <c r="Q499" i="33"/>
  <c r="Q500" i="33"/>
  <c r="Q502" i="33"/>
  <c r="Q505" i="33"/>
  <c r="Q506" i="33"/>
  <c r="Q507" i="33"/>
  <c r="Q508" i="33"/>
  <c r="Q510" i="33"/>
  <c r="Q513" i="33"/>
  <c r="Q514" i="33"/>
  <c r="Q515" i="33"/>
  <c r="Q516" i="33"/>
  <c r="Q518" i="33"/>
  <c r="Q521" i="33"/>
  <c r="Q522" i="33"/>
  <c r="Q523" i="33"/>
  <c r="Q524" i="33"/>
  <c r="Q526" i="33"/>
  <c r="Q529" i="33"/>
  <c r="Q530" i="33"/>
  <c r="Q531" i="33"/>
  <c r="Q532" i="33"/>
  <c r="Q534" i="33"/>
  <c r="Q537" i="33"/>
  <c r="Q538" i="33"/>
  <c r="Q539" i="33"/>
  <c r="Q540" i="33"/>
  <c r="Q542" i="33"/>
  <c r="Q545" i="33"/>
  <c r="Q546" i="33"/>
  <c r="Q547" i="33"/>
  <c r="Q548" i="33"/>
  <c r="Q550" i="33"/>
  <c r="Q553" i="33"/>
  <c r="Q554" i="33"/>
  <c r="Q555" i="33"/>
  <c r="Q556" i="33"/>
  <c r="Q558" i="33"/>
  <c r="Q561" i="33"/>
  <c r="Q562" i="33"/>
  <c r="Q563" i="33"/>
  <c r="Q564" i="33"/>
  <c r="Q566" i="33"/>
  <c r="Q569" i="33"/>
  <c r="Q570" i="33"/>
  <c r="Q571" i="33"/>
  <c r="Q572" i="33"/>
  <c r="Q574" i="33"/>
  <c r="Q577" i="33"/>
  <c r="Q578" i="33"/>
  <c r="Q579" i="33"/>
  <c r="Q580" i="33"/>
  <c r="Q582" i="33"/>
  <c r="Q585" i="33"/>
  <c r="Q586" i="33"/>
  <c r="Q587" i="33"/>
  <c r="Q588" i="33"/>
  <c r="Q590" i="33"/>
  <c r="Q593" i="33"/>
  <c r="Q594" i="33"/>
  <c r="Q595" i="33"/>
  <c r="Q596" i="33"/>
  <c r="Q598" i="33"/>
  <c r="Q601" i="33"/>
  <c r="Q602" i="33"/>
  <c r="Q603" i="33"/>
  <c r="Q604" i="33"/>
  <c r="Q606" i="33"/>
  <c r="Q609" i="33"/>
  <c r="Q610" i="33"/>
  <c r="Q611" i="33"/>
  <c r="Q612" i="33"/>
  <c r="Q613" i="33"/>
  <c r="Q614" i="33"/>
  <c r="Q617" i="33"/>
  <c r="Q618" i="33"/>
  <c r="Q619" i="33"/>
  <c r="Q620" i="33"/>
  <c r="Q622" i="33"/>
  <c r="Q625" i="33"/>
  <c r="Q626" i="33"/>
  <c r="Q627" i="33"/>
  <c r="Q628" i="33"/>
  <c r="Q629" i="33"/>
  <c r="Q630" i="33"/>
  <c r="Q633" i="33"/>
  <c r="Q634" i="33"/>
  <c r="Q635" i="33"/>
  <c r="Q636" i="33"/>
  <c r="Q638" i="33"/>
  <c r="Q641" i="33"/>
  <c r="Q642" i="33"/>
  <c r="Q643" i="33"/>
  <c r="Q644" i="33"/>
  <c r="Q645" i="33"/>
  <c r="Q646" i="33"/>
  <c r="Q649" i="33"/>
  <c r="Q650" i="33"/>
  <c r="Q651" i="33"/>
  <c r="Q652" i="33"/>
  <c r="Q654" i="33"/>
  <c r="Q657" i="33"/>
  <c r="Q658" i="33"/>
  <c r="Q659" i="33"/>
  <c r="Q660" i="33"/>
  <c r="Q661" i="33"/>
  <c r="Q662" i="33"/>
  <c r="Q665" i="33"/>
  <c r="Q666" i="33"/>
  <c r="Q667" i="33"/>
  <c r="Q668" i="33"/>
  <c r="Q670" i="33"/>
  <c r="Q673" i="33"/>
  <c r="Q674" i="33"/>
  <c r="Q675" i="33"/>
  <c r="Q676" i="33"/>
  <c r="Q677" i="33"/>
  <c r="Q678" i="33"/>
  <c r="Q681" i="33"/>
  <c r="Q682" i="33"/>
  <c r="Q683" i="33"/>
  <c r="Q684" i="33"/>
  <c r="Q686" i="33"/>
  <c r="Q689" i="33"/>
  <c r="Q690" i="33"/>
  <c r="Q691" i="33"/>
  <c r="Q692" i="33"/>
  <c r="Q693" i="33"/>
  <c r="Q694" i="33"/>
  <c r="Q697" i="33"/>
  <c r="Q698" i="33"/>
  <c r="Q699" i="33"/>
  <c r="Q700" i="33"/>
  <c r="Q702" i="33"/>
  <c r="Q705" i="33"/>
  <c r="Q706" i="33"/>
  <c r="Q707" i="33"/>
  <c r="Q708" i="33"/>
  <c r="Q709" i="33"/>
  <c r="Q710" i="33"/>
  <c r="Q713" i="33"/>
  <c r="Q714" i="33"/>
  <c r="Q715" i="33"/>
  <c r="Q716" i="33"/>
  <c r="Q718" i="33"/>
  <c r="Q721" i="33"/>
  <c r="Q722" i="33"/>
  <c r="Q723" i="33"/>
  <c r="Q724" i="33"/>
  <c r="Q725" i="33"/>
  <c r="Q726" i="33"/>
  <c r="Q729" i="33"/>
  <c r="Q730" i="33"/>
  <c r="Q731" i="33"/>
  <c r="Q732" i="33"/>
  <c r="Q734" i="33"/>
  <c r="Q737" i="33"/>
  <c r="Q738" i="33"/>
  <c r="Q739" i="33"/>
  <c r="Q740" i="33"/>
  <c r="Q741" i="33"/>
  <c r="Q742" i="33"/>
  <c r="Q745" i="33"/>
  <c r="Q746" i="33"/>
  <c r="Q747" i="33"/>
  <c r="Q748" i="33"/>
  <c r="Q750" i="33"/>
  <c r="Q753" i="33"/>
  <c r="Q754" i="33"/>
  <c r="Q755" i="33"/>
  <c r="Q756" i="33"/>
  <c r="Q757" i="33"/>
  <c r="Q758" i="33"/>
  <c r="Q761" i="33"/>
  <c r="Q762" i="33"/>
  <c r="AH9" i="33"/>
  <c r="AH10" i="33"/>
  <c r="AH11" i="33"/>
  <c r="F7" i="39"/>
  <c r="G7" i="39"/>
  <c r="F8" i="39"/>
  <c r="G8" i="39"/>
  <c r="F9" i="39"/>
  <c r="G9" i="39"/>
  <c r="F10" i="39"/>
  <c r="G10" i="39"/>
  <c r="F11" i="39"/>
  <c r="G11" i="39"/>
  <c r="G6" i="39"/>
  <c r="F6" i="39"/>
  <c r="G6" i="30"/>
  <c r="G7" i="30"/>
  <c r="J6" i="30"/>
  <c r="J8" i="30"/>
  <c r="G8" i="30"/>
  <c r="J7" i="30"/>
  <c r="AO3" i="41" l="1"/>
  <c r="AO8" i="41"/>
  <c r="AM8" i="41" s="1"/>
  <c r="AO87" i="41"/>
  <c r="AM87" i="41" s="1"/>
  <c r="AO63" i="41"/>
  <c r="AM63" i="41" s="1"/>
  <c r="AO55" i="41"/>
  <c r="AM33" i="41"/>
  <c r="AM141" i="41"/>
  <c r="AO142" i="41"/>
  <c r="AM142" i="41" s="1"/>
  <c r="AO165" i="41"/>
  <c r="AM165" i="41" s="1"/>
  <c r="AO9" i="41"/>
  <c r="AM9" i="41" s="1"/>
  <c r="AM109" i="41"/>
  <c r="AO110" i="41"/>
  <c r="AM117" i="41"/>
  <c r="AO118" i="41"/>
  <c r="AM118" i="41" s="1"/>
  <c r="AH34" i="33"/>
  <c r="AH36" i="33"/>
  <c r="AH32" i="33"/>
  <c r="AH31" i="33"/>
  <c r="AH37" i="33"/>
  <c r="AH35" i="33"/>
  <c r="AH33" i="33"/>
  <c r="AH27" i="33"/>
  <c r="AH25" i="33"/>
  <c r="AH24" i="33"/>
  <c r="AH28" i="33"/>
  <c r="AH26" i="33"/>
  <c r="AH19" i="33"/>
  <c r="AH17" i="33"/>
  <c r="N480" i="33"/>
  <c r="O480" i="33" s="1"/>
  <c r="N472" i="33"/>
  <c r="O472" i="33" s="1"/>
  <c r="N464" i="33"/>
  <c r="O464" i="33" s="1"/>
  <c r="N453" i="33"/>
  <c r="O453" i="33" s="1"/>
  <c r="N398" i="33"/>
  <c r="O398" i="33" s="1"/>
  <c r="N326" i="33"/>
  <c r="O326" i="33" s="1"/>
  <c r="N262" i="33"/>
  <c r="O262" i="33" s="1"/>
  <c r="N238" i="33"/>
  <c r="O238" i="33" s="1"/>
  <c r="N181" i="33"/>
  <c r="O181" i="33" s="1"/>
  <c r="N168" i="33"/>
  <c r="O168" i="33" s="1"/>
  <c r="N155" i="33"/>
  <c r="O155" i="33" s="1"/>
  <c r="N126" i="33"/>
  <c r="O126" i="33" s="1"/>
  <c r="N65" i="33"/>
  <c r="O65" i="33" s="1"/>
  <c r="N19" i="33"/>
  <c r="O19" i="33" s="1"/>
  <c r="N446" i="33"/>
  <c r="O446" i="33" s="1"/>
  <c r="N390" i="33"/>
  <c r="O390" i="33" s="1"/>
  <c r="N357" i="33"/>
  <c r="O357" i="33" s="1"/>
  <c r="N341" i="33"/>
  <c r="O341" i="33" s="1"/>
  <c r="N257" i="33"/>
  <c r="O257" i="33" s="1"/>
  <c r="N230" i="33"/>
  <c r="O230" i="33" s="1"/>
  <c r="N210" i="33"/>
  <c r="O210" i="33" s="1"/>
  <c r="N198" i="33"/>
  <c r="O198" i="33" s="1"/>
  <c r="N180" i="33"/>
  <c r="O180" i="33" s="1"/>
  <c r="N167" i="33"/>
  <c r="O167" i="33" s="1"/>
  <c r="N107" i="33"/>
  <c r="O107" i="33" s="1"/>
  <c r="N54" i="33"/>
  <c r="O54" i="33" s="1"/>
  <c r="N28" i="33"/>
  <c r="O28" i="33" s="1"/>
  <c r="N462" i="33"/>
  <c r="O462" i="33" s="1"/>
  <c r="N445" i="33"/>
  <c r="O445" i="33" s="1"/>
  <c r="N389" i="33"/>
  <c r="O389" i="33" s="1"/>
  <c r="N356" i="33"/>
  <c r="O356" i="33" s="1"/>
  <c r="N340" i="33"/>
  <c r="O340" i="33" s="1"/>
  <c r="N256" i="33"/>
  <c r="O256" i="33" s="1"/>
  <c r="N229" i="33"/>
  <c r="O229" i="33" s="1"/>
  <c r="N209" i="33"/>
  <c r="O209" i="33" s="1"/>
  <c r="N195" i="33"/>
  <c r="O195" i="33" s="1"/>
  <c r="N179" i="33"/>
  <c r="O179" i="33" s="1"/>
  <c r="N150" i="33"/>
  <c r="O150" i="33" s="1"/>
  <c r="N106" i="33"/>
  <c r="O106" i="33" s="1"/>
  <c r="N46" i="33"/>
  <c r="O46" i="33" s="1"/>
  <c r="N208" i="33"/>
  <c r="O208" i="33" s="1"/>
  <c r="N194" i="33"/>
  <c r="O194" i="33" s="1"/>
  <c r="N176" i="33"/>
  <c r="O176" i="33" s="1"/>
  <c r="N164" i="33"/>
  <c r="O164" i="33" s="1"/>
  <c r="N131" i="33"/>
  <c r="O131" i="33" s="1"/>
  <c r="N105" i="33"/>
  <c r="O105" i="33" s="1"/>
  <c r="N45" i="33"/>
  <c r="O45" i="33" s="1"/>
  <c r="O10" i="33"/>
  <c r="N447" i="33"/>
  <c r="O447" i="33" s="1"/>
  <c r="N383" i="33"/>
  <c r="O383" i="33" s="1"/>
  <c r="N375" i="33"/>
  <c r="O375" i="33" s="1"/>
  <c r="N327" i="33"/>
  <c r="O327" i="33" s="1"/>
  <c r="N448" i="33"/>
  <c r="O448" i="33" s="1"/>
  <c r="N393" i="33"/>
  <c r="O393" i="33" s="1"/>
  <c r="N263" i="33"/>
  <c r="O263" i="33" s="1"/>
  <c r="N247" i="33"/>
  <c r="O247" i="33" s="1"/>
  <c r="N183" i="33"/>
  <c r="O183" i="33" s="1"/>
  <c r="N151" i="33"/>
  <c r="O151" i="33" s="1"/>
  <c r="N47" i="33"/>
  <c r="O47" i="33" s="1"/>
  <c r="O39" i="33"/>
  <c r="O31" i="33"/>
  <c r="O23" i="33"/>
  <c r="O15" i="33"/>
  <c r="N476" i="33"/>
  <c r="O476" i="33" s="1"/>
  <c r="N468" i="33"/>
  <c r="O468" i="33" s="1"/>
  <c r="N460" i="33"/>
  <c r="O460" i="33" s="1"/>
  <c r="N430" i="33"/>
  <c r="O430" i="33" s="1"/>
  <c r="N377" i="33"/>
  <c r="O377" i="33" s="1"/>
  <c r="N352" i="33"/>
  <c r="O352" i="33" s="1"/>
  <c r="N336" i="33"/>
  <c r="O336" i="33" s="1"/>
  <c r="N319" i="33"/>
  <c r="O319" i="33" s="1"/>
  <c r="N300" i="33"/>
  <c r="O300" i="33" s="1"/>
  <c r="N280" i="33"/>
  <c r="O280" i="33" s="1"/>
  <c r="N254" i="33"/>
  <c r="O254" i="33" s="1"/>
  <c r="N224" i="33"/>
  <c r="O224" i="33" s="1"/>
  <c r="N207" i="33"/>
  <c r="O207" i="33" s="1"/>
  <c r="N193" i="33"/>
  <c r="O193" i="33" s="1"/>
  <c r="N175" i="33"/>
  <c r="O175" i="33" s="1"/>
  <c r="N139" i="33"/>
  <c r="O139" i="33" s="1"/>
  <c r="N43" i="33"/>
  <c r="O43" i="33" s="1"/>
  <c r="O24" i="33"/>
  <c r="O14" i="33"/>
  <c r="N75" i="33"/>
  <c r="O75" i="33" s="1"/>
  <c r="N70" i="33"/>
  <c r="O70" i="33" s="1"/>
  <c r="N60" i="33"/>
  <c r="O60" i="33" s="1"/>
  <c r="N457" i="33"/>
  <c r="O457" i="33" s="1"/>
  <c r="N376" i="33"/>
  <c r="O376" i="33" s="1"/>
  <c r="N299" i="33"/>
  <c r="O299" i="33" s="1"/>
  <c r="N250" i="33"/>
  <c r="O250" i="33" s="1"/>
  <c r="N192" i="33"/>
  <c r="O192" i="33" s="1"/>
  <c r="N86" i="33"/>
  <c r="O86" i="33" s="1"/>
  <c r="N73" i="33"/>
  <c r="O73" i="33" s="1"/>
  <c r="N349" i="33"/>
  <c r="O349" i="33" s="1"/>
  <c r="N249" i="33"/>
  <c r="O249" i="33" s="1"/>
  <c r="N67" i="33"/>
  <c r="O67" i="33" s="1"/>
  <c r="N12" i="33"/>
  <c r="O12" i="33" s="1"/>
  <c r="N118" i="33"/>
  <c r="O118" i="33" s="1"/>
  <c r="N78" i="33"/>
  <c r="O78" i="33" s="1"/>
  <c r="N30" i="33"/>
  <c r="O30" i="33" s="1"/>
  <c r="N116" i="33"/>
  <c r="O116" i="33" s="1"/>
  <c r="N102" i="33"/>
  <c r="O102" i="33" s="1"/>
  <c r="N76" i="33"/>
  <c r="O76" i="33" s="1"/>
  <c r="N62" i="33"/>
  <c r="O62" i="33" s="1"/>
  <c r="N44" i="33"/>
  <c r="O44" i="33" s="1"/>
  <c r="N115" i="33"/>
  <c r="O115" i="33" s="1"/>
  <c r="N100" i="33"/>
  <c r="O100" i="33" s="1"/>
  <c r="N114" i="33"/>
  <c r="O114" i="33" s="1"/>
  <c r="N99" i="33"/>
  <c r="O99" i="33" s="1"/>
  <c r="N74" i="33"/>
  <c r="O74" i="33" s="1"/>
  <c r="N59" i="33"/>
  <c r="O59" i="33" s="1"/>
  <c r="N113" i="33"/>
  <c r="O113" i="33" s="1"/>
  <c r="N98" i="33"/>
  <c r="O98" i="33" s="1"/>
  <c r="N58" i="33"/>
  <c r="O58" i="33" s="1"/>
  <c r="N37" i="33"/>
  <c r="O37" i="33" s="1"/>
  <c r="N110" i="33"/>
  <c r="O110" i="33" s="1"/>
  <c r="N97" i="33"/>
  <c r="O97" i="33" s="1"/>
  <c r="N57" i="33"/>
  <c r="O57" i="33" s="1"/>
  <c r="N437" i="33"/>
  <c r="O437" i="33" s="1"/>
  <c r="N429" i="33"/>
  <c r="O429" i="33" s="1"/>
  <c r="N421" i="33"/>
  <c r="O421" i="33" s="1"/>
  <c r="N413" i="33"/>
  <c r="O413" i="33" s="1"/>
  <c r="N405" i="33"/>
  <c r="O405" i="33" s="1"/>
  <c r="N397" i="33"/>
  <c r="O397" i="33" s="1"/>
  <c r="N381" i="33"/>
  <c r="O381" i="33" s="1"/>
  <c r="N373" i="33"/>
  <c r="O373" i="33" s="1"/>
  <c r="N365" i="33"/>
  <c r="O365" i="33" s="1"/>
  <c r="N325" i="33"/>
  <c r="O325" i="33" s="1"/>
  <c r="N285" i="33"/>
  <c r="O285" i="33" s="1"/>
  <c r="N277" i="33"/>
  <c r="O277" i="33" s="1"/>
  <c r="N269" i="33"/>
  <c r="O269" i="33" s="1"/>
  <c r="N261" i="33"/>
  <c r="O261" i="33" s="1"/>
  <c r="N253" i="33"/>
  <c r="O253" i="33" s="1"/>
  <c r="N245" i="33"/>
  <c r="O245" i="33" s="1"/>
  <c r="N237" i="33"/>
  <c r="O237" i="33" s="1"/>
  <c r="N213" i="33"/>
  <c r="O213" i="33" s="1"/>
  <c r="N205" i="33"/>
  <c r="O205" i="33" s="1"/>
  <c r="N197" i="33"/>
  <c r="O197" i="33" s="1"/>
  <c r="N189" i="33"/>
  <c r="O189" i="33" s="1"/>
  <c r="N173" i="33"/>
  <c r="O173" i="33" s="1"/>
  <c r="N165" i="33"/>
  <c r="O165" i="33" s="1"/>
  <c r="N125" i="33"/>
  <c r="O125" i="33" s="1"/>
  <c r="N117" i="33"/>
  <c r="O117" i="33" s="1"/>
  <c r="N109" i="33"/>
  <c r="O109" i="33" s="1"/>
  <c r="N101" i="33"/>
  <c r="O101" i="33" s="1"/>
  <c r="N93" i="33"/>
  <c r="O93" i="33" s="1"/>
  <c r="N85" i="33"/>
  <c r="O85" i="33" s="1"/>
  <c r="N77" i="33"/>
  <c r="O77" i="33" s="1"/>
  <c r="N69" i="33"/>
  <c r="O69" i="33" s="1"/>
  <c r="N61" i="33"/>
  <c r="O61" i="33" s="1"/>
  <c r="N53" i="33"/>
  <c r="O53" i="33" s="1"/>
  <c r="N452" i="33"/>
  <c r="O452" i="33" s="1"/>
  <c r="N444" i="33"/>
  <c r="O444" i="33" s="1"/>
  <c r="N436" i="33"/>
  <c r="O436" i="33" s="1"/>
  <c r="N428" i="33"/>
  <c r="O428" i="33" s="1"/>
  <c r="N420" i="33"/>
  <c r="O420" i="33" s="1"/>
  <c r="N412" i="33"/>
  <c r="O412" i="33" s="1"/>
  <c r="N404" i="33"/>
  <c r="O404" i="33" s="1"/>
  <c r="N396" i="33"/>
  <c r="O396" i="33" s="1"/>
  <c r="N388" i="33"/>
  <c r="O388" i="33" s="1"/>
  <c r="N380" i="33"/>
  <c r="O380" i="33" s="1"/>
  <c r="N372" i="33"/>
  <c r="O372" i="33" s="1"/>
  <c r="N364" i="33"/>
  <c r="O364" i="33" s="1"/>
  <c r="N324" i="33"/>
  <c r="O324" i="33" s="1"/>
  <c r="N316" i="33"/>
  <c r="O316" i="33" s="1"/>
  <c r="N284" i="33"/>
  <c r="O284" i="33" s="1"/>
  <c r="N276" i="33"/>
  <c r="O276" i="33" s="1"/>
  <c r="N268" i="33"/>
  <c r="O268" i="33" s="1"/>
  <c r="N260" i="33"/>
  <c r="O260" i="33" s="1"/>
  <c r="N252" i="33"/>
  <c r="O252" i="33" s="1"/>
  <c r="N244" i="33"/>
  <c r="O244" i="33" s="1"/>
  <c r="N236" i="33"/>
  <c r="O236" i="33" s="1"/>
  <c r="N228" i="33"/>
  <c r="O228" i="33" s="1"/>
  <c r="N212" i="33"/>
  <c r="O212" i="33" s="1"/>
  <c r="N204" i="33"/>
  <c r="O204" i="33" s="1"/>
  <c r="N196" i="33"/>
  <c r="O196" i="33" s="1"/>
  <c r="N188" i="33"/>
  <c r="O188" i="33" s="1"/>
  <c r="N124" i="33"/>
  <c r="O124" i="33" s="1"/>
  <c r="N108" i="33"/>
  <c r="O108" i="33" s="1"/>
  <c r="N92" i="33"/>
  <c r="O92" i="33" s="1"/>
  <c r="N84" i="33"/>
  <c r="O84" i="33" s="1"/>
  <c r="N68" i="33"/>
  <c r="O68" i="33" s="1"/>
  <c r="N52" i="33"/>
  <c r="O52" i="33" s="1"/>
  <c r="N459" i="33"/>
  <c r="O459" i="33" s="1"/>
  <c r="N451" i="33"/>
  <c r="O451" i="33" s="1"/>
  <c r="N443" i="33"/>
  <c r="O443" i="33" s="1"/>
  <c r="N435" i="33"/>
  <c r="O435" i="33" s="1"/>
  <c r="N427" i="33"/>
  <c r="O427" i="33" s="1"/>
  <c r="N419" i="33"/>
  <c r="O419" i="33" s="1"/>
  <c r="N411" i="33"/>
  <c r="O411" i="33" s="1"/>
  <c r="N403" i="33"/>
  <c r="O403" i="33" s="1"/>
  <c r="N395" i="33"/>
  <c r="O395" i="33" s="1"/>
  <c r="N387" i="33"/>
  <c r="O387" i="33" s="1"/>
  <c r="N379" i="33"/>
  <c r="O379" i="33" s="1"/>
  <c r="N371" i="33"/>
  <c r="O371" i="33" s="1"/>
  <c r="N363" i="33"/>
  <c r="O363" i="33" s="1"/>
  <c r="N355" i="33"/>
  <c r="O355" i="33" s="1"/>
  <c r="N347" i="33"/>
  <c r="O347" i="33" s="1"/>
  <c r="N339" i="33"/>
  <c r="O339" i="33" s="1"/>
  <c r="N331" i="33"/>
  <c r="O331" i="33" s="1"/>
  <c r="N323" i="33"/>
  <c r="O323" i="33" s="1"/>
  <c r="N315" i="33"/>
  <c r="O315" i="33" s="1"/>
  <c r="N291" i="33"/>
  <c r="O291" i="33" s="1"/>
  <c r="N283" i="33"/>
  <c r="O283" i="33" s="1"/>
  <c r="N275" i="33"/>
  <c r="O275" i="33" s="1"/>
  <c r="N267" i="33"/>
  <c r="O267" i="33" s="1"/>
  <c r="N259" i="33"/>
  <c r="O259" i="33" s="1"/>
  <c r="N251" i="33"/>
  <c r="O251" i="33" s="1"/>
  <c r="N243" i="33"/>
  <c r="O243" i="33" s="1"/>
  <c r="N235" i="33"/>
  <c r="O235" i="33" s="1"/>
  <c r="N227" i="33"/>
  <c r="O227" i="33" s="1"/>
  <c r="N219" i="33"/>
  <c r="O219" i="33" s="1"/>
  <c r="N211" i="33"/>
  <c r="O211" i="33" s="1"/>
  <c r="N203" i="33"/>
  <c r="O203" i="33" s="1"/>
  <c r="N187" i="33"/>
  <c r="O187" i="33" s="1"/>
  <c r="N123" i="33"/>
  <c r="O123" i="33" s="1"/>
  <c r="N91" i="33"/>
  <c r="O91" i="33" s="1"/>
  <c r="N83" i="33"/>
  <c r="O83" i="33" s="1"/>
  <c r="N51" i="33"/>
  <c r="O51" i="33" s="1"/>
  <c r="N458" i="33"/>
  <c r="O458" i="33" s="1"/>
  <c r="N450" i="33"/>
  <c r="O450" i="33" s="1"/>
  <c r="N442" i="33"/>
  <c r="O442" i="33" s="1"/>
  <c r="N434" i="33"/>
  <c r="O434" i="33" s="1"/>
  <c r="N426" i="33"/>
  <c r="O426" i="33" s="1"/>
  <c r="N418" i="33"/>
  <c r="O418" i="33" s="1"/>
  <c r="N410" i="33"/>
  <c r="O410" i="33" s="1"/>
  <c r="N402" i="33"/>
  <c r="O402" i="33" s="1"/>
  <c r="N394" i="33"/>
  <c r="O394" i="33" s="1"/>
  <c r="N386" i="33"/>
  <c r="O386" i="33" s="1"/>
  <c r="N378" i="33"/>
  <c r="O378" i="33" s="1"/>
  <c r="N370" i="33"/>
  <c r="O370" i="33" s="1"/>
  <c r="N362" i="33"/>
  <c r="O362" i="33" s="1"/>
  <c r="N354" i="33"/>
  <c r="O354" i="33" s="1"/>
  <c r="N346" i="33"/>
  <c r="O346" i="33" s="1"/>
  <c r="N338" i="33"/>
  <c r="O338" i="33" s="1"/>
  <c r="N330" i="33"/>
  <c r="O330" i="33" s="1"/>
  <c r="N290" i="33"/>
  <c r="O290" i="33" s="1"/>
  <c r="N282" i="33"/>
  <c r="O282" i="33" s="1"/>
  <c r="N274" i="33"/>
  <c r="O274" i="33" s="1"/>
  <c r="N266" i="33"/>
  <c r="O266" i="33" s="1"/>
  <c r="N258" i="33"/>
  <c r="O258" i="33" s="1"/>
  <c r="N242" i="33"/>
  <c r="O242" i="33" s="1"/>
  <c r="N234" i="33"/>
  <c r="O234" i="33" s="1"/>
  <c r="N226" i="33"/>
  <c r="O226" i="33" s="1"/>
  <c r="N218" i="33"/>
  <c r="O218" i="33" s="1"/>
  <c r="N186" i="33"/>
  <c r="O186" i="33" s="1"/>
  <c r="N178" i="33"/>
  <c r="O178" i="33" s="1"/>
  <c r="N170" i="33"/>
  <c r="O170" i="33" s="1"/>
  <c r="N162" i="33"/>
  <c r="O162" i="33" s="1"/>
  <c r="N122" i="33"/>
  <c r="O122" i="33" s="1"/>
  <c r="N90" i="33"/>
  <c r="O90" i="33" s="1"/>
  <c r="N82" i="33"/>
  <c r="O82" i="33" s="1"/>
  <c r="N50" i="33"/>
  <c r="O50" i="33" s="1"/>
  <c r="N42" i="33"/>
  <c r="O42" i="33" s="1"/>
  <c r="N449" i="33"/>
  <c r="O449" i="33" s="1"/>
  <c r="N441" i="33"/>
  <c r="O441" i="33" s="1"/>
  <c r="N433" i="33"/>
  <c r="O433" i="33" s="1"/>
  <c r="N425" i="33"/>
  <c r="O425" i="33" s="1"/>
  <c r="N417" i="33"/>
  <c r="O417" i="33" s="1"/>
  <c r="N409" i="33"/>
  <c r="O409" i="33" s="1"/>
  <c r="N401" i="33"/>
  <c r="O401" i="33" s="1"/>
  <c r="N385" i="33"/>
  <c r="O385" i="33" s="1"/>
  <c r="N369" i="33"/>
  <c r="O369" i="33" s="1"/>
  <c r="N361" i="33"/>
  <c r="O361" i="33" s="1"/>
  <c r="N345" i="33"/>
  <c r="O345" i="33" s="1"/>
  <c r="N329" i="33"/>
  <c r="O329" i="33" s="1"/>
  <c r="N289" i="33"/>
  <c r="O289" i="33" s="1"/>
  <c r="N281" i="33"/>
  <c r="O281" i="33" s="1"/>
  <c r="N273" i="33"/>
  <c r="O273" i="33" s="1"/>
  <c r="N265" i="33"/>
  <c r="O265" i="33" s="1"/>
  <c r="N241" i="33"/>
  <c r="O241" i="33" s="1"/>
  <c r="N233" i="33"/>
  <c r="O233" i="33" s="1"/>
  <c r="N217" i="33"/>
  <c r="O217" i="33" s="1"/>
  <c r="N185" i="33"/>
  <c r="O185" i="33" s="1"/>
  <c r="N177" i="33"/>
  <c r="O177" i="33" s="1"/>
  <c r="N169" i="33"/>
  <c r="O169" i="33" s="1"/>
  <c r="N161" i="33"/>
  <c r="O161" i="33" s="1"/>
  <c r="N153" i="33"/>
  <c r="O153" i="33" s="1"/>
  <c r="N121" i="33"/>
  <c r="O121" i="33" s="1"/>
  <c r="N89" i="33"/>
  <c r="O89" i="33" s="1"/>
  <c r="N81" i="33"/>
  <c r="O81" i="33" s="1"/>
  <c r="N49" i="33"/>
  <c r="O49" i="33" s="1"/>
  <c r="N41" i="33"/>
  <c r="O41" i="33" s="1"/>
  <c r="N33" i="33"/>
  <c r="O33" i="33" s="1"/>
  <c r="N440" i="33"/>
  <c r="O440" i="33" s="1"/>
  <c r="N432" i="33"/>
  <c r="O432" i="33" s="1"/>
  <c r="N424" i="33"/>
  <c r="O424" i="33" s="1"/>
  <c r="N416" i="33"/>
  <c r="O416" i="33" s="1"/>
  <c r="N408" i="33"/>
  <c r="O408" i="33" s="1"/>
  <c r="N400" i="33"/>
  <c r="O400" i="33" s="1"/>
  <c r="N392" i="33"/>
  <c r="O392" i="33" s="1"/>
  <c r="N384" i="33"/>
  <c r="O384" i="33" s="1"/>
  <c r="N368" i="33"/>
  <c r="O368" i="33" s="1"/>
  <c r="N360" i="33"/>
  <c r="O360" i="33" s="1"/>
  <c r="N344" i="33"/>
  <c r="O344" i="33" s="1"/>
  <c r="N328" i="33"/>
  <c r="O328" i="33" s="1"/>
  <c r="N296" i="33"/>
  <c r="O296" i="33" s="1"/>
  <c r="N288" i="33"/>
  <c r="O288" i="33" s="1"/>
  <c r="N272" i="33"/>
  <c r="O272" i="33" s="1"/>
  <c r="N264" i="33"/>
  <c r="O264" i="33" s="1"/>
  <c r="N248" i="33"/>
  <c r="O248" i="33" s="1"/>
  <c r="N240" i="33"/>
  <c r="O240" i="33" s="1"/>
  <c r="N232" i="33"/>
  <c r="O232" i="33" s="1"/>
  <c r="N216" i="33"/>
  <c r="O216" i="33" s="1"/>
  <c r="N184" i="33"/>
  <c r="O184" i="33" s="1"/>
  <c r="N160" i="33"/>
  <c r="O160" i="33" s="1"/>
  <c r="N152" i="33"/>
  <c r="O152" i="33" s="1"/>
  <c r="N120" i="33"/>
  <c r="O120" i="33" s="1"/>
  <c r="N112" i="33"/>
  <c r="O112" i="33" s="1"/>
  <c r="N104" i="33"/>
  <c r="O104" i="33" s="1"/>
  <c r="N96" i="33"/>
  <c r="O96" i="33" s="1"/>
  <c r="N88" i="33"/>
  <c r="O88" i="33" s="1"/>
  <c r="N80" i="33"/>
  <c r="O80" i="33" s="1"/>
  <c r="N72" i="33"/>
  <c r="O72" i="33" s="1"/>
  <c r="N64" i="33"/>
  <c r="O64" i="33" s="1"/>
  <c r="N56" i="33"/>
  <c r="O56" i="33" s="1"/>
  <c r="N48" i="33"/>
  <c r="O48" i="33" s="1"/>
  <c r="N40" i="33"/>
  <c r="O40" i="33" s="1"/>
  <c r="N32" i="33"/>
  <c r="O32" i="33" s="1"/>
  <c r="N455" i="33"/>
  <c r="O455" i="33" s="1"/>
  <c r="N439" i="33"/>
  <c r="O439" i="33" s="1"/>
  <c r="N431" i="33"/>
  <c r="O431" i="33" s="1"/>
  <c r="N423" i="33"/>
  <c r="O423" i="33" s="1"/>
  <c r="N415" i="33"/>
  <c r="O415" i="33" s="1"/>
  <c r="N407" i="33"/>
  <c r="O407" i="33" s="1"/>
  <c r="N399" i="33"/>
  <c r="O399" i="33" s="1"/>
  <c r="N391" i="33"/>
  <c r="O391" i="33" s="1"/>
  <c r="N367" i="33"/>
  <c r="O367" i="33" s="1"/>
  <c r="N359" i="33"/>
  <c r="O359" i="33" s="1"/>
  <c r="N351" i="33"/>
  <c r="O351" i="33" s="1"/>
  <c r="N343" i="33"/>
  <c r="O343" i="33" s="1"/>
  <c r="N335" i="33"/>
  <c r="O335" i="33" s="1"/>
  <c r="N287" i="33"/>
  <c r="O287" i="33" s="1"/>
  <c r="N271" i="33"/>
  <c r="O271" i="33" s="1"/>
  <c r="N239" i="33"/>
  <c r="O239" i="33" s="1"/>
  <c r="N231" i="33"/>
  <c r="O231" i="33" s="1"/>
  <c r="N223" i="33"/>
  <c r="O223" i="33" s="1"/>
  <c r="N215" i="33"/>
  <c r="O215" i="33" s="1"/>
  <c r="N199" i="33"/>
  <c r="O199" i="33" s="1"/>
  <c r="N191" i="33"/>
  <c r="O191" i="33" s="1"/>
  <c r="N119" i="33"/>
  <c r="O119" i="33" s="1"/>
  <c r="N111" i="33"/>
  <c r="O111" i="33" s="1"/>
  <c r="N103" i="33"/>
  <c r="O103" i="33" s="1"/>
  <c r="N95" i="33"/>
  <c r="O95" i="33" s="1"/>
  <c r="N87" i="33"/>
  <c r="O87" i="33" s="1"/>
  <c r="N79" i="33"/>
  <c r="O79" i="33" s="1"/>
  <c r="N71" i="33"/>
  <c r="O71" i="33" s="1"/>
  <c r="N63" i="33"/>
  <c r="O63" i="33" s="1"/>
  <c r="N55" i="33"/>
  <c r="O55" i="33" s="1"/>
  <c r="AP7" i="33"/>
  <c r="AP8" i="33"/>
  <c r="AP9" i="33"/>
  <c r="AP10" i="33"/>
  <c r="AP11" i="33"/>
  <c r="AP12" i="33"/>
  <c r="AP13" i="33"/>
  <c r="AP14" i="33"/>
  <c r="AP15" i="33"/>
  <c r="AP16" i="33"/>
  <c r="AP17" i="33"/>
  <c r="AP18" i="33"/>
  <c r="M16" i="26"/>
  <c r="M15" i="26"/>
  <c r="AA1" i="41"/>
  <c r="Y1" i="41"/>
  <c r="W1" i="41"/>
  <c r="U1" i="41"/>
  <c r="S1" i="41"/>
  <c r="Q1" i="41"/>
  <c r="O1" i="41"/>
  <c r="M1" i="41"/>
  <c r="K1" i="41"/>
  <c r="I1" i="41"/>
  <c r="G1" i="41"/>
  <c r="E1" i="41"/>
  <c r="M14" i="26"/>
  <c r="I188" i="45"/>
  <c r="I186" i="45"/>
  <c r="I183" i="45"/>
  <c r="I181" i="45"/>
  <c r="I179" i="45"/>
  <c r="I177" i="45"/>
  <c r="I175" i="45"/>
  <c r="I172" i="45"/>
  <c r="I118" i="45"/>
  <c r="I116" i="45"/>
  <c r="I113" i="45"/>
  <c r="I111" i="45"/>
  <c r="I109" i="45"/>
  <c r="I107" i="45"/>
  <c r="I105" i="45"/>
  <c r="I102" i="45"/>
  <c r="I63" i="45"/>
  <c r="I61" i="45"/>
  <c r="I58" i="45"/>
  <c r="I56" i="45"/>
  <c r="I54" i="45"/>
  <c r="I52" i="45"/>
  <c r="I50" i="45"/>
  <c r="I47" i="45"/>
  <c r="I22" i="45"/>
  <c r="I20" i="45"/>
  <c r="I17" i="45"/>
  <c r="I15" i="45"/>
  <c r="I13" i="45"/>
  <c r="I11" i="45"/>
  <c r="I9" i="45"/>
  <c r="AM3" i="41" l="1"/>
  <c r="AO4" i="41"/>
  <c r="AN7" i="41"/>
  <c r="AN15" i="41"/>
  <c r="AN23" i="41"/>
  <c r="AN31" i="41"/>
  <c r="AN39" i="41"/>
  <c r="AN47" i="41"/>
  <c r="AN55" i="41"/>
  <c r="AN63" i="41"/>
  <c r="AN71" i="41"/>
  <c r="AN79" i="41"/>
  <c r="AN87" i="41"/>
  <c r="AN95" i="41"/>
  <c r="AN103" i="41"/>
  <c r="AN111" i="41"/>
  <c r="AN119" i="41"/>
  <c r="AN127" i="41"/>
  <c r="AN135" i="41"/>
  <c r="AN143" i="41"/>
  <c r="AN151" i="41"/>
  <c r="AN159" i="41"/>
  <c r="AN8" i="41"/>
  <c r="AN16" i="41"/>
  <c r="AN24" i="41"/>
  <c r="AN32" i="41"/>
  <c r="AN40" i="41"/>
  <c r="AP40" i="41" s="1"/>
  <c r="AN48" i="41"/>
  <c r="AN56" i="41"/>
  <c r="AN64" i="41"/>
  <c r="AN72" i="41"/>
  <c r="AN80" i="41"/>
  <c r="AP80" i="41" s="1"/>
  <c r="AN88" i="41"/>
  <c r="AN96" i="41"/>
  <c r="AN104" i="41"/>
  <c r="AP104" i="41" s="1"/>
  <c r="AN112" i="41"/>
  <c r="AN120" i="41"/>
  <c r="AN128" i="41"/>
  <c r="AN136" i="41"/>
  <c r="AN144" i="41"/>
  <c r="AP144" i="41" s="1"/>
  <c r="AN152" i="41"/>
  <c r="AN160" i="41"/>
  <c r="AN9" i="41"/>
  <c r="AN17" i="41"/>
  <c r="AN25" i="41"/>
  <c r="AN33" i="41"/>
  <c r="AN41" i="41"/>
  <c r="AN49" i="41"/>
  <c r="AP49" i="41" s="1"/>
  <c r="AN57" i="41"/>
  <c r="AN65" i="41"/>
  <c r="AN73" i="41"/>
  <c r="AP73" i="41" s="1"/>
  <c r="AN81" i="41"/>
  <c r="AN89" i="41"/>
  <c r="AN97" i="41"/>
  <c r="AN105" i="41"/>
  <c r="AN113" i="41"/>
  <c r="AN121" i="41"/>
  <c r="AN129" i="41"/>
  <c r="AN137" i="41"/>
  <c r="AP137" i="41" s="1"/>
  <c r="AN145" i="41"/>
  <c r="AN153" i="41"/>
  <c r="AN161" i="41"/>
  <c r="AN2" i="41"/>
  <c r="AP2" i="41" s="1"/>
  <c r="AQ2" i="41" s="1" a="1"/>
  <c r="AQ2" i="41" s="1"/>
  <c r="AN10" i="41"/>
  <c r="AN18" i="41"/>
  <c r="AN26" i="41"/>
  <c r="AN34" i="41"/>
  <c r="AN42" i="41"/>
  <c r="AP42" i="41" s="1"/>
  <c r="AN50" i="41"/>
  <c r="AN58" i="41"/>
  <c r="AN66" i="41"/>
  <c r="AN74" i="41"/>
  <c r="AN82" i="41"/>
  <c r="AN90" i="41"/>
  <c r="AN98" i="41"/>
  <c r="AN106" i="41"/>
  <c r="AP106" i="41" s="1"/>
  <c r="AN114" i="41"/>
  <c r="AN122" i="41"/>
  <c r="AN130" i="41"/>
  <c r="AN138" i="41"/>
  <c r="AN146" i="41"/>
  <c r="AN154" i="41"/>
  <c r="AN162" i="41"/>
  <c r="AN3" i="41"/>
  <c r="AN11" i="41"/>
  <c r="AN19" i="41"/>
  <c r="AN27" i="41"/>
  <c r="AN35" i="41"/>
  <c r="AN43" i="41"/>
  <c r="AN51" i="41"/>
  <c r="AN59" i="41"/>
  <c r="AN67" i="41"/>
  <c r="AN75" i="41"/>
  <c r="AN83" i="41"/>
  <c r="AN91" i="41"/>
  <c r="AN99" i="41"/>
  <c r="AN107" i="41"/>
  <c r="AN115" i="41"/>
  <c r="AN123" i="41"/>
  <c r="AN131" i="41"/>
  <c r="AN139" i="41"/>
  <c r="AN147" i="41"/>
  <c r="AN155" i="41"/>
  <c r="AN163" i="41"/>
  <c r="AN4" i="41"/>
  <c r="AN12" i="41"/>
  <c r="AN20" i="41"/>
  <c r="AN28" i="41"/>
  <c r="AN36" i="41"/>
  <c r="AN44" i="41"/>
  <c r="AN52" i="41"/>
  <c r="AN60" i="41"/>
  <c r="AN68" i="41"/>
  <c r="AN76" i="41"/>
  <c r="AN84" i="41"/>
  <c r="AN92" i="41"/>
  <c r="AN100" i="41"/>
  <c r="AN108" i="41"/>
  <c r="AN116" i="41"/>
  <c r="AN124" i="41"/>
  <c r="AN132" i="41"/>
  <c r="AN140" i="41"/>
  <c r="AN148" i="41"/>
  <c r="AN156" i="41"/>
  <c r="AN164" i="41"/>
  <c r="AN5" i="41"/>
  <c r="AN13" i="41"/>
  <c r="AN21" i="41"/>
  <c r="AN29" i="41"/>
  <c r="AN37" i="41"/>
  <c r="AN45" i="41"/>
  <c r="AN53" i="41"/>
  <c r="AN61" i="41"/>
  <c r="AN69" i="41"/>
  <c r="AN77" i="41"/>
  <c r="AN85" i="41"/>
  <c r="AN93" i="41"/>
  <c r="AN101" i="41"/>
  <c r="AN109" i="41"/>
  <c r="AN117" i="41"/>
  <c r="AN125" i="41"/>
  <c r="AN133" i="41"/>
  <c r="AN141" i="41"/>
  <c r="AN149" i="41"/>
  <c r="AN157" i="41"/>
  <c r="AN165" i="41"/>
  <c r="AN6" i="41"/>
  <c r="AP6" i="41" s="1"/>
  <c r="AN14" i="41"/>
  <c r="AN22" i="41"/>
  <c r="AN30" i="41"/>
  <c r="AN38" i="41"/>
  <c r="AN46" i="41"/>
  <c r="AN54" i="41"/>
  <c r="AN62" i="41"/>
  <c r="AN70" i="41"/>
  <c r="AP70" i="41" s="1"/>
  <c r="AN78" i="41"/>
  <c r="AN86" i="41"/>
  <c r="AN94" i="41"/>
  <c r="AN102" i="41"/>
  <c r="AN110" i="41"/>
  <c r="AN118" i="41"/>
  <c r="AN126" i="41"/>
  <c r="AN134" i="41"/>
  <c r="AP134" i="41" s="1"/>
  <c r="AN142" i="41"/>
  <c r="AN150" i="41"/>
  <c r="AN158" i="41"/>
  <c r="AN166" i="41"/>
  <c r="AM55" i="41"/>
  <c r="AO56" i="41"/>
  <c r="AM110" i="41"/>
  <c r="AO111" i="41"/>
  <c r="AQ16" i="33"/>
  <c r="AR16" i="33" s="1"/>
  <c r="AQ9" i="33"/>
  <c r="AR9" i="33" s="1"/>
  <c r="AQ17" i="33"/>
  <c r="AR17" i="33" s="1"/>
  <c r="AQ10" i="33"/>
  <c r="AR10" i="33" s="1"/>
  <c r="AQ13" i="33"/>
  <c r="AR13" i="33" s="1"/>
  <c r="AQ7" i="33"/>
  <c r="AR7" i="33" s="1"/>
  <c r="AQ12" i="33"/>
  <c r="AR12" i="33" s="1"/>
  <c r="AQ11" i="33"/>
  <c r="AR11" i="33" s="1"/>
  <c r="AQ15" i="33"/>
  <c r="AR15" i="33" s="1"/>
  <c r="AQ18" i="33"/>
  <c r="AR18" i="33" s="1"/>
  <c r="AQ8" i="33"/>
  <c r="AR8" i="33" s="1"/>
  <c r="AQ14" i="33"/>
  <c r="AR14" i="33" s="1"/>
  <c r="G6" i="45"/>
  <c r="G7" i="45"/>
  <c r="G8" i="45"/>
  <c r="G9" i="45"/>
  <c r="G10" i="45"/>
  <c r="G11" i="45"/>
  <c r="G12" i="45"/>
  <c r="G13" i="45"/>
  <c r="G14" i="45"/>
  <c r="G15" i="45"/>
  <c r="G16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6" i="45"/>
  <c r="G57" i="45"/>
  <c r="G58" i="45"/>
  <c r="G59" i="45"/>
  <c r="G60" i="45"/>
  <c r="G61" i="45"/>
  <c r="G62" i="45"/>
  <c r="G63" i="45"/>
  <c r="G64" i="45"/>
  <c r="G65" i="45"/>
  <c r="G66" i="45"/>
  <c r="G67" i="45"/>
  <c r="G68" i="45"/>
  <c r="G69" i="45"/>
  <c r="G70" i="45"/>
  <c r="G71" i="45"/>
  <c r="G72" i="45"/>
  <c r="G73" i="45"/>
  <c r="G74" i="45"/>
  <c r="G75" i="45"/>
  <c r="G76" i="45"/>
  <c r="G77" i="45"/>
  <c r="G78" i="45"/>
  <c r="G79" i="45"/>
  <c r="G80" i="45"/>
  <c r="G81" i="45"/>
  <c r="G82" i="45"/>
  <c r="G83" i="45"/>
  <c r="G84" i="45"/>
  <c r="G85" i="45"/>
  <c r="G86" i="45"/>
  <c r="G87" i="45"/>
  <c r="G88" i="45"/>
  <c r="G89" i="45"/>
  <c r="G90" i="45"/>
  <c r="G91" i="45"/>
  <c r="G92" i="45"/>
  <c r="G93" i="45"/>
  <c r="G94" i="45"/>
  <c r="G95" i="45"/>
  <c r="G96" i="45"/>
  <c r="G97" i="45"/>
  <c r="G98" i="45"/>
  <c r="G99" i="45"/>
  <c r="G100" i="45"/>
  <c r="G101" i="45"/>
  <c r="G102" i="45"/>
  <c r="G103" i="45"/>
  <c r="G104" i="45"/>
  <c r="G105" i="45"/>
  <c r="G106" i="45"/>
  <c r="G107" i="45"/>
  <c r="G108" i="45"/>
  <c r="G109" i="45"/>
  <c r="G110" i="45"/>
  <c r="G111" i="45"/>
  <c r="G112" i="45"/>
  <c r="G113" i="45"/>
  <c r="G114" i="45"/>
  <c r="G115" i="45"/>
  <c r="G116" i="45"/>
  <c r="G117" i="45"/>
  <c r="G118" i="45"/>
  <c r="G119" i="45"/>
  <c r="G120" i="45"/>
  <c r="G121" i="45"/>
  <c r="G122" i="45"/>
  <c r="G123" i="45"/>
  <c r="G124" i="45"/>
  <c r="G125" i="45"/>
  <c r="G126" i="45"/>
  <c r="G127" i="45"/>
  <c r="G128" i="45"/>
  <c r="G129" i="45"/>
  <c r="G130" i="45"/>
  <c r="G131" i="45"/>
  <c r="G132" i="45"/>
  <c r="G133" i="45"/>
  <c r="G134" i="45"/>
  <c r="G135" i="45"/>
  <c r="G136" i="45"/>
  <c r="G137" i="45"/>
  <c r="G138" i="45"/>
  <c r="G139" i="45"/>
  <c r="G140" i="45"/>
  <c r="G141" i="45"/>
  <c r="G142" i="45"/>
  <c r="G143" i="45"/>
  <c r="G144" i="45"/>
  <c r="G145" i="45"/>
  <c r="G146" i="45"/>
  <c r="G147" i="45"/>
  <c r="G148" i="45"/>
  <c r="G149" i="45"/>
  <c r="G150" i="45"/>
  <c r="G151" i="45"/>
  <c r="G152" i="45"/>
  <c r="G153" i="45"/>
  <c r="G154" i="45"/>
  <c r="G155" i="45"/>
  <c r="G156" i="45"/>
  <c r="G157" i="45"/>
  <c r="G158" i="45"/>
  <c r="G159" i="45"/>
  <c r="G160" i="45"/>
  <c r="G161" i="45"/>
  <c r="G162" i="45"/>
  <c r="G163" i="45"/>
  <c r="G164" i="45"/>
  <c r="G165" i="45"/>
  <c r="G166" i="45"/>
  <c r="G167" i="45"/>
  <c r="G168" i="45"/>
  <c r="G169" i="45"/>
  <c r="G170" i="45"/>
  <c r="G171" i="45"/>
  <c r="G172" i="45"/>
  <c r="G173" i="45"/>
  <c r="G174" i="45"/>
  <c r="G175" i="45"/>
  <c r="G176" i="45"/>
  <c r="G177" i="45"/>
  <c r="G178" i="45"/>
  <c r="G179" i="45"/>
  <c r="G180" i="45"/>
  <c r="G181" i="45"/>
  <c r="G182" i="45"/>
  <c r="G183" i="45"/>
  <c r="G184" i="45"/>
  <c r="G185" i="45"/>
  <c r="G186" i="45"/>
  <c r="G187" i="45"/>
  <c r="G188" i="45"/>
  <c r="G189" i="45"/>
  <c r="G190" i="45"/>
  <c r="G191" i="45"/>
  <c r="G192" i="45"/>
  <c r="G193" i="45"/>
  <c r="G194" i="45"/>
  <c r="G195" i="45"/>
  <c r="G196" i="45"/>
  <c r="G197" i="45"/>
  <c r="G198" i="45"/>
  <c r="G199" i="45"/>
  <c r="G200" i="45"/>
  <c r="G201" i="45"/>
  <c r="G202" i="45"/>
  <c r="G203" i="45"/>
  <c r="G204" i="45"/>
  <c r="G205" i="45"/>
  <c r="G206" i="45"/>
  <c r="G207" i="45"/>
  <c r="G208" i="45"/>
  <c r="G209" i="45"/>
  <c r="G210" i="45"/>
  <c r="G211" i="45"/>
  <c r="G212" i="45"/>
  <c r="G213" i="45"/>
  <c r="G214" i="45"/>
  <c r="G215" i="45"/>
  <c r="G216" i="45"/>
  <c r="G217" i="45"/>
  <c r="G218" i="45"/>
  <c r="G219" i="45"/>
  <c r="G220" i="45"/>
  <c r="G221" i="45"/>
  <c r="G222" i="45"/>
  <c r="G223" i="45"/>
  <c r="G224" i="45"/>
  <c r="G225" i="45"/>
  <c r="G226" i="45"/>
  <c r="G227" i="45"/>
  <c r="G228" i="45"/>
  <c r="G229" i="45"/>
  <c r="G230" i="45"/>
  <c r="G231" i="45"/>
  <c r="G232" i="45"/>
  <c r="G233" i="45"/>
  <c r="G234" i="45"/>
  <c r="G235" i="45"/>
  <c r="G236" i="45"/>
  <c r="G237" i="45"/>
  <c r="G238" i="45"/>
  <c r="G239" i="45"/>
  <c r="G240" i="45"/>
  <c r="G241" i="45"/>
  <c r="G242" i="45"/>
  <c r="G243" i="45"/>
  <c r="G244" i="45"/>
  <c r="G245" i="45"/>
  <c r="G246" i="45"/>
  <c r="G247" i="45"/>
  <c r="G248" i="45"/>
  <c r="G249" i="45"/>
  <c r="G250" i="45"/>
  <c r="G251" i="45"/>
  <c r="G252" i="45"/>
  <c r="G253" i="45"/>
  <c r="G254" i="45"/>
  <c r="G255" i="45"/>
  <c r="G256" i="45"/>
  <c r="H6" i="45"/>
  <c r="H7" i="45"/>
  <c r="H8" i="45"/>
  <c r="H9" i="45"/>
  <c r="J9" i="45" s="1"/>
  <c r="H10" i="45"/>
  <c r="H11" i="45"/>
  <c r="J11" i="45" s="1"/>
  <c r="H12" i="45"/>
  <c r="H13" i="45"/>
  <c r="J13" i="45" s="1"/>
  <c r="H14" i="45"/>
  <c r="H15" i="45"/>
  <c r="J15" i="45" s="1"/>
  <c r="H16" i="45"/>
  <c r="H17" i="45"/>
  <c r="J17" i="45" s="1"/>
  <c r="H18" i="45"/>
  <c r="H19" i="45"/>
  <c r="H20" i="45"/>
  <c r="J20" i="45" s="1"/>
  <c r="H21" i="45"/>
  <c r="H22" i="45"/>
  <c r="J22" i="45" s="1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H36" i="45"/>
  <c r="H37" i="45"/>
  <c r="H38" i="45"/>
  <c r="H39" i="45"/>
  <c r="H40" i="45"/>
  <c r="H41" i="45"/>
  <c r="H42" i="45"/>
  <c r="H43" i="45"/>
  <c r="H44" i="45"/>
  <c r="H45" i="45"/>
  <c r="H46" i="45"/>
  <c r="H47" i="45"/>
  <c r="J47" i="45" s="1"/>
  <c r="H48" i="45"/>
  <c r="H49" i="45"/>
  <c r="H50" i="45"/>
  <c r="J50" i="45" s="1"/>
  <c r="H51" i="45"/>
  <c r="H52" i="45"/>
  <c r="J52" i="45" s="1"/>
  <c r="H53" i="45"/>
  <c r="H54" i="45"/>
  <c r="J54" i="45" s="1"/>
  <c r="H55" i="45"/>
  <c r="H56" i="45"/>
  <c r="J56" i="45" s="1"/>
  <c r="H57" i="45"/>
  <c r="H58" i="45"/>
  <c r="J58" i="45" s="1"/>
  <c r="H59" i="45"/>
  <c r="H60" i="45"/>
  <c r="H61" i="45"/>
  <c r="J61" i="45" s="1"/>
  <c r="H62" i="45"/>
  <c r="H63" i="45"/>
  <c r="J63" i="45" s="1"/>
  <c r="H64" i="45"/>
  <c r="H65" i="45"/>
  <c r="H66" i="45"/>
  <c r="H67" i="45"/>
  <c r="H68" i="45"/>
  <c r="H69" i="45"/>
  <c r="H70" i="45"/>
  <c r="H71" i="45"/>
  <c r="H72" i="45"/>
  <c r="H73" i="45"/>
  <c r="H74" i="45"/>
  <c r="H75" i="45"/>
  <c r="H76" i="45"/>
  <c r="H77" i="45"/>
  <c r="H78" i="45"/>
  <c r="H79" i="45"/>
  <c r="H80" i="45"/>
  <c r="H81" i="45"/>
  <c r="H82" i="45"/>
  <c r="H83" i="45"/>
  <c r="H84" i="45"/>
  <c r="H85" i="45"/>
  <c r="H86" i="45"/>
  <c r="H87" i="45"/>
  <c r="H88" i="45"/>
  <c r="H89" i="45"/>
  <c r="H90" i="45"/>
  <c r="H91" i="45"/>
  <c r="H92" i="45"/>
  <c r="H93" i="45"/>
  <c r="H94" i="45"/>
  <c r="H95" i="45"/>
  <c r="H96" i="45"/>
  <c r="H97" i="45"/>
  <c r="H98" i="45"/>
  <c r="H99" i="45"/>
  <c r="H100" i="45"/>
  <c r="H101" i="45"/>
  <c r="H102" i="45"/>
  <c r="J102" i="45" s="1"/>
  <c r="H103" i="45"/>
  <c r="H104" i="45"/>
  <c r="H105" i="45"/>
  <c r="J105" i="45" s="1"/>
  <c r="H106" i="45"/>
  <c r="H107" i="45"/>
  <c r="J107" i="45" s="1"/>
  <c r="H108" i="45"/>
  <c r="H109" i="45"/>
  <c r="J109" i="45" s="1"/>
  <c r="H110" i="45"/>
  <c r="H111" i="45"/>
  <c r="J111" i="45" s="1"/>
  <c r="H112" i="45"/>
  <c r="H113" i="45"/>
  <c r="J113" i="45" s="1"/>
  <c r="H114" i="45"/>
  <c r="H115" i="45"/>
  <c r="H116" i="45"/>
  <c r="J116" i="45" s="1"/>
  <c r="H117" i="45"/>
  <c r="H118" i="45"/>
  <c r="J118" i="45" s="1"/>
  <c r="H119" i="45"/>
  <c r="H120" i="45"/>
  <c r="H121" i="45"/>
  <c r="H122" i="45"/>
  <c r="H123" i="45"/>
  <c r="H124" i="45"/>
  <c r="H125" i="45"/>
  <c r="H126" i="45"/>
  <c r="H127" i="45"/>
  <c r="H128" i="45"/>
  <c r="H129" i="45"/>
  <c r="H130" i="45"/>
  <c r="H131" i="45"/>
  <c r="H132" i="45"/>
  <c r="H133" i="45"/>
  <c r="H134" i="45"/>
  <c r="H135" i="45"/>
  <c r="H136" i="45"/>
  <c r="H137" i="45"/>
  <c r="H138" i="45"/>
  <c r="H139" i="45"/>
  <c r="H140" i="45"/>
  <c r="H141" i="45"/>
  <c r="H142" i="45"/>
  <c r="H143" i="45"/>
  <c r="H144" i="45"/>
  <c r="H145" i="45"/>
  <c r="H146" i="45"/>
  <c r="H147" i="45"/>
  <c r="H148" i="45"/>
  <c r="H149" i="45"/>
  <c r="H150" i="45"/>
  <c r="H151" i="45"/>
  <c r="H152" i="45"/>
  <c r="H153" i="45"/>
  <c r="H154" i="45"/>
  <c r="H155" i="45"/>
  <c r="H156" i="45"/>
  <c r="H157" i="45"/>
  <c r="H158" i="45"/>
  <c r="H159" i="45"/>
  <c r="H160" i="45"/>
  <c r="H161" i="45"/>
  <c r="H162" i="45"/>
  <c r="H163" i="45"/>
  <c r="H164" i="45"/>
  <c r="H165" i="45"/>
  <c r="H166" i="45"/>
  <c r="H167" i="45"/>
  <c r="H168" i="45"/>
  <c r="H169" i="45"/>
  <c r="H170" i="45"/>
  <c r="H171" i="45"/>
  <c r="H172" i="45"/>
  <c r="J172" i="45" s="1"/>
  <c r="H173" i="45"/>
  <c r="H174" i="45"/>
  <c r="H175" i="45"/>
  <c r="J175" i="45" s="1"/>
  <c r="H176" i="45"/>
  <c r="H177" i="45"/>
  <c r="J177" i="45" s="1"/>
  <c r="H178" i="45"/>
  <c r="H179" i="45"/>
  <c r="J179" i="45" s="1"/>
  <c r="H180" i="45"/>
  <c r="H181" i="45"/>
  <c r="J181" i="45" s="1"/>
  <c r="H182" i="45"/>
  <c r="H183" i="45"/>
  <c r="J183" i="45" s="1"/>
  <c r="H184" i="45"/>
  <c r="H185" i="45"/>
  <c r="H186" i="45"/>
  <c r="J186" i="45" s="1"/>
  <c r="H187" i="45"/>
  <c r="H188" i="45"/>
  <c r="J188" i="45" s="1"/>
  <c r="H189" i="45"/>
  <c r="H190" i="45"/>
  <c r="H191" i="45"/>
  <c r="H192" i="45"/>
  <c r="H193" i="45"/>
  <c r="H194" i="45"/>
  <c r="H195" i="45"/>
  <c r="H196" i="45"/>
  <c r="H197" i="45"/>
  <c r="H198" i="45"/>
  <c r="H199" i="45"/>
  <c r="H200" i="45"/>
  <c r="H201" i="45"/>
  <c r="H202" i="45"/>
  <c r="H203" i="45"/>
  <c r="H204" i="45"/>
  <c r="H205" i="45"/>
  <c r="H206" i="45"/>
  <c r="H207" i="45"/>
  <c r="H208" i="45"/>
  <c r="H209" i="45"/>
  <c r="H210" i="45"/>
  <c r="H211" i="45"/>
  <c r="H212" i="45"/>
  <c r="H213" i="45"/>
  <c r="H214" i="45"/>
  <c r="H215" i="45"/>
  <c r="H216" i="45"/>
  <c r="H217" i="45"/>
  <c r="H218" i="45"/>
  <c r="H219" i="45"/>
  <c r="H220" i="45"/>
  <c r="H221" i="45"/>
  <c r="H222" i="45"/>
  <c r="H223" i="45"/>
  <c r="H224" i="45"/>
  <c r="H225" i="45"/>
  <c r="H226" i="45"/>
  <c r="H227" i="45"/>
  <c r="H228" i="45"/>
  <c r="H229" i="45"/>
  <c r="H230" i="45"/>
  <c r="H231" i="45"/>
  <c r="H232" i="45"/>
  <c r="H233" i="45"/>
  <c r="H234" i="45"/>
  <c r="H235" i="45"/>
  <c r="H236" i="45"/>
  <c r="H237" i="45"/>
  <c r="H238" i="45"/>
  <c r="H239" i="45"/>
  <c r="H240" i="45"/>
  <c r="H241" i="45"/>
  <c r="H242" i="45"/>
  <c r="H243" i="45"/>
  <c r="H244" i="45"/>
  <c r="H245" i="45"/>
  <c r="H246" i="45"/>
  <c r="H247" i="45"/>
  <c r="H248" i="45"/>
  <c r="H249" i="45"/>
  <c r="H250" i="45"/>
  <c r="H251" i="45"/>
  <c r="H252" i="45"/>
  <c r="H253" i="45"/>
  <c r="H254" i="45"/>
  <c r="H255" i="45"/>
  <c r="H256" i="45"/>
  <c r="E4" i="42"/>
  <c r="E8" i="42"/>
  <c r="E12" i="42"/>
  <c r="E16" i="42"/>
  <c r="F2" i="42"/>
  <c r="F3" i="42"/>
  <c r="F4" i="42"/>
  <c r="F5" i="42"/>
  <c r="H5" i="42" s="1"/>
  <c r="F6" i="42"/>
  <c r="F7" i="42"/>
  <c r="F8" i="42"/>
  <c r="F9" i="42"/>
  <c r="H10" i="42" s="1"/>
  <c r="F10" i="42"/>
  <c r="F11" i="42"/>
  <c r="F12" i="42"/>
  <c r="F13" i="42"/>
  <c r="H13" i="42" s="1"/>
  <c r="F14" i="42"/>
  <c r="F15" i="42"/>
  <c r="F16" i="42"/>
  <c r="H16" i="42" s="1"/>
  <c r="F17" i="42"/>
  <c r="H18" i="42" s="1"/>
  <c r="F18" i="42"/>
  <c r="F19" i="42"/>
  <c r="F20" i="42"/>
  <c r="F21" i="42"/>
  <c r="H21" i="42" s="1"/>
  <c r="F22" i="42"/>
  <c r="F23" i="42"/>
  <c r="F24" i="42"/>
  <c r="F25" i="42"/>
  <c r="H26" i="42" s="1"/>
  <c r="F26" i="42"/>
  <c r="F27" i="42"/>
  <c r="F28" i="42"/>
  <c r="F29" i="42"/>
  <c r="H29" i="42" s="1"/>
  <c r="F30" i="42"/>
  <c r="F31" i="42"/>
  <c r="F32" i="42"/>
  <c r="F33" i="42"/>
  <c r="H33" i="42" s="1"/>
  <c r="F34" i="42"/>
  <c r="F35" i="42"/>
  <c r="F36" i="42"/>
  <c r="H36" i="42" s="1"/>
  <c r="F37" i="42"/>
  <c r="H37" i="42" s="1"/>
  <c r="F38" i="42"/>
  <c r="F39" i="42"/>
  <c r="F40" i="42"/>
  <c r="H40" i="42" s="1"/>
  <c r="F41" i="42"/>
  <c r="H42" i="42" s="1"/>
  <c r="F42" i="42"/>
  <c r="F43" i="42"/>
  <c r="F44" i="42"/>
  <c r="H44" i="42" s="1"/>
  <c r="F45" i="42"/>
  <c r="H45" i="42" s="1"/>
  <c r="F46" i="42"/>
  <c r="F47" i="42"/>
  <c r="F48" i="42"/>
  <c r="H48" i="42" s="1"/>
  <c r="F49" i="42"/>
  <c r="H49" i="42" s="1"/>
  <c r="F50" i="42"/>
  <c r="F51" i="42"/>
  <c r="F52" i="42"/>
  <c r="F53" i="42"/>
  <c r="F54" i="42"/>
  <c r="F55" i="42"/>
  <c r="F56" i="42"/>
  <c r="H56" i="42" s="1"/>
  <c r="G2" i="42"/>
  <c r="E2" i="42" s="1"/>
  <c r="G4" i="42"/>
  <c r="G5" i="42"/>
  <c r="E5" i="42" s="1"/>
  <c r="G6" i="42"/>
  <c r="E6" i="42" s="1"/>
  <c r="G7" i="42"/>
  <c r="E7" i="42" s="1"/>
  <c r="G8" i="42"/>
  <c r="G9" i="42"/>
  <c r="E9" i="42" s="1"/>
  <c r="G10" i="42"/>
  <c r="E10" i="42" s="1"/>
  <c r="G11" i="42"/>
  <c r="E11" i="42" s="1"/>
  <c r="G12" i="42"/>
  <c r="G13" i="42"/>
  <c r="E13" i="42" s="1"/>
  <c r="G14" i="42"/>
  <c r="E14" i="42" s="1"/>
  <c r="G15" i="42"/>
  <c r="E15" i="42" s="1"/>
  <c r="G16" i="42"/>
  <c r="G17" i="42"/>
  <c r="E17" i="42" s="1"/>
  <c r="G18" i="42"/>
  <c r="E18" i="42" s="1"/>
  <c r="G20" i="42"/>
  <c r="E20" i="42" s="1"/>
  <c r="G21" i="42"/>
  <c r="E21" i="42" s="1"/>
  <c r="G22" i="42"/>
  <c r="E22" i="42" s="1"/>
  <c r="G23" i="42"/>
  <c r="E23" i="42" s="1"/>
  <c r="G24" i="42"/>
  <c r="E24" i="42" s="1"/>
  <c r="G25" i="42"/>
  <c r="E25" i="42" s="1"/>
  <c r="G26" i="42"/>
  <c r="E26" i="42" s="1"/>
  <c r="G27" i="42"/>
  <c r="E27" i="42" s="1"/>
  <c r="G28" i="42"/>
  <c r="E28" i="42" s="1"/>
  <c r="G29" i="42"/>
  <c r="E29" i="42" s="1"/>
  <c r="G30" i="42"/>
  <c r="E30" i="42" s="1"/>
  <c r="G31" i="42"/>
  <c r="E31" i="42" s="1"/>
  <c r="G32" i="42"/>
  <c r="E32" i="42" s="1"/>
  <c r="G33" i="42"/>
  <c r="E33" i="42" s="1"/>
  <c r="G34" i="42"/>
  <c r="E34" i="42" s="1"/>
  <c r="G35" i="42"/>
  <c r="E35" i="42" s="1"/>
  <c r="G36" i="42"/>
  <c r="E36" i="42" s="1"/>
  <c r="G37" i="42"/>
  <c r="E37" i="42" s="1"/>
  <c r="G38" i="42"/>
  <c r="E38" i="42" s="1"/>
  <c r="G39" i="42"/>
  <c r="E39" i="42" s="1"/>
  <c r="G40" i="42"/>
  <c r="E40" i="42" s="1"/>
  <c r="G41" i="42"/>
  <c r="E41" i="42" s="1"/>
  <c r="G42" i="42"/>
  <c r="E42" i="42" s="1"/>
  <c r="G43" i="42"/>
  <c r="E43" i="42" s="1"/>
  <c r="G44" i="42"/>
  <c r="E44" i="42" s="1"/>
  <c r="G45" i="42"/>
  <c r="E45" i="42" s="1"/>
  <c r="G46" i="42"/>
  <c r="E46" i="42" s="1"/>
  <c r="G47" i="42"/>
  <c r="E47" i="42" s="1"/>
  <c r="G48" i="42"/>
  <c r="E48" i="42" s="1"/>
  <c r="G49" i="42"/>
  <c r="E49" i="42" s="1"/>
  <c r="G50" i="42"/>
  <c r="E50" i="42" s="1"/>
  <c r="G56" i="42"/>
  <c r="E56" i="42" s="1"/>
  <c r="H2" i="42"/>
  <c r="I2" i="42" s="1" a="1"/>
  <c r="I2" i="42" s="1"/>
  <c r="H7" i="42"/>
  <c r="H11" i="42"/>
  <c r="H15" i="42"/>
  <c r="H23" i="42"/>
  <c r="H27" i="42"/>
  <c r="H31" i="42"/>
  <c r="H35" i="42"/>
  <c r="H39" i="42"/>
  <c r="H43" i="42"/>
  <c r="H47" i="42"/>
  <c r="K2" i="42"/>
  <c r="K13" i="42"/>
  <c r="K18" i="42"/>
  <c r="K49" i="42"/>
  <c r="K50" i="42"/>
  <c r="K51" i="42"/>
  <c r="K52" i="42"/>
  <c r="K53" i="42"/>
  <c r="K54" i="42"/>
  <c r="AP109" i="41" l="1"/>
  <c r="AP110" i="41" s="1"/>
  <c r="AP111" i="41" s="1"/>
  <c r="AP112" i="41" s="1"/>
  <c r="AP45" i="41"/>
  <c r="AP148" i="41"/>
  <c r="AP84" i="41"/>
  <c r="AP162" i="41"/>
  <c r="AP98" i="41"/>
  <c r="AP78" i="41"/>
  <c r="AP14" i="41"/>
  <c r="AP117" i="41"/>
  <c r="AP118" i="41" s="1"/>
  <c r="AP65" i="41"/>
  <c r="AP160" i="41"/>
  <c r="AP96" i="41"/>
  <c r="AP86" i="41"/>
  <c r="AP87" i="41" s="1"/>
  <c r="AP61" i="41"/>
  <c r="AP11" i="41"/>
  <c r="AP89" i="41"/>
  <c r="AP25" i="41"/>
  <c r="AP120" i="41"/>
  <c r="AP150" i="41"/>
  <c r="AP125" i="41"/>
  <c r="AP100" i="41"/>
  <c r="AP75" i="41"/>
  <c r="AP76" i="41" s="1"/>
  <c r="AP153" i="41"/>
  <c r="AP53" i="41"/>
  <c r="AP156" i="41"/>
  <c r="AP67" i="41"/>
  <c r="AP17" i="41"/>
  <c r="AP48" i="41"/>
  <c r="AP22" i="41"/>
  <c r="AP164" i="41"/>
  <c r="AP139" i="41"/>
  <c r="AP50" i="41"/>
  <c r="AM4" i="41"/>
  <c r="AO5" i="41"/>
  <c r="AM5" i="41" s="1"/>
  <c r="AP54" i="41"/>
  <c r="AP157" i="41"/>
  <c r="AP93" i="41"/>
  <c r="AP29" i="41"/>
  <c r="AP132" i="41"/>
  <c r="AP68" i="41"/>
  <c r="AP107" i="41"/>
  <c r="AP43" i="41"/>
  <c r="AP18" i="41"/>
  <c r="AP152" i="41"/>
  <c r="AP46" i="41"/>
  <c r="AP149" i="41"/>
  <c r="AP124" i="41"/>
  <c r="AP99" i="41"/>
  <c r="AP166" i="41"/>
  <c r="AP102" i="41"/>
  <c r="AP38" i="41"/>
  <c r="AP141" i="41"/>
  <c r="AP13" i="41"/>
  <c r="AP52" i="41"/>
  <c r="AP91" i="41"/>
  <c r="AP27" i="41"/>
  <c r="AP105" i="41"/>
  <c r="AP41" i="41"/>
  <c r="AP161" i="41"/>
  <c r="AP97" i="41"/>
  <c r="AP33" i="41"/>
  <c r="AP34" i="41" s="1"/>
  <c r="AP128" i="41"/>
  <c r="AP23" i="41"/>
  <c r="AP142" i="41"/>
  <c r="AP123" i="41"/>
  <c r="AP135" i="41"/>
  <c r="AP126" i="41"/>
  <c r="AP62" i="41"/>
  <c r="AP63" i="41" s="1"/>
  <c r="AP165" i="41"/>
  <c r="AP101" i="41"/>
  <c r="AP37" i="41"/>
  <c r="AP140" i="41"/>
  <c r="AP12" i="41"/>
  <c r="AP51" i="41"/>
  <c r="AP154" i="41"/>
  <c r="AP90" i="41"/>
  <c r="AP26" i="41"/>
  <c r="AP32" i="41"/>
  <c r="AP127" i="41"/>
  <c r="AP145" i="41"/>
  <c r="AP146" i="41"/>
  <c r="AP81" i="41"/>
  <c r="AP82" i="41"/>
  <c r="AP88" i="41"/>
  <c r="AP24" i="41"/>
  <c r="AP119" i="41"/>
  <c r="AP85" i="41"/>
  <c r="AP21" i="41"/>
  <c r="AP163" i="41"/>
  <c r="AP138" i="41"/>
  <c r="AP74" i="41"/>
  <c r="AP10" i="41"/>
  <c r="AP16" i="41"/>
  <c r="AP47" i="41"/>
  <c r="AM56" i="41"/>
  <c r="AO57" i="41"/>
  <c r="AP116" i="41"/>
  <c r="AP155" i="41"/>
  <c r="AP129" i="41"/>
  <c r="AP130" i="41"/>
  <c r="AP131" i="41" s="1"/>
  <c r="AP66" i="41"/>
  <c r="AP72" i="41"/>
  <c r="AP103" i="41"/>
  <c r="AP39" i="41"/>
  <c r="AP77" i="41"/>
  <c r="AR2" i="41"/>
  <c r="AT2" i="41"/>
  <c r="AP136" i="41"/>
  <c r="AP158" i="41"/>
  <c r="AP94" i="41"/>
  <c r="AP30" i="41"/>
  <c r="AP133" i="41"/>
  <c r="AP69" i="41"/>
  <c r="AP108" i="41"/>
  <c r="AP44" i="41"/>
  <c r="AP147" i="41"/>
  <c r="AP83" i="41"/>
  <c r="AP19" i="41"/>
  <c r="AP20" i="41" s="1"/>
  <c r="AP121" i="41"/>
  <c r="AP122" i="41"/>
  <c r="AP64" i="41"/>
  <c r="AP159" i="41"/>
  <c r="AP95" i="41"/>
  <c r="AP31" i="41"/>
  <c r="AP35" i="41"/>
  <c r="AP36" i="41"/>
  <c r="AP151" i="41"/>
  <c r="AP92" i="41"/>
  <c r="AP28" i="41"/>
  <c r="AP3" i="41"/>
  <c r="AQ3" i="41" s="1" a="1"/>
  <c r="AQ3" i="41" s="1"/>
  <c r="AP143" i="41"/>
  <c r="AP79" i="41"/>
  <c r="AP15" i="41"/>
  <c r="AP55" i="41"/>
  <c r="AP56" i="41" s="1"/>
  <c r="AP71" i="41"/>
  <c r="AP7" i="41"/>
  <c r="AP8" i="41" s="1"/>
  <c r="AP9" i="41" s="1"/>
  <c r="AM111" i="41"/>
  <c r="AO112" i="41"/>
  <c r="I190" i="45"/>
  <c r="J190" i="45" s="1"/>
  <c r="I245" i="45"/>
  <c r="J245" i="45" s="1"/>
  <c r="I229" i="45"/>
  <c r="J229" i="45" s="1"/>
  <c r="I189" i="45"/>
  <c r="J189" i="45" s="1"/>
  <c r="I211" i="45"/>
  <c r="J211" i="45" s="1"/>
  <c r="I244" i="45"/>
  <c r="J244" i="45" s="1"/>
  <c r="I228" i="45"/>
  <c r="J228" i="45" s="1"/>
  <c r="I212" i="45"/>
  <c r="J212" i="45" s="1"/>
  <c r="I256" i="45"/>
  <c r="J256" i="45" s="1"/>
  <c r="I255" i="45"/>
  <c r="J255" i="45" s="1"/>
  <c r="I203" i="45"/>
  <c r="J203" i="45" s="1"/>
  <c r="I254" i="45"/>
  <c r="J254" i="45" s="1"/>
  <c r="I174" i="45"/>
  <c r="J174" i="45" s="1"/>
  <c r="I253" i="45"/>
  <c r="J253" i="45" s="1"/>
  <c r="I237" i="45"/>
  <c r="J237" i="45" s="1"/>
  <c r="I173" i="45"/>
  <c r="J173" i="45" s="1"/>
  <c r="I252" i="45"/>
  <c r="J252" i="45" s="1"/>
  <c r="I236" i="45"/>
  <c r="J236" i="45" s="1"/>
  <c r="I220" i="45"/>
  <c r="J220" i="45" s="1"/>
  <c r="I204" i="45"/>
  <c r="J204" i="45" s="1"/>
  <c r="I219" i="45"/>
  <c r="J219" i="45" s="1"/>
  <c r="I122" i="45"/>
  <c r="J122" i="45" s="1"/>
  <c r="I121" i="45"/>
  <c r="J121" i="45" s="1"/>
  <c r="I160" i="45"/>
  <c r="J160" i="45" s="1"/>
  <c r="I143" i="45"/>
  <c r="J143" i="45" s="1"/>
  <c r="I157" i="45"/>
  <c r="J157" i="45" s="1"/>
  <c r="I117" i="45"/>
  <c r="J117" i="45" s="1"/>
  <c r="I140" i="45"/>
  <c r="J140" i="45" s="1"/>
  <c r="I74" i="45"/>
  <c r="J74" i="45" s="1"/>
  <c r="I81" i="45"/>
  <c r="J81" i="45" s="1"/>
  <c r="I53" i="45"/>
  <c r="J53" i="45" s="1"/>
  <c r="I75" i="45"/>
  <c r="J75" i="45" s="1"/>
  <c r="I92" i="45"/>
  <c r="J92" i="45" s="1"/>
  <c r="I26" i="45"/>
  <c r="J26" i="45" s="1"/>
  <c r="I25" i="45"/>
  <c r="J25" i="45" s="1"/>
  <c r="I21" i="45"/>
  <c r="J21" i="45" s="1"/>
  <c r="I241" i="45"/>
  <c r="J241" i="45" s="1"/>
  <c r="I225" i="45"/>
  <c r="J225" i="45" s="1"/>
  <c r="I248" i="45"/>
  <c r="J248" i="45" s="1"/>
  <c r="I232" i="45"/>
  <c r="J232" i="45" s="1"/>
  <c r="I224" i="45"/>
  <c r="J224" i="45" s="1"/>
  <c r="I208" i="45"/>
  <c r="J208" i="45" s="1"/>
  <c r="I215" i="45"/>
  <c r="J215" i="45" s="1"/>
  <c r="I182" i="45"/>
  <c r="J182" i="45" s="1"/>
  <c r="I195" i="45"/>
  <c r="J195" i="45" s="1"/>
  <c r="I196" i="45"/>
  <c r="J196" i="45" s="1"/>
  <c r="I31" i="45"/>
  <c r="J31" i="45" s="1"/>
  <c r="I14" i="45"/>
  <c r="J14" i="45" s="1"/>
  <c r="I32" i="45"/>
  <c r="J32" i="45" s="1"/>
  <c r="I249" i="45"/>
  <c r="J249" i="45" s="1"/>
  <c r="I233" i="45"/>
  <c r="J233" i="45" s="1"/>
  <c r="I240" i="45"/>
  <c r="J240" i="45" s="1"/>
  <c r="I216" i="45"/>
  <c r="J216" i="45" s="1"/>
  <c r="I223" i="45"/>
  <c r="J223" i="45" s="1"/>
  <c r="I207" i="45"/>
  <c r="J207" i="45" s="1"/>
  <c r="I198" i="45"/>
  <c r="J198" i="45" s="1"/>
  <c r="I197" i="45"/>
  <c r="J197" i="45" s="1"/>
  <c r="I180" i="45"/>
  <c r="J180" i="45" s="1"/>
  <c r="I130" i="45"/>
  <c r="J130" i="45" s="1"/>
  <c r="I129" i="45"/>
  <c r="J129" i="45" s="1"/>
  <c r="I152" i="45"/>
  <c r="J152" i="45" s="1"/>
  <c r="I136" i="45"/>
  <c r="J136" i="45" s="1"/>
  <c r="I164" i="45"/>
  <c r="J164" i="45" s="1"/>
  <c r="I108" i="45"/>
  <c r="J108" i="45" s="1"/>
  <c r="I147" i="45"/>
  <c r="J147" i="45" s="1"/>
  <c r="I34" i="45"/>
  <c r="J34" i="45" s="1"/>
  <c r="I33" i="45"/>
  <c r="J33" i="45" s="1"/>
  <c r="I12" i="45"/>
  <c r="J12" i="45" s="1"/>
  <c r="I210" i="45"/>
  <c r="J210" i="45" s="1"/>
  <c r="I192" i="45"/>
  <c r="J192" i="45" s="1"/>
  <c r="I191" i="45"/>
  <c r="J191" i="45" s="1"/>
  <c r="I246" i="45"/>
  <c r="J246" i="45" s="1"/>
  <c r="I230" i="45"/>
  <c r="J230" i="45" s="1"/>
  <c r="I227" i="45"/>
  <c r="J227" i="45" s="1"/>
  <c r="I213" i="45"/>
  <c r="J213" i="45" s="1"/>
  <c r="I243" i="45"/>
  <c r="J243" i="45" s="1"/>
  <c r="I187" i="45"/>
  <c r="J187" i="45" s="1"/>
  <c r="I89" i="45"/>
  <c r="J89" i="45" s="1"/>
  <c r="I59" i="45"/>
  <c r="J59" i="45" s="1"/>
  <c r="I69" i="45"/>
  <c r="J69" i="45" s="1"/>
  <c r="I84" i="45"/>
  <c r="J84" i="45" s="1"/>
  <c r="I68" i="45"/>
  <c r="J68" i="45" s="1"/>
  <c r="I60" i="45"/>
  <c r="J60" i="45" s="1"/>
  <c r="I51" i="45"/>
  <c r="J51" i="45" s="1"/>
  <c r="I93" i="45"/>
  <c r="J93" i="45" s="1"/>
  <c r="I77" i="45"/>
  <c r="J77" i="45" s="1"/>
  <c r="I76" i="45"/>
  <c r="J76" i="45" s="1"/>
  <c r="I80" i="45"/>
  <c r="J80" i="45" s="1"/>
  <c r="I146" i="45"/>
  <c r="J146" i="45" s="1"/>
  <c r="I153" i="45"/>
  <c r="J153" i="45" s="1"/>
  <c r="I137" i="45"/>
  <c r="J137" i="45" s="1"/>
  <c r="I128" i="45"/>
  <c r="J128" i="45" s="1"/>
  <c r="I127" i="45"/>
  <c r="J127" i="45" s="1"/>
  <c r="I110" i="45"/>
  <c r="J110" i="45" s="1"/>
  <c r="I163" i="45"/>
  <c r="J163" i="45" s="1"/>
  <c r="I66" i="45"/>
  <c r="J66" i="45" s="1"/>
  <c r="I88" i="45"/>
  <c r="J88" i="45" s="1"/>
  <c r="I62" i="45"/>
  <c r="J62" i="45" s="1"/>
  <c r="I85" i="45"/>
  <c r="J85" i="45" s="1"/>
  <c r="I67" i="45"/>
  <c r="J67" i="45" s="1"/>
  <c r="I250" i="45"/>
  <c r="J250" i="45" s="1"/>
  <c r="I234" i="45"/>
  <c r="J234" i="45" s="1"/>
  <c r="I178" i="45"/>
  <c r="J178" i="45" s="1"/>
  <c r="I217" i="45"/>
  <c r="J217" i="45" s="1"/>
  <c r="I200" i="45"/>
  <c r="J200" i="45" s="1"/>
  <c r="I239" i="45"/>
  <c r="J239" i="45" s="1"/>
  <c r="I199" i="45"/>
  <c r="J199" i="45" s="1"/>
  <c r="I222" i="45"/>
  <c r="J222" i="45" s="1"/>
  <c r="I206" i="45"/>
  <c r="J206" i="45" s="1"/>
  <c r="I114" i="45"/>
  <c r="J114" i="45" s="1"/>
  <c r="I161" i="45"/>
  <c r="J161" i="45" s="1"/>
  <c r="I144" i="45"/>
  <c r="J144" i="45" s="1"/>
  <c r="I123" i="45"/>
  <c r="J123" i="45" s="1"/>
  <c r="I139" i="45"/>
  <c r="J139" i="45" s="1"/>
  <c r="I156" i="45"/>
  <c r="J156" i="45" s="1"/>
  <c r="I124" i="45"/>
  <c r="J124" i="45" s="1"/>
  <c r="I115" i="45"/>
  <c r="J115" i="45" s="1"/>
  <c r="I106" i="45"/>
  <c r="J106" i="45" s="1"/>
  <c r="I151" i="45"/>
  <c r="J151" i="45" s="1"/>
  <c r="I135" i="45"/>
  <c r="J135" i="45" s="1"/>
  <c r="I131" i="45"/>
  <c r="J131" i="45" s="1"/>
  <c r="I165" i="45"/>
  <c r="J165" i="45" s="1"/>
  <c r="I148" i="45"/>
  <c r="J148" i="45" s="1"/>
  <c r="I132" i="45"/>
  <c r="J132" i="45" s="1"/>
  <c r="I18" i="45"/>
  <c r="J18" i="45" s="1"/>
  <c r="I27" i="45"/>
  <c r="J27" i="45" s="1"/>
  <c r="I28" i="45"/>
  <c r="J28" i="45" s="1"/>
  <c r="I19" i="45"/>
  <c r="J19" i="45" s="1"/>
  <c r="I10" i="45"/>
  <c r="J10" i="45" s="1"/>
  <c r="I38" i="45"/>
  <c r="J38" i="45" s="1"/>
  <c r="I37" i="45"/>
  <c r="J37" i="45" s="1"/>
  <c r="I35" i="45"/>
  <c r="J35" i="45" s="1"/>
  <c r="I36" i="45"/>
  <c r="J36" i="45" s="1"/>
  <c r="I90" i="45"/>
  <c r="J90" i="45" s="1"/>
  <c r="I57" i="45"/>
  <c r="J57" i="45" s="1"/>
  <c r="I71" i="45"/>
  <c r="J71" i="45" s="1"/>
  <c r="I70" i="45"/>
  <c r="J70" i="45" s="1"/>
  <c r="I83" i="45"/>
  <c r="J83" i="45" s="1"/>
  <c r="I242" i="45"/>
  <c r="J242" i="45" s="1"/>
  <c r="I226" i="45"/>
  <c r="J226" i="45" s="1"/>
  <c r="I194" i="45"/>
  <c r="J194" i="45" s="1"/>
  <c r="I209" i="45"/>
  <c r="J209" i="45" s="1"/>
  <c r="I193" i="45"/>
  <c r="J193" i="45" s="1"/>
  <c r="I185" i="45"/>
  <c r="J185" i="45" s="1"/>
  <c r="I184" i="45"/>
  <c r="J184" i="45" s="1"/>
  <c r="I247" i="45"/>
  <c r="J247" i="45" s="1"/>
  <c r="I231" i="45"/>
  <c r="J231" i="45" s="1"/>
  <c r="I214" i="45"/>
  <c r="J214" i="45" s="1"/>
  <c r="I218" i="45"/>
  <c r="J218" i="45" s="1"/>
  <c r="I202" i="45"/>
  <c r="J202" i="45" s="1"/>
  <c r="I201" i="45"/>
  <c r="J201" i="45" s="1"/>
  <c r="I176" i="45"/>
  <c r="J176" i="45" s="1"/>
  <c r="I235" i="45"/>
  <c r="J235" i="45" s="1"/>
  <c r="I238" i="45"/>
  <c r="J238" i="45" s="1"/>
  <c r="I221" i="45"/>
  <c r="J221" i="45" s="1"/>
  <c r="I205" i="45"/>
  <c r="J205" i="45" s="1"/>
  <c r="I251" i="45"/>
  <c r="J251" i="45" s="1"/>
  <c r="I162" i="45"/>
  <c r="J162" i="45" s="1"/>
  <c r="I154" i="45"/>
  <c r="J154" i="45" s="1"/>
  <c r="I138" i="45"/>
  <c r="J138" i="45" s="1"/>
  <c r="I145" i="45"/>
  <c r="J145" i="45" s="1"/>
  <c r="I112" i="45"/>
  <c r="J112" i="45" s="1"/>
  <c r="I155" i="45"/>
  <c r="J155" i="45" s="1"/>
  <c r="I126" i="45"/>
  <c r="J126" i="45" s="1"/>
  <c r="I125" i="45"/>
  <c r="J125" i="45" s="1"/>
  <c r="I65" i="45"/>
  <c r="J65" i="45" s="1"/>
  <c r="I87" i="45"/>
  <c r="J87" i="45" s="1"/>
  <c r="I86" i="45"/>
  <c r="J86" i="45" s="1"/>
  <c r="I64" i="45"/>
  <c r="J64" i="45" s="1"/>
  <c r="I98" i="45"/>
  <c r="J98" i="45" s="1"/>
  <c r="I97" i="45"/>
  <c r="J97" i="45" s="1"/>
  <c r="I49" i="45"/>
  <c r="J49" i="45" s="1"/>
  <c r="I96" i="45"/>
  <c r="J96" i="45" s="1"/>
  <c r="I95" i="45"/>
  <c r="J95" i="45" s="1"/>
  <c r="I79" i="45"/>
  <c r="J79" i="45" s="1"/>
  <c r="I94" i="45"/>
  <c r="J94" i="45" s="1"/>
  <c r="I78" i="45"/>
  <c r="J78" i="45" s="1"/>
  <c r="I99" i="45"/>
  <c r="J99" i="45" s="1"/>
  <c r="I101" i="45"/>
  <c r="J101" i="45" s="1"/>
  <c r="I100" i="45"/>
  <c r="J100" i="45" s="1"/>
  <c r="I48" i="45"/>
  <c r="J48" i="45" s="1"/>
  <c r="I30" i="45"/>
  <c r="J30" i="45" s="1"/>
  <c r="I16" i="45"/>
  <c r="J16" i="45" s="1"/>
  <c r="I29" i="45"/>
  <c r="J29" i="45" s="1"/>
  <c r="I120" i="45"/>
  <c r="J120" i="45" s="1"/>
  <c r="I159" i="45"/>
  <c r="J159" i="45" s="1"/>
  <c r="I119" i="45"/>
  <c r="J119" i="45" s="1"/>
  <c r="I158" i="45"/>
  <c r="J158" i="45" s="1"/>
  <c r="I142" i="45"/>
  <c r="J142" i="45" s="1"/>
  <c r="I141" i="45"/>
  <c r="J141" i="45" s="1"/>
  <c r="I170" i="45"/>
  <c r="J170" i="45" s="1"/>
  <c r="I104" i="45"/>
  <c r="J104" i="45" s="1"/>
  <c r="I169" i="45"/>
  <c r="J169" i="45" s="1"/>
  <c r="I168" i="45"/>
  <c r="J168" i="45" s="1"/>
  <c r="I167" i="45"/>
  <c r="J167" i="45" s="1"/>
  <c r="I103" i="45"/>
  <c r="J103" i="45" s="1"/>
  <c r="I171" i="45"/>
  <c r="J171" i="45" s="1"/>
  <c r="I166" i="45"/>
  <c r="J166" i="45" s="1"/>
  <c r="I150" i="45"/>
  <c r="J150" i="45" s="1"/>
  <c r="I134" i="45"/>
  <c r="J134" i="45" s="1"/>
  <c r="I149" i="45"/>
  <c r="J149" i="45" s="1"/>
  <c r="I133" i="45"/>
  <c r="J133" i="45" s="1"/>
  <c r="I82" i="45"/>
  <c r="J82" i="45" s="1"/>
  <c r="I73" i="45"/>
  <c r="J73" i="45" s="1"/>
  <c r="I55" i="45"/>
  <c r="J55" i="45" s="1"/>
  <c r="I91" i="45"/>
  <c r="J91" i="45" s="1"/>
  <c r="I72" i="45"/>
  <c r="J72" i="45" s="1"/>
  <c r="I23" i="45"/>
  <c r="J23" i="45" s="1"/>
  <c r="I24" i="45"/>
  <c r="J24" i="45" s="1"/>
  <c r="I42" i="45"/>
  <c r="J42" i="45" s="1"/>
  <c r="I41" i="45"/>
  <c r="J41" i="45" s="1"/>
  <c r="I39" i="45"/>
  <c r="J39" i="45" s="1"/>
  <c r="I7" i="45"/>
  <c r="J7" i="45" s="1"/>
  <c r="I46" i="45"/>
  <c r="J46" i="45" s="1"/>
  <c r="I8" i="45"/>
  <c r="J8" i="45" s="1"/>
  <c r="I45" i="45"/>
  <c r="J45" i="45" s="1"/>
  <c r="I43" i="45"/>
  <c r="J43" i="45" s="1"/>
  <c r="I40" i="45"/>
  <c r="J40" i="45" s="1"/>
  <c r="I44" i="45"/>
  <c r="J44" i="45" s="1"/>
  <c r="H3" i="42"/>
  <c r="H32" i="42"/>
  <c r="H24" i="42"/>
  <c r="H8" i="42"/>
  <c r="H28" i="42"/>
  <c r="H20" i="42"/>
  <c r="H12" i="42"/>
  <c r="H4" i="42"/>
  <c r="H19" i="42"/>
  <c r="J2" i="42"/>
  <c r="I3" i="42" a="1"/>
  <c r="I3" i="42" s="1"/>
  <c r="I4" i="42" s="1" a="1"/>
  <c r="I4" i="42" s="1"/>
  <c r="H46" i="42"/>
  <c r="H38" i="42"/>
  <c r="H14" i="42"/>
  <c r="H6" i="42"/>
  <c r="G51" i="42"/>
  <c r="G19" i="42"/>
  <c r="E19" i="42" s="1"/>
  <c r="G3" i="42"/>
  <c r="E3" i="42" s="1"/>
  <c r="H50" i="42"/>
  <c r="H34" i="42"/>
  <c r="H41" i="42"/>
  <c r="H25" i="42"/>
  <c r="H17" i="42"/>
  <c r="H9" i="42"/>
  <c r="H22" i="42"/>
  <c r="H30" i="42"/>
  <c r="AP4" i="41" l="1"/>
  <c r="AQ4" i="41" s="1" a="1"/>
  <c r="AQ4" i="41" s="1"/>
  <c r="AR4" i="41" s="1"/>
  <c r="AT3" i="41"/>
  <c r="AR3" i="41"/>
  <c r="AO58" i="41"/>
  <c r="AM57" i="41"/>
  <c r="AP57" i="41"/>
  <c r="AM112" i="41"/>
  <c r="AO113" i="41"/>
  <c r="AP113" i="41"/>
  <c r="I5" i="42" a="1"/>
  <c r="I5" i="42" s="1"/>
  <c r="J5" i="42" s="1"/>
  <c r="H51" i="42"/>
  <c r="G52" i="42"/>
  <c r="E51" i="42"/>
  <c r="K4" i="42"/>
  <c r="J4" i="42"/>
  <c r="J3" i="42"/>
  <c r="K3" i="42"/>
  <c r="AP5" i="41" l="1"/>
  <c r="AQ5" i="41" s="1" a="1"/>
  <c r="AQ5" i="41" s="1"/>
  <c r="AQ6" i="41" s="1" a="1"/>
  <c r="AQ6" i="41" s="1"/>
  <c r="AU4" i="41"/>
  <c r="AT4" i="41"/>
  <c r="AM58" i="41"/>
  <c r="AO59" i="41"/>
  <c r="AP114" i="41"/>
  <c r="AO114" i="41"/>
  <c r="AM113" i="41"/>
  <c r="AP58" i="41"/>
  <c r="I6" i="42" a="1"/>
  <c r="I6" i="42" s="1"/>
  <c r="J6" i="42" s="1"/>
  <c r="K5" i="42"/>
  <c r="G53" i="42"/>
  <c r="E52" i="42"/>
  <c r="H52" i="42"/>
  <c r="K6" i="42"/>
  <c r="AQ7" i="41" l="1" a="1"/>
  <c r="AQ7" i="41" s="1"/>
  <c r="AT6" i="41"/>
  <c r="AR6" i="41"/>
  <c r="AS6" i="41"/>
  <c r="AO60" i="41"/>
  <c r="AM60" i="41" s="1"/>
  <c r="AM59" i="41"/>
  <c r="AS5" i="41"/>
  <c r="AR5" i="41"/>
  <c r="AT5" i="41"/>
  <c r="AP59" i="41"/>
  <c r="AP115" i="41"/>
  <c r="AO115" i="41"/>
  <c r="AM115" i="41" s="1"/>
  <c r="AM114" i="41"/>
  <c r="I7" i="42" a="1"/>
  <c r="I7" i="42" s="1"/>
  <c r="K7" i="42" s="1"/>
  <c r="G54" i="42"/>
  <c r="E53" i="42"/>
  <c r="H53" i="42"/>
  <c r="AR7" i="41" l="1"/>
  <c r="AQ8" i="41" a="1"/>
  <c r="AQ8" i="41" s="1"/>
  <c r="AT7" i="41"/>
  <c r="AP60" i="41"/>
  <c r="I8" i="42" a="1"/>
  <c r="I8" i="42" s="1"/>
  <c r="K8" i="42" s="1"/>
  <c r="J7" i="42"/>
  <c r="G55" i="42"/>
  <c r="E55" i="42" s="1"/>
  <c r="E54" i="42"/>
  <c r="H54" i="42"/>
  <c r="J8" i="42"/>
  <c r="AT8" i="41" l="1"/>
  <c r="AQ9" i="41" a="1"/>
  <c r="AQ9" i="41" s="1"/>
  <c r="AR8" i="41"/>
  <c r="I9" i="42" a="1"/>
  <c r="I9" i="42" s="1"/>
  <c r="J9" i="42" s="1"/>
  <c r="K9" i="42"/>
  <c r="H55" i="42"/>
  <c r="AS9" i="41" l="1"/>
  <c r="AT9" i="41"/>
  <c r="AQ10" i="41" a="1"/>
  <c r="AQ10" i="41" s="1"/>
  <c r="AR9" i="41"/>
  <c r="I10" i="42" a="1"/>
  <c r="I10" i="42" s="1"/>
  <c r="I11" i="42" s="1" a="1"/>
  <c r="I11" i="42" s="1"/>
  <c r="K10" i="42"/>
  <c r="J10" i="42"/>
  <c r="AR10" i="41" l="1"/>
  <c r="AQ11" i="41" a="1"/>
  <c r="AQ11" i="41" s="1"/>
  <c r="AT10" i="41"/>
  <c r="AS10" i="41"/>
  <c r="K11" i="42"/>
  <c r="J11" i="42"/>
  <c r="I12" i="42" a="1"/>
  <c r="I12" i="42" s="1"/>
  <c r="AR11" i="41" l="1"/>
  <c r="AS11" i="41"/>
  <c r="AT11" i="41"/>
  <c r="AQ12" i="41" a="1"/>
  <c r="AQ12" i="41" s="1"/>
  <c r="K12" i="42"/>
  <c r="J12" i="42"/>
  <c r="I13" i="42" a="1"/>
  <c r="I13" i="42" s="1"/>
  <c r="AR12" i="41" l="1"/>
  <c r="AQ13" i="41" a="1"/>
  <c r="AQ13" i="41" s="1"/>
  <c r="AS12" i="41"/>
  <c r="AT12" i="41"/>
  <c r="J13" i="42"/>
  <c r="I14" i="42" a="1"/>
  <c r="I14" i="42" s="1"/>
  <c r="AR13" i="41" l="1"/>
  <c r="AQ14" i="41" a="1"/>
  <c r="AQ14" i="41" s="1"/>
  <c r="AT13" i="41"/>
  <c r="AS13" i="41"/>
  <c r="K14" i="42"/>
  <c r="J14" i="42"/>
  <c r="I15" i="42" a="1"/>
  <c r="I15" i="42" s="1"/>
  <c r="AS14" i="41" l="1"/>
  <c r="AR14" i="41"/>
  <c r="AQ15" i="41" a="1"/>
  <c r="AQ15" i="41" s="1"/>
  <c r="AT14" i="41"/>
  <c r="K15" i="42"/>
  <c r="J15" i="42"/>
  <c r="I16" i="42" a="1"/>
  <c r="I16" i="42" s="1"/>
  <c r="AT15" i="41" l="1"/>
  <c r="AR15" i="41"/>
  <c r="AS15" i="41"/>
  <c r="AQ16" i="41" a="1"/>
  <c r="AQ16" i="41" s="1"/>
  <c r="J16" i="42"/>
  <c r="K16" i="42"/>
  <c r="I17" i="42" a="1"/>
  <c r="I17" i="42" s="1"/>
  <c r="AT16" i="41" l="1"/>
  <c r="AR16" i="41"/>
  <c r="AQ17" i="41" a="1"/>
  <c r="AQ17" i="41" s="1"/>
  <c r="AS16" i="41"/>
  <c r="K17" i="42"/>
  <c r="J17" i="42"/>
  <c r="I18" i="42" a="1"/>
  <c r="I18" i="42" s="1"/>
  <c r="AR17" i="41" l="1"/>
  <c r="AQ18" i="41" a="1"/>
  <c r="AQ18" i="41" s="1"/>
  <c r="AT17" i="41"/>
  <c r="AS17" i="41"/>
  <c r="J18" i="42"/>
  <c r="I19" i="42" a="1"/>
  <c r="I19" i="42" s="1"/>
  <c r="AQ19" i="41" l="1" a="1"/>
  <c r="AQ19" i="41" s="1"/>
  <c r="AT18" i="41"/>
  <c r="AR18" i="41"/>
  <c r="AS18" i="41"/>
  <c r="K19" i="42"/>
  <c r="J19" i="42"/>
  <c r="I20" i="42" a="1"/>
  <c r="I20" i="42" s="1"/>
  <c r="AT19" i="41" l="1"/>
  <c r="AQ20" i="41" a="1"/>
  <c r="AQ20" i="41" s="1"/>
  <c r="AR19" i="41"/>
  <c r="K20" i="42"/>
  <c r="J20" i="42"/>
  <c r="I21" i="42" a="1"/>
  <c r="I21" i="42" s="1"/>
  <c r="AS20" i="41" l="1"/>
  <c r="AR20" i="41"/>
  <c r="AT20" i="41"/>
  <c r="AQ21" i="41" a="1"/>
  <c r="AQ21" i="41" s="1"/>
  <c r="J21" i="42"/>
  <c r="K21" i="42"/>
  <c r="I22" i="42" a="1"/>
  <c r="I22" i="42" s="1"/>
  <c r="AS21" i="41" l="1"/>
  <c r="AT21" i="41"/>
  <c r="AR21" i="41"/>
  <c r="AQ22" i="41" a="1"/>
  <c r="AQ22" i="41" s="1"/>
  <c r="K22" i="42"/>
  <c r="J22" i="42"/>
  <c r="I23" i="42" a="1"/>
  <c r="I23" i="42" s="1"/>
  <c r="AQ23" i="41" l="1" a="1"/>
  <c r="AQ23" i="41" s="1"/>
  <c r="AR22" i="41"/>
  <c r="AT22" i="41"/>
  <c r="K23" i="42"/>
  <c r="J23" i="42"/>
  <c r="I24" i="42" a="1"/>
  <c r="I24" i="42" s="1"/>
  <c r="AR23" i="41" l="1"/>
  <c r="AS23" i="41"/>
  <c r="AT23" i="41"/>
  <c r="AQ24" i="41" a="1"/>
  <c r="AQ24" i="41" s="1"/>
  <c r="J24" i="42"/>
  <c r="K24" i="42"/>
  <c r="I25" i="42" a="1"/>
  <c r="I25" i="42" s="1"/>
  <c r="AT24" i="41" l="1"/>
  <c r="AS24" i="41"/>
  <c r="AR24" i="41"/>
  <c r="AQ25" i="41" a="1"/>
  <c r="AQ25" i="41" s="1"/>
  <c r="K25" i="42"/>
  <c r="J25" i="42"/>
  <c r="I26" i="42" a="1"/>
  <c r="I26" i="42" s="1"/>
  <c r="AT25" i="41" l="1"/>
  <c r="AR25" i="41"/>
  <c r="AS25" i="41"/>
  <c r="AQ26" i="41" a="1"/>
  <c r="AQ26" i="41" s="1"/>
  <c r="J26" i="42"/>
  <c r="K26" i="42"/>
  <c r="I27" i="42" a="1"/>
  <c r="I27" i="42" s="1"/>
  <c r="AS26" i="41" l="1"/>
  <c r="AR26" i="41"/>
  <c r="AT26" i="41"/>
  <c r="AQ27" i="41" a="1"/>
  <c r="AQ27" i="41" s="1"/>
  <c r="K27" i="42"/>
  <c r="J27" i="42"/>
  <c r="I28" i="42" a="1"/>
  <c r="I28" i="42" s="1"/>
  <c r="AS27" i="41" l="1"/>
  <c r="AT27" i="41"/>
  <c r="AR27" i="41"/>
  <c r="AQ28" i="41" a="1"/>
  <c r="AQ28" i="41" s="1"/>
  <c r="K28" i="42"/>
  <c r="J28" i="42"/>
  <c r="I29" i="42" a="1"/>
  <c r="I29" i="42" s="1"/>
  <c r="AR28" i="41" l="1"/>
  <c r="AQ29" i="41" a="1"/>
  <c r="AQ29" i="41" s="1"/>
  <c r="AT28" i="41"/>
  <c r="AS28" i="41"/>
  <c r="K29" i="42"/>
  <c r="J29" i="42"/>
  <c r="I30" i="42" a="1"/>
  <c r="I30" i="42" s="1"/>
  <c r="AT29" i="41" l="1"/>
  <c r="AQ30" i="41" a="1"/>
  <c r="AQ30" i="41" s="1"/>
  <c r="AR29" i="41"/>
  <c r="AS29" i="41"/>
  <c r="J30" i="42"/>
  <c r="K30" i="42"/>
  <c r="I31" i="42" a="1"/>
  <c r="I31" i="42" s="1"/>
  <c r="AS30" i="41" l="1"/>
  <c r="AR30" i="41"/>
  <c r="AT30" i="41"/>
  <c r="AQ31" i="41" a="1"/>
  <c r="AQ31" i="41" s="1"/>
  <c r="K31" i="42"/>
  <c r="J31" i="42"/>
  <c r="I32" i="42" a="1"/>
  <c r="I32" i="42" s="1"/>
  <c r="AR31" i="41" l="1"/>
  <c r="AQ32" i="41" a="1"/>
  <c r="AQ32" i="41" s="1"/>
  <c r="AS31" i="41"/>
  <c r="AT31" i="41"/>
  <c r="J32" i="42"/>
  <c r="K32" i="42"/>
  <c r="I33" i="42" a="1"/>
  <c r="I33" i="42" s="1"/>
  <c r="AT32" i="41" l="1"/>
  <c r="AQ33" i="41" a="1"/>
  <c r="AQ33" i="41" s="1"/>
  <c r="AR32" i="41"/>
  <c r="AS32" i="41"/>
  <c r="K33" i="42"/>
  <c r="J33" i="42"/>
  <c r="I34" i="42" a="1"/>
  <c r="I34" i="42" s="1"/>
  <c r="AR33" i="41" l="1"/>
  <c r="AQ34" i="41" a="1"/>
  <c r="AQ34" i="41" s="1"/>
  <c r="AT33" i="41"/>
  <c r="K34" i="42"/>
  <c r="J34" i="42"/>
  <c r="I35" i="42" a="1"/>
  <c r="I35" i="42" s="1"/>
  <c r="AS34" i="41" l="1"/>
  <c r="AQ35" i="41" a="1"/>
  <c r="AQ35" i="41" s="1"/>
  <c r="AR34" i="41"/>
  <c r="AT34" i="41"/>
  <c r="J35" i="42"/>
  <c r="K35" i="42"/>
  <c r="I36" i="42" a="1"/>
  <c r="I36" i="42" s="1"/>
  <c r="AQ36" i="41" l="1" a="1"/>
  <c r="AQ36" i="41" s="1"/>
  <c r="AS35" i="41"/>
  <c r="AT35" i="41"/>
  <c r="AR35" i="41"/>
  <c r="K36" i="42"/>
  <c r="J36" i="42"/>
  <c r="I37" i="42" a="1"/>
  <c r="I37" i="42" s="1"/>
  <c r="AS36" i="41" l="1"/>
  <c r="AT36" i="41"/>
  <c r="AQ37" i="41" a="1"/>
  <c r="AQ37" i="41" s="1"/>
  <c r="AR36" i="41"/>
  <c r="K37" i="42"/>
  <c r="J37" i="42"/>
  <c r="I38" i="42" a="1"/>
  <c r="I38" i="42" s="1"/>
  <c r="AQ38" i="41" l="1" a="1"/>
  <c r="AQ38" i="41" s="1"/>
  <c r="AR37" i="41"/>
  <c r="AT37" i="41"/>
  <c r="AS37" i="41"/>
  <c r="K38" i="42"/>
  <c r="J38" i="42"/>
  <c r="I39" i="42" a="1"/>
  <c r="I39" i="42" s="1"/>
  <c r="AR38" i="41" l="1"/>
  <c r="AQ39" i="41" a="1"/>
  <c r="AQ39" i="41" s="1"/>
  <c r="AT38" i="41"/>
  <c r="AS38" i="41"/>
  <c r="K39" i="42"/>
  <c r="J39" i="42"/>
  <c r="I40" i="42" a="1"/>
  <c r="I40" i="42" s="1"/>
  <c r="AS39" i="41" l="1"/>
  <c r="AR39" i="41"/>
  <c r="AQ40" i="41" a="1"/>
  <c r="AQ40" i="41" s="1"/>
  <c r="AT39" i="41"/>
  <c r="J40" i="42"/>
  <c r="K40" i="42"/>
  <c r="I41" i="42" a="1"/>
  <c r="I41" i="42" s="1"/>
  <c r="AT40" i="41" l="1"/>
  <c r="AR40" i="41"/>
  <c r="AQ41" i="41" a="1"/>
  <c r="AQ41" i="41" s="1"/>
  <c r="AS40" i="41"/>
  <c r="K41" i="42"/>
  <c r="J41" i="42"/>
  <c r="I42" i="42" a="1"/>
  <c r="I42" i="42" s="1"/>
  <c r="AS41" i="41" l="1"/>
  <c r="AQ42" i="41" a="1"/>
  <c r="AQ42" i="41" s="1"/>
  <c r="AR41" i="41"/>
  <c r="AT41" i="41"/>
  <c r="K42" i="42"/>
  <c r="J42" i="42"/>
  <c r="I43" i="42" a="1"/>
  <c r="I43" i="42" s="1"/>
  <c r="AS42" i="41" l="1"/>
  <c r="AT42" i="41"/>
  <c r="AR42" i="41"/>
  <c r="AQ43" i="41" a="1"/>
  <c r="AQ43" i="41" s="1"/>
  <c r="K43" i="42"/>
  <c r="J43" i="42"/>
  <c r="I44" i="42" a="1"/>
  <c r="I44" i="42" s="1"/>
  <c r="AT43" i="41" l="1"/>
  <c r="AR43" i="41"/>
  <c r="AQ44" i="41" a="1"/>
  <c r="AQ44" i="41" s="1"/>
  <c r="AS43" i="41"/>
  <c r="K44" i="42"/>
  <c r="J44" i="42"/>
  <c r="I45" i="42" a="1"/>
  <c r="I45" i="42" s="1"/>
  <c r="AR44" i="41" l="1"/>
  <c r="AT44" i="41"/>
  <c r="AQ45" i="41" a="1"/>
  <c r="AQ45" i="41" s="1"/>
  <c r="AS44" i="41"/>
  <c r="K45" i="42"/>
  <c r="J45" i="42"/>
  <c r="I46" i="42" a="1"/>
  <c r="I46" i="42" s="1"/>
  <c r="M10" i="26" a="1"/>
  <c r="M10" i="26" s="1"/>
  <c r="AR45" i="41" l="1"/>
  <c r="AQ46" i="41" a="1"/>
  <c r="AQ46" i="41" s="1"/>
  <c r="AS45" i="41"/>
  <c r="AT45" i="41"/>
  <c r="J46" i="42"/>
  <c r="K46" i="42"/>
  <c r="I47" i="42" a="1"/>
  <c r="I47" i="42" s="1"/>
  <c r="I6" i="45"/>
  <c r="J6" i="45" s="1"/>
  <c r="Q6" i="45"/>
  <c r="AT46" i="41" l="1"/>
  <c r="AS46" i="41"/>
  <c r="AR46" i="41"/>
  <c r="AQ47" i="41" a="1"/>
  <c r="AQ47" i="41" s="1"/>
  <c r="K47" i="42"/>
  <c r="J47" i="42"/>
  <c r="I48" i="42" a="1"/>
  <c r="I48" i="42" s="1"/>
  <c r="Q10" i="45"/>
  <c r="Q9" i="45"/>
  <c r="Q13" i="45"/>
  <c r="Q14" i="45"/>
  <c r="Q28" i="45"/>
  <c r="Q11" i="45"/>
  <c r="Q30" i="45"/>
  <c r="Q7" i="45"/>
  <c r="Q8" i="45"/>
  <c r="Q27" i="45"/>
  <c r="Q35" i="45"/>
  <c r="Q15" i="45"/>
  <c r="Q12" i="45"/>
  <c r="Q31" i="45"/>
  <c r="Q16" i="45"/>
  <c r="Q19" i="45"/>
  <c r="Q17" i="45"/>
  <c r="Q32" i="45"/>
  <c r="Q33" i="45"/>
  <c r="Q18" i="45"/>
  <c r="Q22" i="45"/>
  <c r="Q34" i="45"/>
  <c r="AT47" i="41" l="1"/>
  <c r="AQ48" i="41" a="1"/>
  <c r="AQ48" i="41" s="1"/>
  <c r="AR47" i="41"/>
  <c r="AS47" i="41"/>
  <c r="J48" i="42"/>
  <c r="K48" i="42"/>
  <c r="I49" i="42" a="1"/>
  <c r="I49" i="42" s="1"/>
  <c r="Q23" i="45"/>
  <c r="Q37" i="45"/>
  <c r="Q24" i="45"/>
  <c r="Q29" i="45"/>
  <c r="Q20" i="45"/>
  <c r="Q21" i="45"/>
  <c r="Q26" i="45"/>
  <c r="Q36" i="45"/>
  <c r="Q25" i="45"/>
  <c r="M7" i="42"/>
  <c r="M1" i="42" a="1"/>
  <c r="M1" i="42" s="1"/>
  <c r="AT48" i="41" l="1"/>
  <c r="AS48" i="41"/>
  <c r="AR48" i="41"/>
  <c r="AQ49" i="41" a="1"/>
  <c r="AQ49" i="41" s="1"/>
  <c r="J49" i="42"/>
  <c r="I50" i="42" a="1"/>
  <c r="I50" i="42" s="1"/>
  <c r="M8" i="42"/>
  <c r="D7" i="41"/>
  <c r="D1" i="41" a="1"/>
  <c r="D1" i="41" s="1"/>
  <c r="AR49" i="41" l="1"/>
  <c r="AT49" i="41"/>
  <c r="AQ50" i="41" a="1"/>
  <c r="AQ50" i="41" s="1"/>
  <c r="AS49" i="41"/>
  <c r="J50" i="42"/>
  <c r="I51" i="42" a="1"/>
  <c r="I51" i="42" s="1"/>
  <c r="M9" i="42"/>
  <c r="D8" i="41"/>
  <c r="AQ51" i="41" l="1" a="1"/>
  <c r="AQ51" i="41" s="1"/>
  <c r="AR50" i="41"/>
  <c r="AS50" i="41"/>
  <c r="AT50" i="41"/>
  <c r="J51" i="42"/>
  <c r="I52" i="42" a="1"/>
  <c r="I52" i="42" s="1"/>
  <c r="M10" i="42"/>
  <c r="D9" i="41"/>
  <c r="AQ52" i="41" l="1" a="1"/>
  <c r="AQ52" i="41" s="1"/>
  <c r="AT51" i="41"/>
  <c r="AR51" i="41"/>
  <c r="AS51" i="41"/>
  <c r="J52" i="42"/>
  <c r="I53" i="42" a="1"/>
  <c r="I53" i="42" s="1"/>
  <c r="M11" i="42"/>
  <c r="D10" i="41"/>
  <c r="AQ53" i="41" l="1" a="1"/>
  <c r="AQ53" i="41" s="1"/>
  <c r="AR52" i="41"/>
  <c r="AS52" i="41"/>
  <c r="AT52" i="41"/>
  <c r="J53" i="42"/>
  <c r="I54" i="42" a="1"/>
  <c r="I54" i="42" s="1"/>
  <c r="M12" i="42"/>
  <c r="D11" i="41"/>
  <c r="AS53" i="41" l="1"/>
  <c r="AT53" i="41"/>
  <c r="AR53" i="41"/>
  <c r="AQ54" i="41" a="1"/>
  <c r="AQ54" i="41" s="1"/>
  <c r="J54" i="42"/>
  <c r="I55" i="42" a="1"/>
  <c r="I55" i="42" s="1"/>
  <c r="M13" i="42"/>
  <c r="D12" i="41"/>
  <c r="AR54" i="41" l="1"/>
  <c r="AQ55" i="41" a="1"/>
  <c r="AQ55" i="41" s="1"/>
  <c r="AT54" i="41"/>
  <c r="K55" i="42"/>
  <c r="J55" i="42"/>
  <c r="I56" i="42" a="1"/>
  <c r="I56" i="42" s="1"/>
  <c r="M14" i="42"/>
  <c r="D13" i="41"/>
  <c r="AT55" i="41" l="1"/>
  <c r="AQ56" i="41" a="1"/>
  <c r="AQ56" i="41" s="1"/>
  <c r="AR55" i="41"/>
  <c r="J56" i="42"/>
  <c r="K56" i="42"/>
  <c r="M15" i="42"/>
  <c r="D14" i="41"/>
  <c r="AT56" i="41" l="1"/>
  <c r="AR56" i="41"/>
  <c r="AQ57" i="41" a="1"/>
  <c r="AQ57" i="41" s="1"/>
  <c r="M16" i="42"/>
  <c r="D15" i="41"/>
  <c r="AT57" i="41" l="1"/>
  <c r="AR57" i="41"/>
  <c r="AQ58" i="41" a="1"/>
  <c r="AQ58" i="41" s="1"/>
  <c r="M17" i="42"/>
  <c r="D16" i="41"/>
  <c r="AR58" i="41" l="1"/>
  <c r="AT58" i="41"/>
  <c r="AQ59" i="41" a="1"/>
  <c r="AQ59" i="41" s="1"/>
  <c r="M18" i="42"/>
  <c r="D17" i="41"/>
  <c r="AU59" i="41" l="1"/>
  <c r="AT59" i="41"/>
  <c r="AR59" i="41"/>
  <c r="AQ60" i="41" a="1"/>
  <c r="AQ60" i="41" s="1"/>
  <c r="M19" i="42"/>
  <c r="D18" i="41"/>
  <c r="AS60" i="41" l="1"/>
  <c r="AR60" i="41"/>
  <c r="AT60" i="41"/>
  <c r="AQ61" i="41" a="1"/>
  <c r="AQ61" i="41" s="1"/>
  <c r="M20" i="42"/>
  <c r="D19" i="41"/>
  <c r="AQ62" i="41" l="1" a="1"/>
  <c r="AQ62" i="41" s="1"/>
  <c r="AR61" i="41"/>
  <c r="AT61" i="41"/>
  <c r="AS61" i="41"/>
  <c r="M21" i="42"/>
  <c r="D20" i="41"/>
  <c r="AR62" i="41" l="1"/>
  <c r="AQ63" i="41" a="1"/>
  <c r="AQ63" i="41" s="1"/>
  <c r="AT62" i="41"/>
  <c r="M22" i="42"/>
  <c r="D21" i="41"/>
  <c r="AS63" i="41" l="1"/>
  <c r="AQ64" i="41" a="1"/>
  <c r="AQ64" i="41" s="1"/>
  <c r="AT63" i="41"/>
  <c r="AR63" i="41"/>
  <c r="M23" i="42"/>
  <c r="D22" i="41"/>
  <c r="AQ65" i="41" l="1" a="1"/>
  <c r="AQ65" i="41" s="1"/>
  <c r="AR64" i="41"/>
  <c r="AT64" i="41"/>
  <c r="AS64" i="41"/>
  <c r="M24" i="42"/>
  <c r="D23" i="41"/>
  <c r="AQ66" i="41" l="1" a="1"/>
  <c r="AQ66" i="41" s="1"/>
  <c r="AS65" i="41"/>
  <c r="AR65" i="41"/>
  <c r="AT65" i="41"/>
  <c r="M25" i="42"/>
  <c r="D24" i="41"/>
  <c r="AR66" i="41" l="1"/>
  <c r="AT66" i="41"/>
  <c r="AQ67" i="41" a="1"/>
  <c r="AQ67" i="41" s="1"/>
  <c r="AS66" i="41"/>
  <c r="M26" i="42"/>
  <c r="D25" i="41"/>
  <c r="AQ68" i="41" l="1" a="1"/>
  <c r="AQ68" i="41" s="1"/>
  <c r="AT67" i="41"/>
  <c r="AR67" i="41"/>
  <c r="AS67" i="41"/>
  <c r="M27" i="42"/>
  <c r="D26" i="41"/>
  <c r="AT68" i="41" l="1"/>
  <c r="AR68" i="41"/>
  <c r="AQ69" i="41" a="1"/>
  <c r="AQ69" i="41" s="1"/>
  <c r="AS68" i="41"/>
  <c r="M28" i="42"/>
  <c r="D27" i="41"/>
  <c r="AQ70" i="41" l="1" a="1"/>
  <c r="AQ70" i="41" s="1"/>
  <c r="AR69" i="41"/>
  <c r="AS69" i="41"/>
  <c r="AT69" i="41"/>
  <c r="M29" i="42"/>
  <c r="D28" i="41"/>
  <c r="AR70" i="41" l="1"/>
  <c r="AT70" i="41"/>
  <c r="AQ71" i="41" a="1"/>
  <c r="AQ71" i="41" s="1"/>
  <c r="AS70" i="41"/>
  <c r="M30" i="42"/>
  <c r="D29" i="41"/>
  <c r="AT71" i="41" l="1"/>
  <c r="AR71" i="41"/>
  <c r="AS71" i="41"/>
  <c r="AQ72" i="41" a="1"/>
  <c r="AQ72" i="41" s="1"/>
  <c r="M31" i="42"/>
  <c r="D30" i="41"/>
  <c r="AT72" i="41" l="1"/>
  <c r="AS72" i="41"/>
  <c r="AQ73" i="41" a="1"/>
  <c r="AQ73" i="41" s="1"/>
  <c r="AR72" i="41"/>
  <c r="M32" i="42"/>
  <c r="D31" i="41"/>
  <c r="AT73" i="41" l="1"/>
  <c r="AQ74" i="41" a="1"/>
  <c r="AQ74" i="41" s="1"/>
  <c r="AR73" i="41"/>
  <c r="AS73" i="41"/>
  <c r="D32" i="41"/>
  <c r="AT74" i="41" l="1"/>
  <c r="AR74" i="41"/>
  <c r="AQ75" i="41" a="1"/>
  <c r="AQ75" i="41" s="1"/>
  <c r="AS74" i="41"/>
  <c r="AB4" i="42"/>
  <c r="AT75" i="41" l="1"/>
  <c r="AR75" i="41"/>
  <c r="AQ76" i="41" a="1"/>
  <c r="AQ76" i="41" s="1"/>
  <c r="N5" i="42"/>
  <c r="AS76" i="41" l="1"/>
  <c r="AR76" i="41"/>
  <c r="AT76" i="41"/>
  <c r="AQ77" i="41" a="1"/>
  <c r="AQ77" i="41" s="1"/>
  <c r="V4" i="42"/>
  <c r="V5" i="42"/>
  <c r="Z5" i="42"/>
  <c r="T4" i="42"/>
  <c r="X4" i="42"/>
  <c r="Z4" i="42"/>
  <c r="P5" i="42"/>
  <c r="R5" i="42"/>
  <c r="N4" i="42"/>
  <c r="R4" i="42"/>
  <c r="X5" i="42"/>
  <c r="T5" i="42"/>
  <c r="P4" i="42"/>
  <c r="AR77" i="41" l="1"/>
  <c r="AS77" i="41"/>
  <c r="AT77" i="41"/>
  <c r="AQ78" i="41" a="1"/>
  <c r="AQ78" i="41" s="1"/>
  <c r="AB6" i="42"/>
  <c r="AB5" i="42"/>
  <c r="AS78" i="41" l="1"/>
  <c r="AT78" i="41"/>
  <c r="AQ79" i="41" a="1"/>
  <c r="AQ79" i="41" s="1"/>
  <c r="AR78" i="41"/>
  <c r="Z6" i="42"/>
  <c r="AR79" i="41" l="1"/>
  <c r="AS79" i="41"/>
  <c r="AT79" i="41"/>
  <c r="AQ80" i="41" a="1"/>
  <c r="AQ80" i="41" s="1"/>
  <c r="X6" i="42"/>
  <c r="AT80" i="41" l="1"/>
  <c r="AQ81" i="41" a="1"/>
  <c r="AQ81" i="41" s="1"/>
  <c r="AR80" i="41"/>
  <c r="AS80" i="41"/>
  <c r="V6" i="42"/>
  <c r="AQ82" i="41" l="1" a="1"/>
  <c r="AQ82" i="41" s="1"/>
  <c r="AS81" i="41"/>
  <c r="AR81" i="41"/>
  <c r="AT81" i="41"/>
  <c r="T6" i="42"/>
  <c r="AQ83" i="41" l="1" a="1"/>
  <c r="AQ83" i="41" s="1"/>
  <c r="AS82" i="41"/>
  <c r="AR82" i="41"/>
  <c r="AT82" i="41"/>
  <c r="R6" i="42"/>
  <c r="AQ84" i="41" l="1" a="1"/>
  <c r="AQ84" i="41" s="1"/>
  <c r="AT83" i="41"/>
  <c r="AR83" i="41"/>
  <c r="AS83" i="41"/>
  <c r="P6" i="42"/>
  <c r="AS84" i="41" l="1"/>
  <c r="AR84" i="41"/>
  <c r="AT84" i="41"/>
  <c r="AQ85" i="41" a="1"/>
  <c r="AQ85" i="41" s="1"/>
  <c r="N6" i="42"/>
  <c r="N7" i="42"/>
  <c r="AT85" i="41" l="1"/>
  <c r="AQ86" i="41" a="1"/>
  <c r="AQ86" i="41" s="1"/>
  <c r="AS85" i="41"/>
  <c r="AR85" i="41"/>
  <c r="T7" i="42"/>
  <c r="X7" i="42"/>
  <c r="P7" i="42"/>
  <c r="V7" i="42"/>
  <c r="Z7" i="42"/>
  <c r="R7" i="42"/>
  <c r="AR86" i="41" l="1"/>
  <c r="AT86" i="41"/>
  <c r="AQ87" i="41" a="1"/>
  <c r="AQ87" i="41" s="1"/>
  <c r="AB7" i="42"/>
  <c r="AR87" i="41" l="1"/>
  <c r="AS87" i="41"/>
  <c r="AT87" i="41"/>
  <c r="AQ88" i="41" a="1"/>
  <c r="AQ88" i="41" s="1"/>
  <c r="AB9" i="42"/>
  <c r="O16" i="42"/>
  <c r="AH21" i="42"/>
  <c r="AB24" i="42"/>
  <c r="AC29" i="42"/>
  <c r="O21" i="42"/>
  <c r="X26" i="42"/>
  <c r="AE9" i="42"/>
  <c r="X8" i="42"/>
  <c r="N21" i="42"/>
  <c r="AC30" i="42"/>
  <c r="R29" i="42"/>
  <c r="AH29" i="42"/>
  <c r="R16" i="42"/>
  <c r="AI17" i="42"/>
  <c r="AC28" i="42"/>
  <c r="AE29" i="42"/>
  <c r="AF32" i="42"/>
  <c r="AC24" i="42"/>
  <c r="O22" i="42"/>
  <c r="AC19" i="42"/>
  <c r="AG30" i="42"/>
  <c r="T30" i="42"/>
  <c r="W24" i="42"/>
  <c r="AI4" i="42"/>
  <c r="Y15" i="42"/>
  <c r="AF21" i="42"/>
  <c r="Y30" i="42"/>
  <c r="O26" i="42"/>
  <c r="X13" i="42"/>
  <c r="X19" i="42"/>
  <c r="AA29" i="42"/>
  <c r="P14" i="42"/>
  <c r="V19" i="42"/>
  <c r="AD11" i="42"/>
  <c r="AF23" i="42"/>
  <c r="AH30" i="42"/>
  <c r="AG28" i="42"/>
  <c r="Y16" i="42"/>
  <c r="W7" i="42"/>
  <c r="W20" i="42"/>
  <c r="Z13" i="42"/>
  <c r="Q27" i="42"/>
  <c r="AI19" i="42"/>
  <c r="X16" i="42"/>
  <c r="V31" i="42"/>
  <c r="AA12" i="42"/>
  <c r="V8" i="42"/>
  <c r="AD23" i="42"/>
  <c r="Z27" i="42"/>
  <c r="P23" i="42"/>
  <c r="AA9" i="42"/>
  <c r="X12" i="42"/>
  <c r="U10" i="42"/>
  <c r="R12" i="42"/>
  <c r="V15" i="42"/>
  <c r="AD31" i="42"/>
  <c r="Z16" i="42"/>
  <c r="W4" i="42"/>
  <c r="N9" i="42"/>
  <c r="N26" i="42"/>
  <c r="AA16" i="42"/>
  <c r="O29" i="42"/>
  <c r="W28" i="42"/>
  <c r="AG5" i="42"/>
  <c r="AD5" i="42"/>
  <c r="S17" i="42"/>
  <c r="AG19" i="42"/>
  <c r="V14" i="42"/>
  <c r="Y4" i="42"/>
  <c r="AC16" i="42"/>
  <c r="AF20" i="42"/>
  <c r="R24" i="42"/>
  <c r="O13" i="42"/>
  <c r="Z25" i="42"/>
  <c r="AD9" i="42"/>
  <c r="O28" i="42"/>
  <c r="AA31" i="42"/>
  <c r="V32" i="42"/>
  <c r="Y22" i="42"/>
  <c r="X9" i="42"/>
  <c r="AB30" i="42"/>
  <c r="S27" i="42"/>
  <c r="AD8" i="42"/>
  <c r="V21" i="42"/>
  <c r="AI14" i="42"/>
  <c r="N25" i="42"/>
  <c r="AJ24" i="42"/>
  <c r="V16" i="42"/>
  <c r="S20" i="42"/>
  <c r="AI10" i="42"/>
  <c r="X30" i="42"/>
  <c r="T32" i="42"/>
  <c r="AE21" i="42"/>
  <c r="S7" i="42"/>
  <c r="Q8" i="42"/>
  <c r="AJ21" i="42"/>
  <c r="AD30" i="42"/>
  <c r="AG22" i="42"/>
  <c r="Z12" i="42"/>
  <c r="AF4" i="42"/>
  <c r="AD27" i="42"/>
  <c r="U23" i="42"/>
  <c r="AF25" i="42"/>
  <c r="AF7" i="42"/>
  <c r="AC20" i="42"/>
  <c r="AI27" i="42"/>
  <c r="AH24" i="42"/>
  <c r="AH18" i="42"/>
  <c r="AC32" i="42"/>
  <c r="X28" i="42"/>
  <c r="AH32" i="42"/>
  <c r="P27" i="42"/>
  <c r="AF11" i="42"/>
  <c r="S28" i="42"/>
  <c r="AA8" i="42"/>
  <c r="R27" i="42"/>
  <c r="Q25" i="42"/>
  <c r="Y9" i="42"/>
  <c r="P20" i="42"/>
  <c r="AD18" i="42"/>
  <c r="T22" i="42"/>
  <c r="O27" i="42"/>
  <c r="X11" i="42"/>
  <c r="AA30" i="42"/>
  <c r="AB10" i="42"/>
  <c r="AI5" i="42"/>
  <c r="P19" i="42"/>
  <c r="AC23" i="42"/>
  <c r="AE7" i="42"/>
  <c r="R11" i="42"/>
  <c r="N24" i="42"/>
  <c r="AJ19" i="42"/>
  <c r="AD26" i="42"/>
  <c r="T15" i="42"/>
  <c r="R8" i="42"/>
  <c r="AI6" i="42"/>
  <c r="AF15" i="42"/>
  <c r="W29" i="42"/>
  <c r="Y7" i="42"/>
  <c r="V10" i="42"/>
  <c r="Q26" i="42"/>
  <c r="V24" i="42"/>
  <c r="AC4" i="42"/>
  <c r="AH6" i="42"/>
  <c r="AG10" i="42"/>
  <c r="S24" i="42"/>
  <c r="AC22" i="42"/>
  <c r="X24" i="42"/>
  <c r="AA21" i="42"/>
  <c r="P24" i="42"/>
  <c r="AI23" i="42"/>
  <c r="U30" i="42"/>
  <c r="U19" i="42"/>
  <c r="S8" i="42"/>
  <c r="AJ13" i="42"/>
  <c r="AE16" i="42"/>
  <c r="AG8" i="42"/>
  <c r="AG21" i="42"/>
  <c r="AH13" i="42"/>
  <c r="Q16" i="42"/>
  <c r="W13" i="42"/>
  <c r="AB13" i="42"/>
  <c r="AE27" i="42"/>
  <c r="W21" i="42"/>
  <c r="Q13" i="42"/>
  <c r="Z18" i="42"/>
  <c r="X32" i="42"/>
  <c r="AD13" i="42"/>
  <c r="R28" i="42"/>
  <c r="AI21" i="42"/>
  <c r="AG26" i="42"/>
  <c r="N19" i="42"/>
  <c r="AH28" i="42"/>
  <c r="O14" i="42"/>
  <c r="N17" i="42"/>
  <c r="U6" i="42"/>
  <c r="Q7" i="42"/>
  <c r="AB15" i="42"/>
  <c r="N28" i="42"/>
  <c r="U14" i="42"/>
  <c r="R26" i="42"/>
  <c r="AC8" i="42"/>
  <c r="AG12" i="42"/>
  <c r="W12" i="42"/>
  <c r="R22" i="42"/>
  <c r="Q18" i="42"/>
  <c r="AE17" i="42"/>
  <c r="AD17" i="42"/>
  <c r="AB19" i="42"/>
  <c r="Q23" i="42"/>
  <c r="P30" i="42"/>
  <c r="V22" i="42"/>
  <c r="AI24" i="42"/>
  <c r="AF16" i="42"/>
  <c r="S13" i="42"/>
  <c r="AD10" i="42"/>
  <c r="AG16" i="42"/>
  <c r="T17" i="42"/>
  <c r="U7" i="42"/>
  <c r="AG32" i="42"/>
  <c r="Q20" i="42"/>
  <c r="AB16" i="42"/>
  <c r="Q15" i="42"/>
  <c r="U16" i="42"/>
  <c r="Y29" i="42"/>
  <c r="N13" i="42"/>
  <c r="Y10" i="42"/>
  <c r="AG9" i="42"/>
  <c r="AC11" i="42"/>
  <c r="AA6" i="42"/>
  <c r="O24" i="42"/>
  <c r="U12" i="42"/>
  <c r="U21" i="42"/>
  <c r="X29" i="42"/>
  <c r="Y32" i="42"/>
  <c r="T18" i="42"/>
  <c r="Q9" i="42"/>
  <c r="T25" i="42"/>
  <c r="N23" i="42"/>
  <c r="T28" i="42"/>
  <c r="AA20" i="42"/>
  <c r="AC17" i="42"/>
  <c r="AD20" i="42"/>
  <c r="AE5" i="42"/>
  <c r="P26" i="42"/>
  <c r="AF27" i="42"/>
  <c r="AA7" i="42"/>
  <c r="AJ27" i="42"/>
  <c r="P32" i="42"/>
  <c r="AF19" i="42"/>
  <c r="R13" i="42"/>
  <c r="X31" i="42"/>
  <c r="S4" i="42"/>
  <c r="AB20" i="42"/>
  <c r="AI22" i="42"/>
  <c r="AI7" i="42"/>
  <c r="AD22" i="42"/>
  <c r="U25" i="42"/>
  <c r="AA27" i="42"/>
  <c r="X21" i="42"/>
  <c r="AA24" i="42"/>
  <c r="T12" i="42"/>
  <c r="T20" i="42"/>
  <c r="O8" i="42"/>
  <c r="AI12" i="42"/>
  <c r="P22" i="42"/>
  <c r="U27" i="42"/>
  <c r="AE15" i="42"/>
  <c r="AA17" i="42"/>
  <c r="S31" i="42"/>
  <c r="O20" i="42"/>
  <c r="Z20" i="42"/>
  <c r="AI31" i="42"/>
  <c r="S26" i="42"/>
  <c r="T27" i="42"/>
  <c r="O19" i="42"/>
  <c r="AG23" i="42"/>
  <c r="Z31" i="42"/>
  <c r="AB29" i="42"/>
  <c r="T26" i="42"/>
  <c r="P17" i="42"/>
  <c r="AC15" i="42"/>
  <c r="Q5" i="42"/>
  <c r="R10" i="42"/>
  <c r="AI18" i="42"/>
  <c r="X17" i="42"/>
  <c r="AE13" i="42"/>
  <c r="P16" i="42"/>
  <c r="Y28" i="42"/>
  <c r="AF13" i="42"/>
  <c r="AE28" i="42"/>
  <c r="AD25" i="42"/>
  <c r="AB23" i="42"/>
  <c r="AH20" i="42"/>
  <c r="AG24" i="42"/>
  <c r="S11" i="42"/>
  <c r="Q6" i="42"/>
  <c r="Z19" i="42"/>
  <c r="AE31" i="42"/>
  <c r="AH12" i="42"/>
  <c r="Y20" i="42"/>
  <c r="T14" i="42"/>
  <c r="X15" i="42"/>
  <c r="AJ14" i="42"/>
  <c r="O12" i="42"/>
  <c r="AA26" i="42"/>
  <c r="AJ11" i="42"/>
  <c r="Q12" i="42"/>
  <c r="AI11" i="42"/>
  <c r="S25" i="42"/>
  <c r="O25" i="42"/>
  <c r="Y31" i="42"/>
  <c r="P21" i="42"/>
  <c r="AE30" i="42"/>
  <c r="AC13" i="42"/>
  <c r="Z15" i="42"/>
  <c r="P13" i="42"/>
  <c r="O6" i="42"/>
  <c r="U22" i="42"/>
  <c r="AH25" i="42"/>
  <c r="AG7" i="42"/>
  <c r="AG31" i="42"/>
  <c r="AF24" i="42"/>
  <c r="AG6" i="42"/>
  <c r="T16" i="42"/>
  <c r="AH7" i="42"/>
  <c r="S15" i="42"/>
  <c r="AE26" i="42"/>
  <c r="AA32" i="42"/>
  <c r="W22" i="42"/>
  <c r="AJ10" i="42"/>
  <c r="S22" i="42"/>
  <c r="AF6" i="42"/>
  <c r="V29" i="42"/>
  <c r="P18" i="42"/>
  <c r="V27" i="42"/>
  <c r="AG15" i="42"/>
  <c r="AB12" i="42"/>
  <c r="X18" i="42"/>
  <c r="AI25" i="42"/>
  <c r="AG27" i="42"/>
  <c r="AC31" i="42"/>
  <c r="Z8" i="42"/>
  <c r="Z17" i="42"/>
  <c r="AH10" i="42"/>
  <c r="AA4" i="42"/>
  <c r="AH14" i="42"/>
  <c r="R9" i="42"/>
  <c r="R30" i="42"/>
  <c r="V9" i="42"/>
  <c r="W18" i="42"/>
  <c r="O31" i="42"/>
  <c r="O4" i="42"/>
  <c r="Y23" i="42"/>
  <c r="AF22" i="42"/>
  <c r="AI9" i="42"/>
  <c r="W27" i="42"/>
  <c r="W15" i="42"/>
  <c r="Z32" i="42"/>
  <c r="AD7" i="42"/>
  <c r="N22" i="42"/>
  <c r="W5" i="42"/>
  <c r="P31" i="42"/>
  <c r="R19" i="42"/>
  <c r="Q28" i="42"/>
  <c r="R17" i="42"/>
  <c r="S12" i="42"/>
  <c r="V18" i="42"/>
  <c r="AC26" i="42"/>
  <c r="AB25" i="42"/>
  <c r="AH16" i="42"/>
  <c r="AA22" i="42"/>
  <c r="AJ31" i="42"/>
  <c r="AH9" i="42"/>
  <c r="AE20" i="42"/>
  <c r="V23" i="42"/>
  <c r="AJ8" i="42"/>
  <c r="U8" i="42"/>
  <c r="Q30" i="42"/>
  <c r="AF12" i="42"/>
  <c r="AI8" i="42"/>
  <c r="T21" i="42"/>
  <c r="U9" i="42"/>
  <c r="S6" i="42"/>
  <c r="Y25" i="42"/>
  <c r="O32" i="42"/>
  <c r="AJ4" i="42"/>
  <c r="AE22" i="42"/>
  <c r="AJ15" i="42"/>
  <c r="Y19" i="42"/>
  <c r="AI28" i="42"/>
  <c r="W11" i="42"/>
  <c r="X23" i="42"/>
  <c r="AE19" i="42"/>
  <c r="AG4" i="42"/>
  <c r="AI13" i="42"/>
  <c r="S16" i="42"/>
  <c r="V26" i="42"/>
  <c r="Z11" i="42"/>
  <c r="T31" i="42"/>
  <c r="AF30" i="42"/>
  <c r="W25" i="42"/>
  <c r="W6" i="42"/>
  <c r="W16" i="42"/>
  <c r="AD15" i="42"/>
  <c r="T11" i="42"/>
  <c r="AA5" i="42"/>
  <c r="AF31" i="42"/>
  <c r="AD32" i="42"/>
  <c r="AE14" i="42"/>
  <c r="AJ6" i="42"/>
  <c r="AH4" i="42"/>
  <c r="AB31" i="42"/>
  <c r="S19" i="42"/>
  <c r="Y18" i="42"/>
  <c r="W30" i="42"/>
  <c r="N31" i="42"/>
  <c r="AD12" i="42"/>
  <c r="Q4" i="42"/>
  <c r="AA18" i="42"/>
  <c r="Z22" i="42"/>
  <c r="T19" i="42"/>
  <c r="AB22" i="42"/>
  <c r="AD21" i="42"/>
  <c r="V28" i="42"/>
  <c r="AE12" i="42"/>
  <c r="AJ30" i="42"/>
  <c r="V13" i="42"/>
  <c r="U15" i="42"/>
  <c r="U13" i="42"/>
  <c r="AC14" i="42"/>
  <c r="T24" i="42"/>
  <c r="Z28" i="42"/>
  <c r="AB28" i="42"/>
  <c r="W32" i="42"/>
  <c r="AF29" i="42"/>
  <c r="W8" i="42"/>
  <c r="T10" i="42"/>
  <c r="AA10" i="42"/>
  <c r="U18" i="42"/>
  <c r="AE24" i="42"/>
  <c r="X25" i="42"/>
  <c r="Z21" i="42"/>
  <c r="AA28" i="42"/>
  <c r="Q21" i="42"/>
  <c r="AD4" i="42"/>
  <c r="AF14" i="42"/>
  <c r="AE8" i="42"/>
  <c r="O7" i="42"/>
  <c r="AG13" i="42"/>
  <c r="S32" i="42"/>
  <c r="AH17" i="42"/>
  <c r="AG17" i="42"/>
  <c r="AJ17" i="42"/>
  <c r="AH8" i="42"/>
  <c r="AJ12" i="42"/>
  <c r="AC5" i="42"/>
  <c r="AE18" i="42"/>
  <c r="Y26" i="42"/>
  <c r="R20" i="42"/>
  <c r="AG18" i="42"/>
  <c r="U20" i="42"/>
  <c r="AJ18" i="42"/>
  <c r="Z23" i="42"/>
  <c r="AG20" i="42"/>
  <c r="S9" i="42"/>
  <c r="AE25" i="42"/>
  <c r="AA15" i="42"/>
  <c r="N15" i="42"/>
  <c r="P8" i="42"/>
  <c r="Q19" i="42"/>
  <c r="T23" i="42"/>
  <c r="AF17" i="42"/>
  <c r="AJ32" i="42"/>
  <c r="Q17" i="42"/>
  <c r="AH11" i="42"/>
  <c r="AH5" i="42"/>
  <c r="AG11" i="42"/>
  <c r="AD6" i="42"/>
  <c r="U5" i="42"/>
  <c r="X22" i="42"/>
  <c r="Z14" i="42"/>
  <c r="O9" i="42"/>
  <c r="AI15" i="42"/>
  <c r="AA14" i="42"/>
  <c r="AE23" i="42"/>
  <c r="Y21" i="42"/>
  <c r="X20" i="42"/>
  <c r="O18" i="42"/>
  <c r="Y6" i="42"/>
  <c r="N10" i="42"/>
  <c r="W19" i="42"/>
  <c r="AC6" i="42"/>
  <c r="N11" i="42"/>
  <c r="R25" i="42"/>
  <c r="AI20" i="42"/>
  <c r="U26" i="42"/>
  <c r="V12" i="42"/>
  <c r="V25" i="42"/>
  <c r="AF18" i="42"/>
  <c r="P15" i="42"/>
  <c r="O5" i="42"/>
  <c r="AI16" i="42"/>
  <c r="S30" i="42"/>
  <c r="AJ28" i="42"/>
  <c r="W17" i="42"/>
  <c r="R21" i="42"/>
  <c r="W31" i="42"/>
  <c r="Z29" i="42"/>
  <c r="AD14" i="42"/>
  <c r="X27" i="42"/>
  <c r="S5" i="42"/>
  <c r="AH15" i="42"/>
  <c r="AB26" i="42"/>
  <c r="N18" i="42"/>
  <c r="AJ7" i="42"/>
  <c r="S23" i="42"/>
  <c r="Z24" i="42"/>
  <c r="Y27" i="42"/>
  <c r="W23" i="42"/>
  <c r="AI29" i="42"/>
  <c r="U4" i="42"/>
  <c r="X10" i="42"/>
  <c r="AC7" i="42"/>
  <c r="AC9" i="42"/>
  <c r="W26" i="42"/>
  <c r="AF26" i="42"/>
  <c r="N27" i="42"/>
  <c r="Y5" i="42"/>
  <c r="U29" i="42"/>
  <c r="AI32" i="42"/>
  <c r="W9" i="42"/>
  <c r="Y11" i="42"/>
  <c r="P11" i="42"/>
  <c r="Y12" i="42"/>
  <c r="U31" i="42"/>
  <c r="AA19" i="42"/>
  <c r="P25" i="42"/>
  <c r="AB27" i="42"/>
  <c r="N20" i="42"/>
  <c r="P28" i="42"/>
  <c r="AA13" i="42"/>
  <c r="N14" i="42"/>
  <c r="Z9" i="42"/>
  <c r="S14" i="42"/>
  <c r="AB8" i="42"/>
  <c r="O11" i="42"/>
  <c r="O15" i="42"/>
  <c r="S10" i="42"/>
  <c r="V11" i="42"/>
  <c r="AE4" i="42"/>
  <c r="AH31" i="42"/>
  <c r="Y8" i="42"/>
  <c r="W14" i="42"/>
  <c r="AJ22" i="42"/>
  <c r="O10" i="42"/>
  <c r="AD16" i="42"/>
  <c r="N12" i="42"/>
  <c r="W10" i="42"/>
  <c r="AC18" i="42"/>
  <c r="R18" i="42"/>
  <c r="T29" i="42"/>
  <c r="O23" i="42"/>
  <c r="AG25" i="42"/>
  <c r="Z10" i="42"/>
  <c r="AG14" i="42"/>
  <c r="AD24" i="42"/>
  <c r="Y17" i="42"/>
  <c r="T8" i="42"/>
  <c r="P9" i="42"/>
  <c r="AD28" i="42"/>
  <c r="AJ23" i="42"/>
  <c r="U17" i="42"/>
  <c r="AG29" i="42"/>
  <c r="R32" i="42"/>
  <c r="AB32" i="42"/>
  <c r="AJ5" i="42"/>
  <c r="AC12" i="42"/>
  <c r="AJ16" i="42"/>
  <c r="AJ9" i="42"/>
  <c r="V17" i="42"/>
  <c r="AH19" i="42"/>
  <c r="T9" i="42"/>
  <c r="Y14" i="42"/>
  <c r="Q11" i="42"/>
  <c r="AF8" i="42"/>
  <c r="Q14" i="42"/>
  <c r="P12" i="42"/>
  <c r="Y24" i="42"/>
  <c r="Q22" i="42"/>
  <c r="Q10" i="42"/>
  <c r="P10" i="42"/>
  <c r="AE10" i="42"/>
  <c r="AE32" i="42"/>
  <c r="U32" i="42"/>
  <c r="T13" i="42"/>
  <c r="AI30" i="42"/>
  <c r="N32" i="42"/>
  <c r="S29" i="42"/>
  <c r="N30" i="42"/>
  <c r="Q24" i="42"/>
  <c r="P29" i="42"/>
  <c r="AF5" i="42"/>
  <c r="AE6" i="42"/>
  <c r="AA23" i="42"/>
  <c r="AA11" i="42"/>
  <c r="O17" i="42"/>
  <c r="Y13" i="42"/>
  <c r="AB14" i="42"/>
  <c r="AB18" i="42"/>
  <c r="U11" i="42"/>
  <c r="AJ25" i="42"/>
  <c r="AC25" i="42"/>
  <c r="Z30" i="42"/>
  <c r="AE11" i="42"/>
  <c r="AD29" i="42"/>
  <c r="X14" i="42"/>
  <c r="AB11" i="42"/>
  <c r="AJ29" i="42"/>
  <c r="U28" i="42"/>
  <c r="AJ20" i="42"/>
  <c r="R31" i="42"/>
  <c r="AA25" i="42"/>
  <c r="V20" i="42"/>
  <c r="N16" i="42"/>
  <c r="O30" i="42"/>
  <c r="AF9" i="42"/>
  <c r="AF28" i="42"/>
  <c r="R14" i="42"/>
  <c r="Q31" i="42"/>
  <c r="AC27" i="42"/>
  <c r="N8" i="42"/>
  <c r="AH27" i="42"/>
  <c r="AC10" i="42"/>
  <c r="AH26" i="42"/>
  <c r="Q32" i="42"/>
  <c r="V30" i="42"/>
  <c r="Z26" i="42"/>
  <c r="AH22" i="42"/>
  <c r="AH23" i="42"/>
  <c r="AJ26" i="42"/>
  <c r="AD19" i="42"/>
  <c r="Q29" i="42"/>
  <c r="AI26" i="42"/>
  <c r="AF10" i="42"/>
  <c r="AC21" i="42"/>
  <c r="S18" i="42"/>
  <c r="AB21" i="42"/>
  <c r="S21" i="42"/>
  <c r="U24" i="42"/>
  <c r="R15" i="42"/>
  <c r="R23" i="42"/>
  <c r="AB17" i="42"/>
  <c r="N29" i="42"/>
  <c r="AT88" i="41" l="1"/>
  <c r="AS88" i="41"/>
  <c r="AQ89" i="41" a="1"/>
  <c r="AQ89" i="41" s="1"/>
  <c r="AR88" i="41"/>
  <c r="Q4" i="41"/>
  <c r="G5" i="41"/>
  <c r="G8" i="41"/>
  <c r="K6" i="41"/>
  <c r="O5" i="41"/>
  <c r="M8" i="41"/>
  <c r="M7" i="41"/>
  <c r="M5" i="41"/>
  <c r="I5" i="41"/>
  <c r="E6" i="41"/>
  <c r="Q8" i="41"/>
  <c r="G7" i="41"/>
  <c r="S8" i="41"/>
  <c r="O8" i="41"/>
  <c r="I7" i="41"/>
  <c r="G9" i="41"/>
  <c r="E5" i="41"/>
  <c r="M4" i="41"/>
  <c r="E7" i="41"/>
  <c r="I8" i="41"/>
  <c r="E8" i="41"/>
  <c r="E4" i="41"/>
  <c r="K5" i="41"/>
  <c r="O9" i="41"/>
  <c r="O7" i="41"/>
  <c r="K9" i="41"/>
  <c r="Q6" i="41"/>
  <c r="S6" i="41"/>
  <c r="Q5" i="41"/>
  <c r="O4" i="41"/>
  <c r="G4" i="41"/>
  <c r="I6" i="41"/>
  <c r="K7" i="41"/>
  <c r="S5" i="41"/>
  <c r="S7" i="41"/>
  <c r="O6" i="41"/>
  <c r="Q7" i="41"/>
  <c r="K4" i="41"/>
  <c r="K8" i="41"/>
  <c r="I4" i="41"/>
  <c r="S4" i="41"/>
  <c r="M9" i="41"/>
  <c r="G6" i="41"/>
  <c r="I9" i="41"/>
  <c r="M6" i="41"/>
  <c r="E9" i="41"/>
  <c r="AR89" i="41" l="1"/>
  <c r="AS89" i="41"/>
  <c r="AQ90" i="41" a="1"/>
  <c r="AQ90" i="41" s="1"/>
  <c r="AT89" i="41"/>
  <c r="Q9" i="41"/>
  <c r="AQ91" i="41" l="1" a="1"/>
  <c r="AQ91" i="41" s="1"/>
  <c r="AS90" i="41"/>
  <c r="AR90" i="41"/>
  <c r="AT90" i="41"/>
  <c r="AQ92" i="41" l="1" a="1"/>
  <c r="AQ92" i="41" s="1"/>
  <c r="AT91" i="41"/>
  <c r="AS91" i="41"/>
  <c r="S9" i="41" s="1"/>
  <c r="AR91" i="41"/>
  <c r="AS92" i="41" l="1"/>
  <c r="S10" i="41" s="1"/>
  <c r="AR92" i="41"/>
  <c r="AT92" i="41"/>
  <c r="AQ93" i="41" a="1"/>
  <c r="AQ93" i="41" s="1"/>
  <c r="AT93" i="41" l="1"/>
  <c r="AS93" i="41"/>
  <c r="Q10" i="41" s="1"/>
  <c r="AR93" i="41"/>
  <c r="AQ94" i="41" a="1"/>
  <c r="AQ94" i="41" s="1"/>
  <c r="AT94" i="41" l="1"/>
  <c r="AS94" i="41"/>
  <c r="O10" i="41" s="1"/>
  <c r="AQ95" i="41" a="1"/>
  <c r="AQ95" i="41" s="1"/>
  <c r="AR94" i="41"/>
  <c r="AT95" i="41" l="1"/>
  <c r="AR95" i="41"/>
  <c r="AQ96" i="41" a="1"/>
  <c r="AQ96" i="41" s="1"/>
  <c r="AS95" i="41"/>
  <c r="M10" i="41" s="1"/>
  <c r="AR96" i="41" l="1"/>
  <c r="AT96" i="41"/>
  <c r="AS96" i="41"/>
  <c r="K10" i="41" s="1"/>
  <c r="AQ97" i="41" a="1"/>
  <c r="AQ97" i="41" s="1"/>
  <c r="AR97" i="41" l="1"/>
  <c r="AS97" i="41"/>
  <c r="I10" i="41" s="1"/>
  <c r="AQ98" i="41" a="1"/>
  <c r="AQ98" i="41" s="1"/>
  <c r="AT97" i="41"/>
  <c r="AQ99" i="41" l="1" a="1"/>
  <c r="AQ99" i="41" s="1"/>
  <c r="AR98" i="41"/>
  <c r="AS98" i="41"/>
  <c r="G10" i="41" s="1"/>
  <c r="AT98" i="41"/>
  <c r="AT99" i="41" l="1"/>
  <c r="AS99" i="41"/>
  <c r="E10" i="41" s="1"/>
  <c r="AR99" i="41"/>
  <c r="AQ100" i="41" a="1"/>
  <c r="AQ100" i="41" s="1"/>
  <c r="AS100" i="41" l="1"/>
  <c r="E11" i="41" s="1"/>
  <c r="AT100" i="41"/>
  <c r="AR100" i="41"/>
  <c r="AQ101" i="41" a="1"/>
  <c r="AQ101" i="41" s="1"/>
  <c r="AR101" i="41" l="1"/>
  <c r="AQ102" i="41" a="1"/>
  <c r="AQ102" i="41" s="1"/>
  <c r="AS101" i="41"/>
  <c r="G11" i="41" s="1"/>
  <c r="AT101" i="41"/>
  <c r="AQ103" i="41" l="1" a="1"/>
  <c r="AQ103" i="41" s="1"/>
  <c r="AT102" i="41"/>
  <c r="AR102" i="41"/>
  <c r="AS102" i="41"/>
  <c r="I11" i="41" l="1"/>
  <c r="AS103" i="41"/>
  <c r="AQ104" i="41" a="1"/>
  <c r="AQ104" i="41" s="1"/>
  <c r="AR103" i="41"/>
  <c r="AT103" i="41"/>
  <c r="AT104" i="41" l="1"/>
  <c r="AR104" i="41"/>
  <c r="AS104" i="41"/>
  <c r="AQ105" i="41" a="1"/>
  <c r="AQ105" i="41" s="1"/>
  <c r="K11" i="41"/>
  <c r="AS105" i="41" l="1"/>
  <c r="M11" i="41" s="1"/>
  <c r="AR105" i="41"/>
  <c r="AT105" i="41"/>
  <c r="AQ106" i="41" a="1"/>
  <c r="AQ106" i="41" s="1"/>
  <c r="AS106" i="41" l="1"/>
  <c r="AQ107" i="41" a="1"/>
  <c r="AQ107" i="41" s="1"/>
  <c r="AT106" i="41"/>
  <c r="AR106" i="41"/>
  <c r="AT107" i="41" l="1"/>
  <c r="AQ108" i="41" a="1"/>
  <c r="AQ108" i="41" s="1"/>
  <c r="AR107" i="41"/>
  <c r="AS107" i="41"/>
  <c r="O11" i="41"/>
  <c r="Q11" i="41"/>
  <c r="AT108" i="41" l="1"/>
  <c r="AQ109" i="41" a="1"/>
  <c r="AQ109" i="41" s="1"/>
  <c r="AS108" i="41"/>
  <c r="AR108" i="41"/>
  <c r="AR109" i="41" l="1"/>
  <c r="AT109" i="41"/>
  <c r="AQ110" i="41" a="1"/>
  <c r="AQ110" i="41" s="1"/>
  <c r="AR110" i="41" l="1"/>
  <c r="AT110" i="41"/>
  <c r="AQ111" i="41" a="1"/>
  <c r="AQ111" i="41" s="1"/>
  <c r="AQ112" i="41" l="1" a="1"/>
  <c r="AQ112" i="41" s="1"/>
  <c r="AR111" i="41"/>
  <c r="AT111" i="41"/>
  <c r="AT112" i="41" l="1"/>
  <c r="AR112" i="41"/>
  <c r="AQ113" i="41" a="1"/>
  <c r="AQ113" i="41" s="1"/>
  <c r="AR113" i="41" l="1"/>
  <c r="AQ114" i="41" a="1"/>
  <c r="AQ114" i="41" s="1"/>
  <c r="AT113" i="41"/>
  <c r="AT114" i="41" l="1"/>
  <c r="AR114" i="41"/>
  <c r="AQ115" i="41" a="1"/>
  <c r="AQ115" i="41" s="1"/>
  <c r="AU114" i="41"/>
  <c r="AR115" i="41" l="1"/>
  <c r="AT115" i="41"/>
  <c r="AQ116" i="41" a="1"/>
  <c r="AQ116" i="41" s="1"/>
  <c r="AS115" i="41"/>
  <c r="S11" i="41" l="1"/>
  <c r="S12" i="41"/>
  <c r="AS116" i="41"/>
  <c r="AR116" i="41"/>
  <c r="AT116" i="41"/>
  <c r="AQ117" i="41" a="1"/>
  <c r="AQ117" i="41" s="1"/>
  <c r="AQ118" i="41" l="1" a="1"/>
  <c r="AQ118" i="41" s="1"/>
  <c r="AT117" i="41"/>
  <c r="AR117" i="41"/>
  <c r="AR118" i="41" l="1"/>
  <c r="AT118" i="41"/>
  <c r="AQ119" i="41" a="1"/>
  <c r="AQ119" i="41" s="1"/>
  <c r="AS118" i="41"/>
  <c r="Q12" i="41" l="1"/>
  <c r="AQ120" i="41" a="1"/>
  <c r="AQ120" i="41" s="1"/>
  <c r="AR119" i="41"/>
  <c r="AS119" i="41"/>
  <c r="AT119" i="41"/>
  <c r="AT120" i="41" l="1"/>
  <c r="AQ121" i="41" a="1"/>
  <c r="AQ121" i="41" s="1"/>
  <c r="AR120" i="41"/>
  <c r="AS120" i="41"/>
  <c r="O12" i="41" l="1"/>
  <c r="AS121" i="41"/>
  <c r="AR121" i="41"/>
  <c r="AT121" i="41"/>
  <c r="AQ122" i="41" a="1"/>
  <c r="AQ122" i="41" s="1"/>
  <c r="AQ123" i="41" l="1" a="1"/>
  <c r="AQ123" i="41" s="1"/>
  <c r="AT122" i="41"/>
  <c r="AR122" i="41"/>
  <c r="AS122" i="41"/>
  <c r="M12" i="41" s="1"/>
  <c r="AT123" i="41" l="1"/>
  <c r="AQ124" i="41" a="1"/>
  <c r="AQ124" i="41" s="1"/>
  <c r="AR123" i="41"/>
  <c r="AS123" i="41"/>
  <c r="AS124" i="41" l="1"/>
  <c r="AR124" i="41"/>
  <c r="AT124" i="41"/>
  <c r="AQ125" i="41" a="1"/>
  <c r="AQ125" i="41" s="1"/>
  <c r="AS125" i="41" l="1"/>
  <c r="AR125" i="41"/>
  <c r="AT125" i="41"/>
  <c r="AQ126" i="41" a="1"/>
  <c r="AQ126" i="41" s="1"/>
  <c r="AR126" i="41" l="1"/>
  <c r="AQ127" i="41" a="1"/>
  <c r="AQ127" i="41" s="1"/>
  <c r="AS126" i="41"/>
  <c r="AT126" i="41"/>
  <c r="AT127" i="41" l="1"/>
  <c r="AS127" i="41"/>
  <c r="AQ128" i="41" a="1"/>
  <c r="AQ128" i="41" s="1"/>
  <c r="AR127" i="41"/>
  <c r="AQ129" i="41" l="1" a="1"/>
  <c r="AQ129" i="41" s="1"/>
  <c r="AR128" i="41"/>
  <c r="AT128" i="41"/>
  <c r="AS128" i="41"/>
  <c r="AR129" i="41" l="1"/>
  <c r="AQ130" i="41" a="1"/>
  <c r="AQ130" i="41" s="1"/>
  <c r="AS129" i="41"/>
  <c r="AT129" i="41"/>
  <c r="AT130" i="41" l="1"/>
  <c r="AR130" i="41"/>
  <c r="AQ131" i="41" a="1"/>
  <c r="AQ131" i="41" s="1"/>
  <c r="AS131" i="41" l="1"/>
  <c r="AT131" i="41"/>
  <c r="AR131" i="41"/>
  <c r="AQ132" i="41" a="1"/>
  <c r="AQ132" i="41" s="1"/>
  <c r="AS132" i="41" l="1"/>
  <c r="AR132" i="41"/>
  <c r="AT132" i="41"/>
  <c r="AQ133" i="41" a="1"/>
  <c r="AQ133" i="41" s="1"/>
  <c r="AT133" i="41" l="1"/>
  <c r="AR133" i="41"/>
  <c r="AQ134" i="41" a="1"/>
  <c r="AQ134" i="41" s="1"/>
  <c r="AS133" i="41"/>
  <c r="AT134" i="41" l="1"/>
  <c r="AR134" i="41"/>
  <c r="AQ135" i="41" a="1"/>
  <c r="AQ135" i="41" s="1"/>
  <c r="AS134" i="41"/>
  <c r="AT135" i="41" l="1"/>
  <c r="AQ136" i="41" a="1"/>
  <c r="AQ136" i="41" s="1"/>
  <c r="AR135" i="41"/>
  <c r="AS135" i="41"/>
  <c r="AT136" i="41" l="1"/>
  <c r="AS136" i="41"/>
  <c r="AR136" i="41"/>
  <c r="AQ137" i="41" a="1"/>
  <c r="AQ137" i="41" s="1"/>
  <c r="AQ138" i="41" l="1" a="1"/>
  <c r="AQ138" i="41" s="1"/>
  <c r="AS137" i="41"/>
  <c r="AR137" i="41"/>
  <c r="AT137" i="41"/>
  <c r="AS138" i="41" l="1"/>
  <c r="AR138" i="41"/>
  <c r="AT138" i="41"/>
  <c r="AQ139" i="41" a="1"/>
  <c r="AQ139" i="41" s="1"/>
  <c r="AR139" i="41" l="1"/>
  <c r="AT139" i="41"/>
  <c r="AQ140" i="41" a="1"/>
  <c r="AQ140" i="41" s="1"/>
  <c r="AS139" i="41"/>
  <c r="AS140" i="41" l="1"/>
  <c r="AR140" i="41"/>
  <c r="AT140" i="41"/>
  <c r="AQ141" i="41" a="1"/>
  <c r="AQ141" i="41" s="1"/>
  <c r="AR141" i="41" l="1"/>
  <c r="AQ142" i="41" a="1"/>
  <c r="AQ142" i="41" s="1"/>
  <c r="AT141" i="41"/>
  <c r="AS142" i="41" l="1"/>
  <c r="AR142" i="41"/>
  <c r="AT142" i="41"/>
  <c r="AQ143" i="41" a="1"/>
  <c r="AQ143" i="41" s="1"/>
  <c r="AR143" i="41" l="1"/>
  <c r="AQ144" i="41" a="1"/>
  <c r="AQ144" i="41" s="1"/>
  <c r="AT143" i="41"/>
  <c r="AS143" i="41"/>
  <c r="AS144" i="41" l="1"/>
  <c r="AQ145" i="41" a="1"/>
  <c r="AQ145" i="41" s="1"/>
  <c r="AT144" i="41"/>
  <c r="AR144" i="41"/>
  <c r="AT145" i="41" l="1"/>
  <c r="AR145" i="41"/>
  <c r="AS145" i="41"/>
  <c r="AQ146" i="41" a="1"/>
  <c r="AQ146" i="41" s="1"/>
  <c r="AT146" i="41" l="1"/>
  <c r="AR146" i="41"/>
  <c r="AQ147" i="41" a="1"/>
  <c r="AQ147" i="41" s="1"/>
  <c r="AS146" i="41"/>
  <c r="AT147" i="41" l="1"/>
  <c r="AQ148" i="41" a="1"/>
  <c r="AQ148" i="41" s="1"/>
  <c r="AR147" i="41"/>
  <c r="AS147" i="41"/>
  <c r="AR148" i="41" l="1"/>
  <c r="AT148" i="41"/>
  <c r="AQ149" i="41" a="1"/>
  <c r="AQ149" i="41" s="1"/>
  <c r="AS148" i="41"/>
  <c r="AS149" i="41" l="1"/>
  <c r="AT149" i="41"/>
  <c r="AR149" i="41"/>
  <c r="AQ150" i="41" a="1"/>
  <c r="AQ150" i="41" s="1"/>
  <c r="AR150" i="41" l="1"/>
  <c r="AS150" i="41"/>
  <c r="AT150" i="41"/>
  <c r="AQ151" i="41" a="1"/>
  <c r="AQ151" i="41" s="1"/>
  <c r="AR151" i="41" l="1"/>
  <c r="AT151" i="41"/>
  <c r="AQ152" i="41" a="1"/>
  <c r="AQ152" i="41" s="1"/>
  <c r="AS151" i="41"/>
  <c r="AR152" i="41" l="1"/>
  <c r="AS152" i="41"/>
  <c r="AT152" i="41"/>
  <c r="AQ153" i="41" a="1"/>
  <c r="AQ153" i="41" s="1"/>
  <c r="AQ154" i="41" l="1" a="1"/>
  <c r="AQ154" i="41" s="1"/>
  <c r="AS153" i="41"/>
  <c r="AR153" i="41"/>
  <c r="AT153" i="41"/>
  <c r="AR154" i="41" l="1"/>
  <c r="AT154" i="41"/>
  <c r="AQ155" i="41" a="1"/>
  <c r="AQ155" i="41" s="1"/>
  <c r="AS154" i="41"/>
  <c r="AT155" i="41" l="1"/>
  <c r="AR155" i="41"/>
  <c r="AQ156" i="41" a="1"/>
  <c r="AQ156" i="41" s="1"/>
  <c r="AS155" i="41"/>
  <c r="AR156" i="41" l="1"/>
  <c r="AT156" i="41"/>
  <c r="AQ157" i="41" a="1"/>
  <c r="AQ157" i="41" s="1"/>
  <c r="AS156" i="41"/>
  <c r="AT157" i="41" l="1"/>
  <c r="AS157" i="41"/>
  <c r="AR157" i="41"/>
  <c r="AQ158" i="41" a="1"/>
  <c r="AQ158" i="41" s="1"/>
  <c r="AT158" i="41" l="1"/>
  <c r="AR158" i="41"/>
  <c r="AQ159" i="41" a="1"/>
  <c r="AQ159" i="41" s="1"/>
  <c r="AS158" i="41"/>
  <c r="AR159" i="41" l="1"/>
  <c r="AT159" i="41"/>
  <c r="AQ160" i="41" a="1"/>
  <c r="AQ160" i="41" s="1"/>
  <c r="AS159" i="41"/>
  <c r="AT160" i="41" l="1"/>
  <c r="AR160" i="41"/>
  <c r="AQ161" i="41" a="1"/>
  <c r="AQ161" i="41" s="1"/>
  <c r="AS160" i="41"/>
  <c r="AS161" i="41" l="1"/>
  <c r="AR161" i="41"/>
  <c r="AT161" i="41"/>
  <c r="AQ162" i="41" a="1"/>
  <c r="AQ162" i="41" s="1"/>
  <c r="AR162" i="41" l="1"/>
  <c r="AQ163" i="41" a="1"/>
  <c r="AQ163" i="41" s="1"/>
  <c r="AT162" i="41"/>
  <c r="AS162" i="41"/>
  <c r="AT163" i="41" l="1"/>
  <c r="AQ164" i="41" a="1"/>
  <c r="AQ164" i="41" s="1"/>
  <c r="AR163" i="41"/>
  <c r="AS163" i="41"/>
  <c r="I14" i="41"/>
  <c r="G12" i="41"/>
  <c r="I15" i="41"/>
  <c r="Q14" i="41"/>
  <c r="E12" i="41"/>
  <c r="S13" i="41"/>
  <c r="E13" i="41"/>
  <c r="K13" i="41"/>
  <c r="S14" i="41"/>
  <c r="G14" i="41"/>
  <c r="K14" i="41"/>
  <c r="M15" i="41"/>
  <c r="G15" i="41"/>
  <c r="I13" i="41"/>
  <c r="K12" i="41"/>
  <c r="O15" i="41"/>
  <c r="Q13" i="41"/>
  <c r="G13" i="41"/>
  <c r="O13" i="41"/>
  <c r="M14" i="41"/>
  <c r="O14" i="41"/>
  <c r="K15" i="41"/>
  <c r="E14" i="41"/>
  <c r="E15" i="41"/>
  <c r="M13" i="41"/>
  <c r="I12" i="41"/>
  <c r="Q15" i="41"/>
  <c r="AR164" i="41" l="1"/>
  <c r="AT164" i="41"/>
  <c r="AQ165" i="41" a="1"/>
  <c r="AQ165" i="41" s="1"/>
  <c r="AQ166" i="41" l="1" a="1"/>
  <c r="AQ166" i="41" s="1"/>
  <c r="AR165" i="41"/>
  <c r="AT165" i="41"/>
  <c r="AS165" i="41"/>
  <c r="S15" i="41" l="1"/>
  <c r="Z20" i="41"/>
  <c r="W11" i="41"/>
  <c r="L30" i="41"/>
  <c r="AS166" i="41"/>
  <c r="O30" i="41" s="1"/>
  <c r="AT166" i="41"/>
  <c r="AR166" i="41"/>
  <c r="V14" i="41" l="1"/>
  <c r="W32" i="41"/>
  <c r="G31" i="41"/>
  <c r="F26" i="41"/>
  <c r="V10" i="41"/>
  <c r="Z28" i="41"/>
  <c r="Q23" i="41"/>
  <c r="O32" i="41"/>
  <c r="O27" i="41"/>
  <c r="T16" i="41"/>
  <c r="AA13" i="41"/>
  <c r="P29" i="41"/>
  <c r="G30" i="41"/>
  <c r="L5" i="41"/>
  <c r="I26" i="41"/>
  <c r="W26" i="41"/>
  <c r="W31" i="41"/>
  <c r="J16" i="41"/>
  <c r="G19" i="41"/>
  <c r="L15" i="41"/>
  <c r="T29" i="41"/>
  <c r="I31" i="41"/>
  <c r="R5" i="41"/>
  <c r="T6" i="41"/>
  <c r="Y31" i="41"/>
  <c r="P16" i="41"/>
  <c r="T15" i="41"/>
  <c r="V7" i="41"/>
  <c r="H10" i="41"/>
  <c r="F4" i="41"/>
  <c r="W14" i="41"/>
  <c r="F12" i="41"/>
  <c r="W16" i="41"/>
  <c r="P23" i="41"/>
  <c r="F24" i="41"/>
  <c r="I23" i="41"/>
  <c r="N15" i="41"/>
  <c r="Y7" i="41"/>
  <c r="E20" i="41"/>
  <c r="P20" i="41"/>
  <c r="I19" i="41"/>
  <c r="X22" i="41"/>
  <c r="V20" i="41"/>
  <c r="N26" i="41"/>
  <c r="V9" i="41"/>
  <c r="U10" i="41"/>
  <c r="N27" i="41"/>
  <c r="R12" i="41"/>
  <c r="M21" i="41"/>
  <c r="Q25" i="41"/>
  <c r="V26" i="41"/>
  <c r="I17" i="41"/>
  <c r="N28" i="41"/>
  <c r="Y6" i="41"/>
  <c r="P10" i="41"/>
  <c r="I18" i="41"/>
  <c r="J21" i="41"/>
  <c r="Y23" i="41"/>
  <c r="AA24" i="41"/>
  <c r="W25" i="41"/>
  <c r="K21" i="41"/>
  <c r="H27" i="41"/>
  <c r="M16" i="41"/>
  <c r="AA19" i="41"/>
  <c r="J6" i="41"/>
  <c r="K28" i="41"/>
  <c r="E28" i="41"/>
  <c r="U30" i="41"/>
  <c r="V13" i="41"/>
  <c r="O17" i="41"/>
  <c r="T32" i="41"/>
  <c r="G32" i="41"/>
  <c r="R17" i="41"/>
  <c r="Z22" i="41"/>
  <c r="Y25" i="41"/>
  <c r="Y19" i="41"/>
  <c r="W15" i="41"/>
  <c r="N12" i="41"/>
  <c r="H24" i="41"/>
  <c r="G28" i="41"/>
  <c r="X30" i="41"/>
  <c r="X23" i="41"/>
  <c r="O26" i="41"/>
  <c r="J19" i="41"/>
  <c r="Z12" i="41"/>
  <c r="N6" i="41"/>
  <c r="F30" i="41"/>
  <c r="T25" i="41"/>
  <c r="K25" i="41"/>
  <c r="AA6" i="41"/>
  <c r="P7" i="41"/>
  <c r="Y15" i="41"/>
  <c r="H11" i="41"/>
  <c r="W13" i="41"/>
  <c r="N11" i="41"/>
  <c r="Y29" i="41"/>
  <c r="AA7" i="41"/>
  <c r="I29" i="41"/>
  <c r="O25" i="41"/>
  <c r="V32" i="41"/>
  <c r="F19" i="41"/>
  <c r="U27" i="41"/>
  <c r="L24" i="41"/>
  <c r="Z19" i="41"/>
  <c r="Y28" i="41"/>
  <c r="W28" i="41"/>
  <c r="L12" i="41"/>
  <c r="AA15" i="41"/>
  <c r="R29" i="41"/>
  <c r="Z14" i="41"/>
  <c r="S31" i="41"/>
  <c r="P27" i="41"/>
  <c r="H7" i="41"/>
  <c r="J13" i="41"/>
  <c r="P11" i="41"/>
  <c r="F25" i="41"/>
  <c r="R19" i="41"/>
  <c r="R22" i="41"/>
  <c r="E19" i="41"/>
  <c r="X14" i="41"/>
  <c r="T9" i="41"/>
  <c r="J24" i="41"/>
  <c r="T13" i="41"/>
  <c r="F17" i="41"/>
  <c r="W19" i="41"/>
  <c r="AA25" i="41"/>
  <c r="J20" i="41"/>
  <c r="Z17" i="41"/>
  <c r="V25" i="41"/>
  <c r="R4" i="41"/>
  <c r="J23" i="41"/>
  <c r="J9" i="41"/>
  <c r="R7" i="41"/>
  <c r="S32" i="41"/>
  <c r="F23" i="41"/>
  <c r="L26" i="41"/>
  <c r="K27" i="41"/>
  <c r="T11" i="41"/>
  <c r="G26" i="41"/>
  <c r="AA9" i="41"/>
  <c r="L4" i="41"/>
  <c r="M28" i="41"/>
  <c r="S24" i="41"/>
  <c r="F18" i="41"/>
  <c r="N24" i="41"/>
  <c r="O28" i="41"/>
  <c r="L13" i="41"/>
  <c r="L20" i="41"/>
  <c r="V12" i="41"/>
  <c r="J14" i="41"/>
  <c r="N10" i="41"/>
  <c r="X28" i="41"/>
  <c r="J7" i="41"/>
  <c r="V19" i="41"/>
  <c r="L7" i="41"/>
  <c r="X8" i="41"/>
  <c r="M27" i="41"/>
  <c r="N31" i="41"/>
  <c r="K18" i="41"/>
  <c r="Y17" i="41"/>
  <c r="G29" i="41"/>
  <c r="I27" i="41"/>
  <c r="H32" i="41"/>
  <c r="H22" i="41"/>
  <c r="R11" i="41"/>
  <c r="R27" i="41"/>
  <c r="R24" i="41"/>
  <c r="T7" i="41"/>
  <c r="J27" i="41"/>
  <c r="M17" i="41"/>
  <c r="AA16" i="41"/>
  <c r="W29" i="41"/>
  <c r="P8" i="41"/>
  <c r="U5" i="41"/>
  <c r="F14" i="41"/>
  <c r="H12" i="41"/>
  <c r="H20" i="41"/>
  <c r="AA20" i="41"/>
  <c r="R30" i="41"/>
  <c r="H23" i="41"/>
  <c r="R26" i="41"/>
  <c r="L11" i="41"/>
  <c r="W22" i="41"/>
  <c r="F6" i="41"/>
  <c r="P12" i="41"/>
  <c r="F13" i="41"/>
  <c r="S20" i="41"/>
  <c r="Z6" i="41"/>
  <c r="G22" i="41"/>
  <c r="X7" i="41"/>
  <c r="Y30" i="41"/>
  <c r="R14" i="41"/>
  <c r="W23" i="41"/>
  <c r="I25" i="41"/>
  <c r="V6" i="41"/>
  <c r="T23" i="41"/>
  <c r="AA10" i="41"/>
  <c r="Z23" i="41"/>
  <c r="H31" i="41"/>
  <c r="R31" i="41"/>
  <c r="S21" i="41"/>
  <c r="X17" i="41"/>
  <c r="V16" i="41"/>
  <c r="AA29" i="41"/>
  <c r="N32" i="41"/>
  <c r="U4" i="41"/>
  <c r="L18" i="41"/>
  <c r="T26" i="41"/>
  <c r="M30" i="41"/>
  <c r="AA28" i="41"/>
  <c r="V24" i="41"/>
  <c r="X4" i="41"/>
  <c r="F20" i="41"/>
  <c r="Y18" i="41"/>
  <c r="AA17" i="41"/>
  <c r="J5" i="41"/>
  <c r="F32" i="41"/>
  <c r="L6" i="41"/>
  <c r="K22" i="41"/>
  <c r="P13" i="41"/>
  <c r="Q16" i="41"/>
  <c r="J4" i="41"/>
  <c r="S16" i="41"/>
  <c r="F28" i="41"/>
  <c r="N7" i="41"/>
  <c r="Q28" i="41"/>
  <c r="X15" i="41"/>
  <c r="K17" i="41"/>
  <c r="U14" i="41"/>
  <c r="Y14" i="41"/>
  <c r="N4" i="41"/>
  <c r="X20" i="41"/>
  <c r="Z30" i="41"/>
  <c r="G27" i="41"/>
  <c r="H30" i="41"/>
  <c r="J29" i="41"/>
  <c r="T22" i="41"/>
  <c r="F31" i="41"/>
  <c r="F16" i="41"/>
  <c r="AA32" i="41"/>
  <c r="P25" i="41"/>
  <c r="Z4" i="41"/>
  <c r="S29" i="41"/>
  <c r="X26" i="41"/>
  <c r="Y5" i="41"/>
  <c r="R23" i="41"/>
  <c r="P31" i="41"/>
  <c r="N30" i="41"/>
  <c r="V30" i="41"/>
  <c r="Z25" i="41"/>
  <c r="H15" i="41"/>
  <c r="S28" i="41"/>
  <c r="J11" i="41"/>
  <c r="AA30" i="41"/>
  <c r="S27" i="41"/>
  <c r="W17" i="41"/>
  <c r="I28" i="41"/>
  <c r="T19" i="41"/>
  <c r="R6" i="41"/>
  <c r="N13" i="41"/>
  <c r="T20" i="41"/>
  <c r="J30" i="41"/>
  <c r="V23" i="41"/>
  <c r="Y9" i="41"/>
  <c r="R25" i="41"/>
  <c r="G21" i="41"/>
  <c r="U12" i="41"/>
  <c r="W9" i="41"/>
  <c r="AA12" i="41"/>
  <c r="F15" i="41"/>
  <c r="J15" i="41"/>
  <c r="M20" i="41"/>
  <c r="T31" i="41"/>
  <c r="U15" i="41"/>
  <c r="O24" i="41"/>
  <c r="V4" i="41"/>
  <c r="U28" i="41"/>
  <c r="U20" i="41"/>
  <c r="K30" i="41"/>
  <c r="Q24" i="41"/>
  <c r="T17" i="41"/>
  <c r="H4" i="41"/>
  <c r="X6" i="41"/>
  <c r="L9" i="41"/>
  <c r="W10" i="41"/>
  <c r="Y13" i="41"/>
  <c r="W6" i="41"/>
  <c r="N21" i="41"/>
  <c r="Q21" i="41"/>
  <c r="I21" i="41"/>
  <c r="Z11" i="41"/>
  <c r="O19" i="41"/>
  <c r="G25" i="41"/>
  <c r="G23" i="41"/>
  <c r="F22" i="41"/>
  <c r="AA23" i="41"/>
  <c r="L10" i="41"/>
  <c r="Y21" i="41"/>
  <c r="P18" i="41"/>
  <c r="AA27" i="41"/>
  <c r="T28" i="41"/>
  <c r="U9" i="41"/>
  <c r="H16" i="41"/>
  <c r="V11" i="41"/>
  <c r="U17" i="41"/>
  <c r="Q27" i="41"/>
  <c r="L29" i="41"/>
  <c r="G20" i="41"/>
  <c r="I30" i="41"/>
  <c r="T8" i="41"/>
  <c r="AA4" i="41"/>
  <c r="L28" i="41"/>
  <c r="M29" i="41"/>
  <c r="F29" i="41"/>
  <c r="K29" i="41"/>
  <c r="W20" i="41"/>
  <c r="R13" i="41"/>
  <c r="U19" i="41"/>
  <c r="P32" i="41"/>
  <c r="S19" i="41"/>
  <c r="N22" i="41"/>
  <c r="S25" i="41"/>
  <c r="N8" i="41"/>
  <c r="R28" i="41"/>
  <c r="E21" i="41"/>
  <c r="K26" i="41"/>
  <c r="F5" i="41"/>
  <c r="V17" i="41"/>
  <c r="L25" i="41"/>
  <c r="M18" i="41"/>
  <c r="K31" i="41"/>
  <c r="P30" i="41"/>
  <c r="E25" i="41"/>
  <c r="U8" i="41"/>
  <c r="Q30" i="41"/>
  <c r="AA22" i="41"/>
  <c r="S26" i="41"/>
  <c r="V21" i="41"/>
  <c r="Y24" i="41"/>
  <c r="Z8" i="41"/>
  <c r="Z15" i="41"/>
  <c r="S17" i="41"/>
  <c r="F11" i="41"/>
  <c r="H19" i="41"/>
  <c r="AA18" i="41"/>
  <c r="K20" i="41"/>
  <c r="S22" i="41"/>
  <c r="L32" i="41"/>
  <c r="N5" i="41"/>
  <c r="R20" i="41"/>
  <c r="N20" i="41"/>
  <c r="O22" i="41"/>
  <c r="X13" i="41"/>
  <c r="I22" i="41"/>
  <c r="L23" i="41"/>
  <c r="Q29" i="41"/>
  <c r="U29" i="41"/>
  <c r="N19" i="41"/>
  <c r="H25" i="41"/>
  <c r="K16" i="41"/>
  <c r="Z29" i="41"/>
  <c r="G18" i="41"/>
  <c r="Y26" i="41"/>
  <c r="Q20" i="41"/>
  <c r="O20" i="41"/>
  <c r="I32" i="41"/>
  <c r="F27" i="41"/>
  <c r="P9" i="41"/>
  <c r="V29" i="41"/>
  <c r="J32" i="41"/>
  <c r="U32" i="41"/>
  <c r="J31" i="41"/>
  <c r="L22" i="41"/>
  <c r="O16" i="41"/>
  <c r="K32" i="41"/>
  <c r="Q32" i="41"/>
  <c r="W5" i="41"/>
  <c r="I20" i="41"/>
  <c r="N29" i="41"/>
  <c r="F21" i="41"/>
  <c r="AA14" i="41"/>
  <c r="P24" i="41"/>
  <c r="Z26" i="41"/>
  <c r="N25" i="41"/>
  <c r="Z32" i="41"/>
  <c r="U16" i="41"/>
  <c r="P17" i="41"/>
  <c r="Z18" i="41"/>
  <c r="T12" i="41"/>
  <c r="L8" i="41"/>
  <c r="X16" i="41"/>
  <c r="X27" i="41"/>
  <c r="W12" i="41"/>
  <c r="H21" i="41"/>
  <c r="P15" i="41"/>
  <c r="AA11" i="41"/>
  <c r="L27" i="41"/>
  <c r="H28" i="41"/>
  <c r="T18" i="41"/>
  <c r="J18" i="41"/>
  <c r="F7" i="41"/>
  <c r="U18" i="41"/>
  <c r="M26" i="41"/>
  <c r="T21" i="41"/>
  <c r="H17" i="41"/>
  <c r="T14" i="41"/>
  <c r="Q31" i="41"/>
  <c r="K24" i="41"/>
  <c r="O18" i="41"/>
  <c r="J25" i="41"/>
  <c r="O31" i="41"/>
  <c r="R10" i="41"/>
  <c r="T10" i="41"/>
  <c r="Q17" i="41"/>
  <c r="Y10" i="41"/>
  <c r="T24" i="41"/>
  <c r="W8" i="41"/>
  <c r="X11" i="41"/>
  <c r="L31" i="41"/>
  <c r="U24" i="41"/>
  <c r="X24" i="41"/>
  <c r="L21" i="41"/>
  <c r="E26" i="41"/>
  <c r="Q22" i="41"/>
  <c r="Y8" i="41"/>
  <c r="O23" i="41"/>
  <c r="U21" i="41"/>
  <c r="Z5" i="41"/>
  <c r="R9" i="41"/>
  <c r="L14" i="41"/>
  <c r="V28" i="41"/>
  <c r="Z31" i="41"/>
  <c r="H13" i="41"/>
  <c r="V5" i="41"/>
  <c r="AA31" i="41"/>
  <c r="F10" i="41"/>
  <c r="Y27" i="41"/>
  <c r="P4" i="41"/>
  <c r="E16" i="41"/>
  <c r="S18" i="41"/>
  <c r="U22" i="41"/>
  <c r="H6" i="41"/>
  <c r="T27" i="41"/>
  <c r="U6" i="41"/>
  <c r="R32" i="41"/>
  <c r="H9" i="41"/>
  <c r="E30" i="41"/>
  <c r="X19" i="41"/>
  <c r="W27" i="41"/>
  <c r="H26" i="41"/>
  <c r="U11" i="41"/>
  <c r="W4" i="41"/>
  <c r="K19" i="41"/>
  <c r="W21" i="41"/>
  <c r="E27" i="41"/>
  <c r="Z21" i="41"/>
  <c r="M31" i="41"/>
  <c r="K23" i="41"/>
  <c r="X21" i="41"/>
  <c r="U13" i="41"/>
  <c r="Z9" i="41"/>
  <c r="U7" i="41"/>
  <c r="U26" i="41"/>
  <c r="Z16" i="41"/>
  <c r="I16" i="41"/>
  <c r="O21" i="41"/>
  <c r="P22" i="41"/>
  <c r="Z10" i="41"/>
  <c r="Z27" i="41"/>
  <c r="Y16" i="41"/>
  <c r="S30" i="41"/>
  <c r="E32" i="41"/>
  <c r="X10" i="41"/>
  <c r="T30" i="41"/>
  <c r="N16" i="41"/>
  <c r="M22" i="41"/>
  <c r="J28" i="41"/>
  <c r="X25" i="41"/>
  <c r="Z13" i="41"/>
  <c r="H5" i="41"/>
  <c r="T5" i="41"/>
  <c r="V27" i="41"/>
  <c r="E29" i="41"/>
  <c r="P26" i="41"/>
  <c r="R16" i="41"/>
  <c r="F8" i="41"/>
  <c r="Y11" i="41"/>
  <c r="G24" i="41"/>
  <c r="Q18" i="41"/>
  <c r="X9" i="41"/>
  <c r="P14" i="41"/>
  <c r="L17" i="41"/>
  <c r="P28" i="41"/>
  <c r="Q26" i="41"/>
  <c r="Y12" i="41"/>
  <c r="N9" i="41"/>
  <c r="U31" i="41"/>
  <c r="Z7" i="41"/>
  <c r="V31" i="41"/>
  <c r="X29" i="41"/>
  <c r="N14" i="41"/>
  <c r="R21" i="41"/>
  <c r="J26" i="41"/>
  <c r="M19" i="41"/>
  <c r="P21" i="41"/>
  <c r="S23" i="41"/>
  <c r="H8" i="41"/>
  <c r="H29" i="41"/>
  <c r="X12" i="41"/>
  <c r="Y32" i="41"/>
  <c r="P5" i="41"/>
  <c r="V15" i="41"/>
  <c r="M32" i="41"/>
  <c r="Y4" i="41"/>
  <c r="V18" i="41"/>
  <c r="O29" i="41"/>
  <c r="E31" i="41"/>
  <c r="AA5" i="41"/>
  <c r="R18" i="41"/>
  <c r="J17" i="41"/>
  <c r="H14" i="41"/>
  <c r="N23" i="41"/>
  <c r="AA26" i="41"/>
  <c r="F9" i="41"/>
  <c r="L19" i="41"/>
  <c r="AA21" i="41"/>
  <c r="X31" i="41"/>
  <c r="Y20" i="41"/>
  <c r="M23" i="41"/>
  <c r="X5" i="41"/>
  <c r="V8" i="41"/>
  <c r="P19" i="41"/>
  <c r="W30" i="41"/>
  <c r="G16" i="41"/>
  <c r="V22" i="41"/>
  <c r="J12" i="41"/>
  <c r="J8" i="41"/>
  <c r="I24" i="41"/>
  <c r="X32" i="41"/>
  <c r="AA8" i="41"/>
  <c r="N18" i="41"/>
  <c r="G17" i="41"/>
  <c r="E18" i="41"/>
  <c r="E24" i="41"/>
  <c r="J10" i="41"/>
  <c r="P6" i="41"/>
  <c r="E17" i="41"/>
  <c r="H18" i="41"/>
  <c r="E22" i="41"/>
  <c r="R8" i="41"/>
  <c r="M24" i="41"/>
  <c r="W7" i="41"/>
  <c r="N17" i="41"/>
  <c r="W24" i="41"/>
  <c r="L16" i="41"/>
  <c r="X18" i="41"/>
  <c r="J22" i="41"/>
  <c r="Y22" i="41"/>
  <c r="W18" i="41"/>
  <c r="T4" i="41"/>
  <c r="Z24" i="41"/>
  <c r="R15" i="41"/>
  <c r="Q19" i="41"/>
  <c r="U25" i="41"/>
  <c r="M25" i="41"/>
  <c r="E23" i="41"/>
  <c r="U23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D2CCBC7-C671-4CF4-85D1-907DB280106D}" keepAlive="1" name="Query - aux_visual_1" description="Connection to the 'aux_visual_1' query in the workbook." type="5" refreshedVersion="7" background="1" saveData="1">
    <dbPr connection="Provider=Microsoft.Mashup.OleDb.1;Data Source=$Workbook$;Location=aux_visual_1;Extended Properties=&quot;&quot;" command="SELECT * FROM [aux_visual_1]"/>
  </connection>
  <connection id="2" xr16:uid="{F0D30A20-36D5-4A21-B799-7A4F72849CB1}" keepAlive="1" name="Query - Carro1" description="Connection to the 'Carro1' query in the workbook." type="5" refreshedVersion="7" saveData="1">
    <dbPr connection="Provider=Microsoft.Mashup.OleDb.1;Data Source=$Workbook$;Location=Carro1;Extended Properties=&quot;&quot;" command="SELECT * FROM [Carro1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844A5047-0439-40A8-BAE9-11611CA87B70}" keepAlive="1" name="Query - tb_nos_sol1" description="Connection to the 'tb_nos_sol1' query in the workbook." type="5" refreshedVersion="7" saveData="1">
    <dbPr connection="Provider=Microsoft.Mashup.OleDb.1;Data Source=$Workbook$;Location=tb_nos_sol1;Extended Properties=&quot;&quot;" command="SELECT * FROM [tb_nos_sol1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18661B52-3DA8-486E-918B-210EE611966E}" keepAlive="1" name="Query - tb_tempos_passagens" description="Connection to the 'tb_tempos_passagens' query in the workbook." type="5" refreshedVersion="7" saveData="1">
    <dbPr connection="Provider=Microsoft.Mashup.OleDb.1;Data Source=$Workbook$;Location=tb_tempos_passagens;Extended Properties=&quot;&quot;" command="SELECT * FROM [tb_tempos_passagen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<sst xmlns="http://schemas.openxmlformats.org/spreadsheetml/2006/main" count="16683" uniqueCount="333">
  <si>
    <t>Almodôvar</t>
  </si>
  <si>
    <t>Carregado</t>
  </si>
  <si>
    <t>Estremoz</t>
  </si>
  <si>
    <t>Marinha das Ondas</t>
  </si>
  <si>
    <t>Vendas Novas</t>
  </si>
  <si>
    <t>Hora</t>
  </si>
  <si>
    <t>Carcavelos</t>
  </si>
  <si>
    <t>Tipo</t>
  </si>
  <si>
    <t>DIMENSIONAMENTO ASSISTÊNCIA RODOVIÁRIA</t>
  </si>
  <si>
    <t>Auto-Estrada</t>
  </si>
  <si>
    <t>CO</t>
  </si>
  <si>
    <t>Nó</t>
  </si>
  <si>
    <t>Sublanço</t>
  </si>
  <si>
    <t>Sequência</t>
  </si>
  <si>
    <t>CO?</t>
  </si>
  <si>
    <t>pausa</t>
  </si>
  <si>
    <t>almoco</t>
  </si>
  <si>
    <t>norte-sul</t>
  </si>
  <si>
    <t>sul-norte</t>
  </si>
  <si>
    <t>A5</t>
  </si>
  <si>
    <t>Nó Viaduto Duarte Pacheco</t>
  </si>
  <si>
    <t>Viaduto Duarte Pacheco - Cruz das Oliveiras</t>
  </si>
  <si>
    <t>Nó Cruz das Oliveiras</t>
  </si>
  <si>
    <t>Cruz das Oliveiras - Monsanto</t>
  </si>
  <si>
    <t>Nó de Monsanto</t>
  </si>
  <si>
    <t>Monsanto - Miraflores (A5/IC17)</t>
  </si>
  <si>
    <t>Nó de Miraflores (A5/IC17)</t>
  </si>
  <si>
    <t>Nó de Linda-a-Velha</t>
  </si>
  <si>
    <t>Linda-a-Velha - Estádio Nacional</t>
  </si>
  <si>
    <t>Nó Estádio Nacional</t>
  </si>
  <si>
    <t>Estádio Nacional - Oeiras</t>
  </si>
  <si>
    <t>Nó de Oeiras</t>
  </si>
  <si>
    <t>Oeiras - Carcavelos</t>
  </si>
  <si>
    <t>Nó de Carcavelos</t>
  </si>
  <si>
    <t>Carcavelos - Estoril</t>
  </si>
  <si>
    <t>Nó do Estoril</t>
  </si>
  <si>
    <t>Nó de Alcabideche</t>
  </si>
  <si>
    <t>Nó de Alvide</t>
  </si>
  <si>
    <t>Alvide - Cascais</t>
  </si>
  <si>
    <t>Nó de Cascais</t>
  </si>
  <si>
    <t>inicio</t>
  </si>
  <si>
    <t>fim</t>
  </si>
  <si>
    <t>Miraflores (A5/IC17) - Linda-a-Velha</t>
  </si>
  <si>
    <t>Estoril - Alcabideche (A5/A16)</t>
  </si>
  <si>
    <t>Alcabideche (A5/A16) - Alvide</t>
  </si>
  <si>
    <t>A8/A9 - Bucelas (Zambujal)</t>
  </si>
  <si>
    <t>Carro</t>
  </si>
  <si>
    <t>Hora Inicio</t>
  </si>
  <si>
    <t>Hora Fim</t>
  </si>
  <si>
    <t>Início</t>
  </si>
  <si>
    <t>Visitar Nó</t>
  </si>
  <si>
    <t>Deslocação</t>
  </si>
  <si>
    <t>Espera</t>
  </si>
  <si>
    <t>Incidência</t>
  </si>
  <si>
    <t>Pausa</t>
  </si>
  <si>
    <t>Almoço</t>
  </si>
  <si>
    <t>DADOS NÓS</t>
  </si>
  <si>
    <t>DADOS TURNOS</t>
  </si>
  <si>
    <t>Nó Início</t>
  </si>
  <si>
    <t>Nó Fim</t>
  </si>
  <si>
    <t>espera</t>
  </si>
  <si>
    <t>turno</t>
  </si>
  <si>
    <t>DADOS PROBABILIDADES</t>
  </si>
  <si>
    <t>Probabilidade</t>
  </si>
  <si>
    <t>Maia</t>
  </si>
  <si>
    <t>Águas Santas (A4/A3) - Ermesinde</t>
  </si>
  <si>
    <t>Ponte de Lima</t>
  </si>
  <si>
    <t>Águas Santas (A3/A4) - Maia</t>
  </si>
  <si>
    <t>Castelões (A4/IP9) - Amarante Poente</t>
  </si>
  <si>
    <t>Coina AEBT</t>
  </si>
  <si>
    <t>Sarilhos - Montijo</t>
  </si>
  <si>
    <t>Penafiel - Castelões (A4/IP9)</t>
  </si>
  <si>
    <t>Coina</t>
  </si>
  <si>
    <t>Almada - Fogueteiro</t>
  </si>
  <si>
    <t>Grândola</t>
  </si>
  <si>
    <t>A2/A6/A13 - Alcácer do Sal</t>
  </si>
  <si>
    <t>Fogueteiro - Coina</t>
  </si>
  <si>
    <t>Medas</t>
  </si>
  <si>
    <t>Aguiar de Sousa - A41/A43</t>
  </si>
  <si>
    <t>Marinha Ondas - A17/14 Figueira da Foz</t>
  </si>
  <si>
    <t>Maia - Santo Tirso</t>
  </si>
  <si>
    <t>Coina - Palmela</t>
  </si>
  <si>
    <t>Carregado - Aveiras de Cima</t>
  </si>
  <si>
    <t>Sandim - Argoncilhe</t>
  </si>
  <si>
    <t>Quiaios - Tocha</t>
  </si>
  <si>
    <t>Gens - A41/A43</t>
  </si>
  <si>
    <t>Penalva - Moita</t>
  </si>
  <si>
    <t>Medas - A32/A41</t>
  </si>
  <si>
    <t>Feira</t>
  </si>
  <si>
    <t>Estarreja - Feira</t>
  </si>
  <si>
    <t>Mealhada</t>
  </si>
  <si>
    <t>Mealhada - Aveiro Sul</t>
  </si>
  <si>
    <t>Alverca (A1/A9) - Vila Franca de Xira II</t>
  </si>
  <si>
    <t>Famalicão - Cruz</t>
  </si>
  <si>
    <t>Sta Iria da Azóia - Alverca (A1/A9)</t>
  </si>
  <si>
    <t>Almodôvar - S.B. Messines</t>
  </si>
  <si>
    <t>Évora Nascente - Estremoz</t>
  </si>
  <si>
    <t>EN 227 - Feira/Mansores</t>
  </si>
  <si>
    <t>Gondomar - Gens</t>
  </si>
  <si>
    <t>Baltar - Paredes</t>
  </si>
  <si>
    <t>A17/14 Figueira da Foz - Quiaios</t>
  </si>
  <si>
    <t>Feira/Mansores - Gião/Louredo</t>
  </si>
  <si>
    <t>Borba - Elvas Poente</t>
  </si>
  <si>
    <t>Loures</t>
  </si>
  <si>
    <t>Radial da Pontinha - Radial de Odivelas</t>
  </si>
  <si>
    <t>Alcácer do Sal - Grândola Norte</t>
  </si>
  <si>
    <t>A2/A6/A13 - Vendas Novas</t>
  </si>
  <si>
    <t>N12 - Águas Santas (A3/A4)</t>
  </si>
  <si>
    <t>A14/A17 - Santa Eulália</t>
  </si>
  <si>
    <t>Aveiro Sul - Albergaria (A1/IP5)</t>
  </si>
  <si>
    <t>Aveiras de Cima - Cartaxo</t>
  </si>
  <si>
    <t>Aljustrel - Castro Verde</t>
  </si>
  <si>
    <t>Sacavém - São João da Talha</t>
  </si>
  <si>
    <t>Moita - Sarilhos</t>
  </si>
  <si>
    <t>Albergaria (A1/IP5) - Estarreja</t>
  </si>
  <si>
    <t>A4/A41 - Baltar</t>
  </si>
  <si>
    <t>Valongo - Campo</t>
  </si>
  <si>
    <t>Feira - Espinho (IC24)</t>
  </si>
  <si>
    <t>Elvas Central - Elvas Nascente</t>
  </si>
  <si>
    <t>Tocha - Mira Nó</t>
  </si>
  <si>
    <t>Coimbra Norte (A1/A14) - Mealhada</t>
  </si>
  <si>
    <t>Ermesinde - Valongo</t>
  </si>
  <si>
    <t>Braga Oeste - EN 201</t>
  </si>
  <si>
    <t>Olival - A32/A1</t>
  </si>
  <si>
    <t>Stº Antonio da Charneca - Cruzamento de Santo André (semáforos)</t>
  </si>
  <si>
    <t>A2/A12 - Marateca</t>
  </si>
  <si>
    <t>Salvaterra</t>
  </si>
  <si>
    <t>Pegões - Santo Estevão</t>
  </si>
  <si>
    <t xml:space="preserve">Laranjeiras - Coina com EN10 </t>
  </si>
  <si>
    <t>Ponte de Lima Norte - EN 303</t>
  </si>
  <si>
    <t>Grândola Sul - Aljustrel</t>
  </si>
  <si>
    <t>Salvaterra de Magos - EN118</t>
  </si>
  <si>
    <t>Almada (IC20/A2) - Hospital</t>
  </si>
  <si>
    <t>Castro Verde - Almodôvar</t>
  </si>
  <si>
    <t>Feiteira - Carvalhos</t>
  </si>
  <si>
    <t>Santo Tirso - Famalicão</t>
  </si>
  <si>
    <t>A32/A41 - Olival</t>
  </si>
  <si>
    <t>Bucelas (Zambujal) - A9/A10</t>
  </si>
  <si>
    <t>A8/A17 - Leiria Norte</t>
  </si>
  <si>
    <t>A9/A16 - Radial da Pontinha</t>
  </si>
  <si>
    <t>Montijo - A33/A12</t>
  </si>
  <si>
    <t>Radial de Odivelas - A8/A9</t>
  </si>
  <si>
    <t>Gião/Louredo - Canedo</t>
  </si>
  <si>
    <t>Cartaxo - Santarém</t>
  </si>
  <si>
    <t>Vila Franca de Xira I - PLLN</t>
  </si>
  <si>
    <t>Canedo - A32/A41</t>
  </si>
  <si>
    <t>ZIC - Aguiar de Sousa</t>
  </si>
  <si>
    <t>Santo Estevão - A13/A10</t>
  </si>
  <si>
    <t>Queimada - Belverde</t>
  </si>
  <si>
    <t>Montijo (A12/A33) - Pinhal Novo</t>
  </si>
  <si>
    <t>S.B. Messines - Paderne (A22)</t>
  </si>
  <si>
    <t>Cruz - Braga Sul</t>
  </si>
  <si>
    <t>São João da Talha - Sta Iria da Azóia</t>
  </si>
  <si>
    <t>Vendas Novas - Montemor-o-Novo Poente</t>
  </si>
  <si>
    <t>Lazarim - Botequim</t>
  </si>
  <si>
    <t>Vila Franca de Xira II - Vila Franca de Xira I</t>
  </si>
  <si>
    <t>Espinho (IC24) - Feiteira</t>
  </si>
  <si>
    <t>Monte Redondo - Guia</t>
  </si>
  <si>
    <t>Queluz - A9/A16</t>
  </si>
  <si>
    <t>Penalva - Stº Antonio da Charneca</t>
  </si>
  <si>
    <t>Carvalhos - Jaca</t>
  </si>
  <si>
    <t>Figueira da Foz - Vila Verde</t>
  </si>
  <si>
    <t>A41/A43 - Medas</t>
  </si>
  <si>
    <t>Pinhal Novo - A12/A2</t>
  </si>
  <si>
    <t>Coimbra Sul - Coimbra Norte (A1/A14)</t>
  </si>
  <si>
    <t>Campo - A4/A41</t>
  </si>
  <si>
    <t>Montemor-o-Novo Nascente - Évora Poente</t>
  </si>
  <si>
    <t>Estádio Nacional - Queluz</t>
  </si>
  <si>
    <t>Porto(VCI) - N12</t>
  </si>
  <si>
    <t>A13/A10 - Salvaterra de Magos</t>
  </si>
  <si>
    <t>Évora Poente - Évora Nascente</t>
  </si>
  <si>
    <t>A2/A6/A13 - Pegões</t>
  </si>
  <si>
    <t>Estremoz - Borba</t>
  </si>
  <si>
    <t>EN 335 - Ançã</t>
  </si>
  <si>
    <t>Grândola Norte - Grândola Sul</t>
  </si>
  <si>
    <t>Paredes - Guilhufe</t>
  </si>
  <si>
    <t>A10/A9 - Arruda dos Vinhos</t>
  </si>
  <si>
    <t>Guetim - Espinho</t>
  </si>
  <si>
    <t>Montemor-o-Novo Poente - Montemor-o-Novo Nascente</t>
  </si>
  <si>
    <t>Guilhufe - Penafiel</t>
  </si>
  <si>
    <t>Montemor-o-Velho - EN 335</t>
  </si>
  <si>
    <t>Cruzamento de Santo André (semáforos) - Cruzamento do Hospital (semáforos)</t>
  </si>
  <si>
    <t>EN 201 - Ponte de Lima Sul</t>
  </si>
  <si>
    <t>A33/A12 - Alcochete</t>
  </si>
  <si>
    <t>Hospital - Casas Velhas (Universidade)</t>
  </si>
  <si>
    <t>Elvas Nascente - Caia</t>
  </si>
  <si>
    <t>Leiria Norte - Monte Real</t>
  </si>
  <si>
    <t>A12/A2 - Setúbal</t>
  </si>
  <si>
    <t>Monte Real - Monte Redondo</t>
  </si>
  <si>
    <t>A10/A1 - Benavente</t>
  </si>
  <si>
    <t>Coina - Penalva</t>
  </si>
  <si>
    <t>Louriçal - Marinha Ondas</t>
  </si>
  <si>
    <t>Nogueira - A41/A1</t>
  </si>
  <si>
    <t>Argoncilhe - Nogueira</t>
  </si>
  <si>
    <t>A9/A10 - Alverca</t>
  </si>
  <si>
    <t>Mira Nó - Mira PV(limite concessão)</t>
  </si>
  <si>
    <t>Gandra - A4/A41</t>
  </si>
  <si>
    <t>Rotunda - Lazarim</t>
  </si>
  <si>
    <t>Elvas Poente - EN 246</t>
  </si>
  <si>
    <t>Coina com EN10 - Penalva</t>
  </si>
  <si>
    <t>Arruda dos Vinhos - A10/A1</t>
  </si>
  <si>
    <t>Jaca - Santo Ovídio</t>
  </si>
  <si>
    <t>EN 303 - Valença</t>
  </si>
  <si>
    <t>Santa Eulália - Montemor-o-Velho</t>
  </si>
  <si>
    <t>A41/A42 - Gandra</t>
  </si>
  <si>
    <t>A4/A41 - ZIC</t>
  </si>
  <si>
    <t>Belverde - Laranjeiras</t>
  </si>
  <si>
    <t>Ançã - Coimbra Norte (A14/A1)</t>
  </si>
  <si>
    <t>Guia - Louriçal</t>
  </si>
  <si>
    <t>Palmela - A2/A12</t>
  </si>
  <si>
    <t>A41/A1 - Guetim</t>
  </si>
  <si>
    <t>Braga Sul - Braga Oeste</t>
  </si>
  <si>
    <t>Celeirós - EN14</t>
  </si>
  <si>
    <t>Amarante Poente - Amarante Nascente</t>
  </si>
  <si>
    <t>PLLN - A1/A10</t>
  </si>
  <si>
    <t>Casas Velhas (Universidade) - Funchalinho</t>
  </si>
  <si>
    <t>Benavente - A10/A13</t>
  </si>
  <si>
    <t>A1/A10 - Carregado</t>
  </si>
  <si>
    <t>Palhais - Queimada</t>
  </si>
  <si>
    <t>Braga Sul - Celeirós</t>
  </si>
  <si>
    <t>Cruzamento do Hospital (semáforos) - Rotunda do Lavradio (semáforos)</t>
  </si>
  <si>
    <t>Marateca - A2/A6/A13</t>
  </si>
  <si>
    <t>Amarante Nascente - Geraldes</t>
  </si>
  <si>
    <t>Funchalinho - Entroc. Capuchos</t>
  </si>
  <si>
    <t>EN224 - EN227</t>
  </si>
  <si>
    <t>A32/A41 - Sandim</t>
  </si>
  <si>
    <t>Coimbra Norte (A14/A1) - Zombaria</t>
  </si>
  <si>
    <t>EN14 - EN 309</t>
  </si>
  <si>
    <t>Rotunda Corvina - Rotunda Pera</t>
  </si>
  <si>
    <t>Vila Verde - A14/A17</t>
  </si>
  <si>
    <t>Rotunda Almada - Almada (IC20/A2)</t>
  </si>
  <si>
    <t>Botequim - Palhais</t>
  </si>
  <si>
    <t>EN 246 - Elvas Central</t>
  </si>
  <si>
    <t>Alcochete - EN 118</t>
  </si>
  <si>
    <t>Entroc. Capuchos - IC20/ER377-2</t>
  </si>
  <si>
    <t>Ponte de Lima Sul - Ponte de Lima Norte</t>
  </si>
  <si>
    <t>Rotunda 2 - Lazarim</t>
  </si>
  <si>
    <t>Rotunda 1 - Rotunda 2</t>
  </si>
  <si>
    <t>EN 309 - EN 101</t>
  </si>
  <si>
    <t>EN 101 - Circular Sul de Braga</t>
  </si>
  <si>
    <t>A12 ( Inicio da Concessão) - Alto da Guerra ( Fora da Concessão)</t>
  </si>
  <si>
    <t>IC20 (Inicio Operação) - Rotunda</t>
  </si>
  <si>
    <t>Caia - Fronteira do Caia</t>
  </si>
  <si>
    <t>Rotunda Pera - Funchalinho</t>
  </si>
  <si>
    <t>Rotunda Trafaria - Rotunda Corvina</t>
  </si>
  <si>
    <t>Rotunda EN14 - EN14</t>
  </si>
  <si>
    <t>Funchalinho - Rotunda 1</t>
  </si>
  <si>
    <t>Hora Início</t>
  </si>
  <si>
    <t>Tempo</t>
  </si>
  <si>
    <t>ID</t>
  </si>
  <si>
    <t>Column1</t>
  </si>
  <si>
    <t>1-Descer;2-Subir</t>
  </si>
  <si>
    <t>Ramo</t>
  </si>
  <si>
    <t>Altera</t>
  </si>
  <si>
    <t>Key</t>
  </si>
  <si>
    <t/>
  </si>
  <si>
    <t>Tempo Médio de Passagem</t>
  </si>
  <si>
    <t>Numero Voltas</t>
  </si>
  <si>
    <t>Número de Voltas</t>
  </si>
  <si>
    <t>Tempo Médio de Resposta</t>
  </si>
  <si>
    <t>SAIDA</t>
  </si>
  <si>
    <t>Chegada</t>
  </si>
  <si>
    <t>Ultima Chegada</t>
  </si>
  <si>
    <t>Parâmetros:</t>
  </si>
  <si>
    <t>Pasta:</t>
  </si>
  <si>
    <t>Probabilidade incidência</t>
  </si>
  <si>
    <t>Testar</t>
  </si>
  <si>
    <t>Solução 1:</t>
  </si>
  <si>
    <t>Ficheiro Detalhe</t>
  </si>
  <si>
    <t>Ficheiro Tempo Resposta</t>
  </si>
  <si>
    <t>DADOS SOLUÇÃO 1</t>
  </si>
  <si>
    <t>DADOS SOLUÇÃO 2</t>
  </si>
  <si>
    <t>kms</t>
  </si>
  <si>
    <t>Estádio Nacional-Oeiras</t>
  </si>
  <si>
    <t>Estádio 3 - Estádio Nacional (A5/A9)</t>
  </si>
  <si>
    <t>Vendas Novas - Montemor-o-novo Poente</t>
  </si>
  <si>
    <t>Montemor-o-novo Poente - Montemor-o-novo Nascente</t>
  </si>
  <si>
    <t>Montemor-o-novo Nascente - Évora Poente</t>
  </si>
  <si>
    <t>DADOS PARAGENS OBRIGATÓRIAS</t>
  </si>
  <si>
    <t>Área de Serviço</t>
  </si>
  <si>
    <t>Área de Serviço 1</t>
  </si>
  <si>
    <t>Nó de Alcabideche (A5/A16)</t>
  </si>
  <si>
    <t>SEM ZEROS</t>
  </si>
  <si>
    <t>COM ZEROS</t>
  </si>
  <si>
    <t>Estoril - Alcabideche (A5/A16) (A5/A16)</t>
  </si>
  <si>
    <t>PARAMETROS</t>
  </si>
  <si>
    <t>Tempo médio Ponderado Incidências</t>
  </si>
  <si>
    <t>Nº Simulações "Cenários"</t>
  </si>
  <si>
    <t>Tipo Corrida</t>
  </si>
  <si>
    <t>Tamanho Slot de Espera</t>
  </si>
  <si>
    <t>Tempo Inicio Turno</t>
  </si>
  <si>
    <t>Velocidade Nós</t>
  </si>
  <si>
    <t>kms/h</t>
  </si>
  <si>
    <t>min</t>
  </si>
  <si>
    <t>hora</t>
  </si>
  <si>
    <t>Turno</t>
  </si>
  <si>
    <t>0</t>
  </si>
  <si>
    <t>Vistoria</t>
  </si>
  <si>
    <t>1</t>
  </si>
  <si>
    <t>2</t>
  </si>
  <si>
    <t>3</t>
  </si>
  <si>
    <t>4</t>
  </si>
  <si>
    <t>Hora Real Inicio</t>
  </si>
  <si>
    <t>Hora Real Fim</t>
  </si>
  <si>
    <t>Ficheiro Tempo Passagens</t>
  </si>
  <si>
    <t>Última Passagem</t>
  </si>
  <si>
    <t>Hora Real Início</t>
  </si>
  <si>
    <t>Hora Real Última Passagem (Hora Fim)</t>
  </si>
  <si>
    <t>5</t>
  </si>
  <si>
    <t>6</t>
  </si>
  <si>
    <t>7</t>
  </si>
  <si>
    <t>Tempo Médio de Passagem (Novo)</t>
  </si>
  <si>
    <t>Tempo Passagem (h)</t>
  </si>
  <si>
    <t>Inicio</t>
  </si>
  <si>
    <t>Kms Nós</t>
  </si>
  <si>
    <t>Kms Total</t>
  </si>
  <si>
    <t>Kms Extensão</t>
  </si>
  <si>
    <t>Key Formatação</t>
  </si>
  <si>
    <t># Volta:</t>
  </si>
  <si>
    <t>Velocidade Média Extensão</t>
  </si>
  <si>
    <t>DADOS DISTÂNCIAS (Extensão)</t>
  </si>
  <si>
    <t>DADOS ÁREA DE SERVIÇO</t>
  </si>
  <si>
    <t>DETALHE VOLTAS</t>
  </si>
  <si>
    <t>CALCULO TEMPO ENTRE PASSAGENS</t>
  </si>
  <si>
    <t>TEMPO ENTRE PASSAGENS</t>
  </si>
  <si>
    <t>TEMPO MÉDIO RESPOSTA</t>
  </si>
  <si>
    <t>TOTAL KMS VOLTAS</t>
  </si>
  <si>
    <t>Hora pausa</t>
  </si>
  <si>
    <t>Hora Almoço</t>
  </si>
  <si>
    <t>Hora Inicio (Time)</t>
  </si>
  <si>
    <t>Hora Fim (Time)</t>
  </si>
  <si>
    <t>Tempos Visita Nós</t>
  </si>
  <si>
    <t>C:\Users\Liliana Ramalho\PycharmProjects\Rotas Brisa\dados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</si>
</sst>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F400]h:mm:ss\ AM/PM"/>
    <numFmt numFmtId="165" formatCode="h:mm;@"/>
    <numFmt numFmtId="166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9" fontId="0" fillId="0" borderId="0" xfId="1" applyFont="1"/>
    <xf numFmtId="0" fontId="0" fillId="0" borderId="0" xfId="0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5" fillId="4" borderId="1" xfId="0" applyFont="1" applyFill="1" applyBorder="1" applyAlignment="1">
      <alignment horizontal="center" vertical="center" textRotation="90"/>
    </xf>
    <xf numFmtId="164" fontId="0" fillId="0" borderId="0" xfId="0" applyNumberFormat="1"/>
    <xf numFmtId="0" fontId="3" fillId="0" borderId="0" xfId="0" applyFont="1"/>
    <xf numFmtId="0" fontId="0" fillId="5" borderId="1" xfId="0" applyFill="1" applyBorder="1"/>
    <xf numFmtId="0" fontId="6" fillId="6" borderId="1" xfId="0" applyFont="1" applyFill="1" applyBorder="1" applyAlignment="1">
      <alignment horizontal="center"/>
    </xf>
    <xf numFmtId="0" fontId="0" fillId="7" borderId="1" xfId="0" applyFill="1" applyBorder="1"/>
    <xf numFmtId="165" fontId="0" fillId="8" borderId="1" xfId="0" applyNumberFormat="1" applyFill="1" applyBorder="1" applyAlignment="1">
      <alignment horizontal="center"/>
    </xf>
    <xf numFmtId="0" fontId="0" fillId="9" borderId="0" xfId="0" applyFill="1"/>
    <xf numFmtId="0" fontId="0" fillId="10" borderId="0" xfId="0" applyFill="1" applyAlignment="1">
      <alignment horizontal="left"/>
    </xf>
    <xf numFmtId="0" fontId="0" fillId="11" borderId="0" xfId="0" applyFill="1"/>
    <xf numFmtId="0" fontId="0" fillId="12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0" xfId="0" applyNumberFormat="1"/>
    <xf numFmtId="0" fontId="0" fillId="10" borderId="0" xfId="0" applyFill="1"/>
    <xf numFmtId="166" fontId="0" fillId="10" borderId="0" xfId="0" applyNumberFormat="1" applyFill="1" applyAlignment="1">
      <alignment horizontal="center" vertical="center"/>
    </xf>
    <xf numFmtId="0" fontId="0" fillId="10" borderId="0" xfId="0" applyFill="1" applyBorder="1"/>
    <xf numFmtId="166" fontId="0" fillId="10" borderId="0" xfId="0" applyNumberFormat="1" applyFill="1" applyBorder="1" applyAlignment="1">
      <alignment horizontal="center" vertical="center"/>
    </xf>
    <xf numFmtId="0" fontId="0" fillId="10" borderId="2" xfId="0" applyFill="1" applyBorder="1"/>
    <xf numFmtId="166" fontId="0" fillId="10" borderId="2" xfId="0" applyNumberFormat="1" applyFill="1" applyBorder="1" applyAlignment="1">
      <alignment horizontal="center" vertical="center"/>
    </xf>
    <xf numFmtId="0" fontId="0" fillId="10" borderId="3" xfId="0" applyFill="1" applyBorder="1"/>
    <xf numFmtId="166" fontId="0" fillId="10" borderId="3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Fill="1"/>
    <xf numFmtId="0" fontId="7" fillId="0" borderId="0" xfId="0" applyFont="1"/>
    <xf numFmtId="0" fontId="3" fillId="13" borderId="0" xfId="0" applyFont="1" applyFill="1"/>
    <xf numFmtId="0" fontId="0" fillId="14" borderId="0" xfId="0" applyFill="1" applyAlignment="1">
      <alignment horizontal="center"/>
    </xf>
    <xf numFmtId="10" fontId="0" fillId="0" borderId="0" xfId="0" applyNumberFormat="1"/>
    <xf numFmtId="0" fontId="0" fillId="15" borderId="1" xfId="0" applyFill="1" applyBorder="1"/>
    <xf numFmtId="0" fontId="0" fillId="16" borderId="0" xfId="0" applyFill="1"/>
    <xf numFmtId="2" fontId="0" fillId="0" borderId="0" xfId="0" applyNumberFormat="1" applyAlignment="1">
      <alignment horizontal="center"/>
    </xf>
    <xf numFmtId="0" fontId="0" fillId="0" borderId="0" xfId="0" applyNumberFormat="1" applyFill="1"/>
    <xf numFmtId="164" fontId="0" fillId="0" borderId="0" xfId="0" applyNumberFormat="1" applyFill="1"/>
    <xf numFmtId="2" fontId="0" fillId="0" borderId="0" xfId="0" applyNumberFormat="1" applyFill="1" applyAlignment="1">
      <alignment horizontal="center"/>
    </xf>
    <xf numFmtId="0" fontId="0" fillId="2" borderId="0" xfId="0" applyFill="1"/>
    <xf numFmtId="21" fontId="0" fillId="0" borderId="0" xfId="0" applyNumberFormat="1"/>
    <xf numFmtId="0" fontId="0" fillId="17" borderId="0" xfId="0" applyNumberFormat="1" applyFill="1"/>
    <xf numFmtId="0" fontId="0" fillId="18" borderId="1" xfId="0" applyFill="1" applyBorder="1" applyAlignment="1">
      <alignment horizontal="center"/>
    </xf>
    <xf numFmtId="0" fontId="0" fillId="7" borderId="4" xfId="0" applyFill="1" applyBorder="1"/>
    <xf numFmtId="165" fontId="0" fillId="8" borderId="5" xfId="0" applyNumberForma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165" fontId="0" fillId="8" borderId="7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/>
    </xf>
    <xf numFmtId="165" fontId="0" fillId="8" borderId="9" xfId="0" applyNumberFormat="1" applyFill="1" applyBorder="1" applyAlignment="1">
      <alignment horizontal="center"/>
    </xf>
    <xf numFmtId="165" fontId="0" fillId="8" borderId="10" xfId="0" applyNumberFormat="1" applyFill="1" applyBorder="1" applyAlignment="1">
      <alignment horizontal="center"/>
    </xf>
    <xf numFmtId="165" fontId="0" fillId="8" borderId="11" xfId="0" applyNumberFormat="1" applyFill="1" applyBorder="1" applyAlignment="1">
      <alignment horizontal="center"/>
    </xf>
    <xf numFmtId="165" fontId="0" fillId="8" borderId="12" xfId="0" applyNumberFormat="1" applyFill="1" applyBorder="1" applyAlignment="1">
      <alignment horizontal="center"/>
    </xf>
    <xf numFmtId="165" fontId="0" fillId="8" borderId="13" xfId="0" applyNumberFormat="1" applyFill="1" applyBorder="1" applyAlignment="1">
      <alignment horizontal="center"/>
    </xf>
    <xf numFmtId="165" fontId="0" fillId="8" borderId="14" xfId="0" applyNumberFormat="1" applyFill="1" applyBorder="1" applyAlignment="1">
      <alignment horizontal="center"/>
    </xf>
    <xf numFmtId="165" fontId="0" fillId="8" borderId="15" xfId="0" applyNumberFormat="1" applyFill="1" applyBorder="1" applyAlignment="1">
      <alignment horizontal="center"/>
    </xf>
    <xf numFmtId="0" fontId="4" fillId="2" borderId="0" xfId="0" applyFont="1" applyFill="1" applyAlignment="1">
      <alignment horizontal="left" vertical="center" indent="1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1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</dxf>
    <dxf>
      <numFmt numFmtId="164" formatCode="[$-F400]h:mm:ss\ AM/PM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2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ont>
        <color theme="2"/>
      </font>
    </dxf>
    <dxf>
      <fill>
        <patternFill>
          <bgColor theme="2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theme="2"/>
      </font>
    </dxf>
    <dxf>
      <fill>
        <patternFill>
          <bgColor theme="3" tint="0.39994506668294322"/>
        </patternFill>
      </fill>
    </dxf>
    <dxf>
      <fill>
        <patternFill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color theme="0"/>
      </font>
      <fill>
        <patternFill>
          <bgColor rgb="FF44546A"/>
        </patternFill>
      </fill>
    </dxf>
  </dxfs>
  <tableStyles count="1" defaultTableStyle="TableStyleMedium2" defaultPivotStyle="PivotStyleLight16">
    <tableStyle name="Table Style 1" pivot="0" count="1" xr9:uid="{0F32283D-111A-45EA-82D3-D329AE8B3948}">
      <tableStyleElement type="headerRow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50" Type="http://schemas.openxmlformats.org/officeDocument/2006/relationships/customXml" Target="../customXml/item25.xml"/><Relationship Id="rId55" Type="http://schemas.openxmlformats.org/officeDocument/2006/relationships/customXml" Target="../customXml/item3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4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3" Type="http://schemas.openxmlformats.org/officeDocument/2006/relationships/customXml" Target="../customXml/item28.xml"/><Relationship Id="rId58" Type="http://schemas.openxmlformats.org/officeDocument/2006/relationships/customXml" Target="../customXml/item33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56" Type="http://schemas.openxmlformats.org/officeDocument/2006/relationships/customXml" Target="../customXml/item3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59" Type="http://schemas.openxmlformats.org/officeDocument/2006/relationships/customXml" Target="../customXml/item34.xml"/><Relationship Id="rId20" Type="http://schemas.openxmlformats.org/officeDocument/2006/relationships/theme" Target="theme/theme1.xml"/><Relationship Id="rId41" Type="http://schemas.openxmlformats.org/officeDocument/2006/relationships/customXml" Target="../customXml/item16.xml"/><Relationship Id="rId54" Type="http://schemas.openxmlformats.org/officeDocument/2006/relationships/customXml" Target="../customXml/item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openxmlformats.org/officeDocument/2006/relationships/customXml" Target="../customXml/item24.xml"/><Relationship Id="rId57" Type="http://schemas.openxmlformats.org/officeDocument/2006/relationships/customXml" Target="../customXml/item32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52" Type="http://schemas.openxmlformats.org/officeDocument/2006/relationships/customXml" Target="../customXml/item27.xml"/><Relationship Id="rId60" Type="http://schemas.openxmlformats.org/officeDocument/2006/relationships/customXml" Target="../customXml/item3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035CBE7B-4276-4888-A301-79C91C14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  <xdr:twoCellAnchor>
    <xdr:from>
      <xdr:col>2</xdr:col>
      <xdr:colOff>155232</xdr:colOff>
      <xdr:row>7</xdr:row>
      <xdr:rowOff>68157</xdr:rowOff>
    </xdr:from>
    <xdr:to>
      <xdr:col>5</xdr:col>
      <xdr:colOff>284547</xdr:colOff>
      <xdr:row>12</xdr:row>
      <xdr:rowOff>73337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F17C2B63-A6F2-41B8-A3CE-B0C60A2F1CC3}"/>
            </a:ext>
          </a:extLst>
        </xdr:cNvPr>
        <xdr:cNvGrpSpPr/>
      </xdr:nvGrpSpPr>
      <xdr:grpSpPr>
        <a:xfrm>
          <a:off x="1369670" y="1401657"/>
          <a:ext cx="2081940" cy="957680"/>
          <a:chOff x="6191246" y="1259418"/>
          <a:chExt cx="2143919" cy="928800"/>
        </a:xfrm>
      </xdr:grpSpPr>
      <xdr:sp macro="[0]!Button_Gerar" textlink="">
        <xdr:nvSpPr>
          <xdr:cNvPr id="34" name="shape_atualizar">
            <a:extLst>
              <a:ext uri="{FF2B5EF4-FFF2-40B4-BE49-F238E27FC236}">
                <a16:creationId xmlns:a16="http://schemas.microsoft.com/office/drawing/2014/main" id="{46088982-7A64-4468-8FB2-5F0FA41BA798}"/>
              </a:ext>
            </a:extLst>
          </xdr:cNvPr>
          <xdr:cNvSpPr/>
        </xdr:nvSpPr>
        <xdr:spPr>
          <a:xfrm>
            <a:off x="6191246" y="1259418"/>
            <a:ext cx="2088000" cy="928800"/>
          </a:xfrm>
          <a:prstGeom prst="rect">
            <a:avLst/>
          </a:prstGeom>
          <a:solidFill>
            <a:schemeClr val="tx2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PT" sz="1100"/>
              <a:t>10-09-2021 11:56:52</a:t>
            </a:r>
          </a:p>
        </xdr:txBody>
      </xdr:sp>
      <xdr:sp macro="[0]!Button_Gerar" textlink="">
        <xdr:nvSpPr>
          <xdr:cNvPr id="35" name="TextBox 34">
            <a:extLst>
              <a:ext uri="{FF2B5EF4-FFF2-40B4-BE49-F238E27FC236}">
                <a16:creationId xmlns:a16="http://schemas.microsoft.com/office/drawing/2014/main" id="{A02F0E90-7526-4FCF-9A21-609E91DC1AC8}"/>
              </a:ext>
            </a:extLst>
          </xdr:cNvPr>
          <xdr:cNvSpPr txBox="1"/>
        </xdr:nvSpPr>
        <xdr:spPr>
          <a:xfrm>
            <a:off x="6959586" y="1279634"/>
            <a:ext cx="1375579" cy="6779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PT" sz="1400" b="1">
                <a:solidFill>
                  <a:schemeClr val="bg1"/>
                </a:solidFill>
              </a:rPr>
              <a:t>Gerar</a:t>
            </a:r>
          </a:p>
          <a:p>
            <a:r>
              <a:rPr lang="pt-PT" sz="1400" b="1">
                <a:solidFill>
                  <a:schemeClr val="bg1"/>
                </a:solidFill>
              </a:rPr>
              <a:t>Solução</a:t>
            </a:r>
            <a:endParaRPr lang="pt-PT" sz="1100" b="0">
              <a:solidFill>
                <a:schemeClr val="bg1"/>
              </a:solidFill>
            </a:endParaRPr>
          </a:p>
        </xdr:txBody>
      </xdr:sp>
      <xdr:pic macro="[0]!Button_Gerar">
        <xdr:nvPicPr>
          <xdr:cNvPr id="36" name="Graphic 35" descr="Repeat">
            <a:extLst>
              <a:ext uri="{FF2B5EF4-FFF2-40B4-BE49-F238E27FC236}">
                <a16:creationId xmlns:a16="http://schemas.microsoft.com/office/drawing/2014/main" id="{A1CAA9AF-5C00-43DE-8E34-C8D800C3B8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07774" y="1382484"/>
            <a:ext cx="489600" cy="566252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535214</xdr:colOff>
      <xdr:row>5</xdr:row>
      <xdr:rowOff>175985</xdr:rowOff>
    </xdr:from>
    <xdr:to>
      <xdr:col>2</xdr:col>
      <xdr:colOff>404082</xdr:colOff>
      <xdr:row>8</xdr:row>
      <xdr:rowOff>108503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E8A3666C-46BA-4611-AF31-B93A57877357}"/>
            </a:ext>
          </a:extLst>
        </xdr:cNvPr>
        <xdr:cNvSpPr/>
      </xdr:nvSpPr>
      <xdr:spPr>
        <a:xfrm>
          <a:off x="1143000" y="1083128"/>
          <a:ext cx="476653" cy="476804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800" b="1"/>
            <a:t>1</a:t>
          </a:r>
          <a:endParaRPr lang="pt-PT" sz="1100" b="1"/>
        </a:p>
      </xdr:txBody>
    </xdr:sp>
    <xdr:clientData/>
  </xdr:twoCellAnchor>
  <xdr:twoCellAnchor>
    <xdr:from>
      <xdr:col>2</xdr:col>
      <xdr:colOff>117929</xdr:colOff>
      <xdr:row>16</xdr:row>
      <xdr:rowOff>117929</xdr:rowOff>
    </xdr:from>
    <xdr:to>
      <xdr:col>5</xdr:col>
      <xdr:colOff>262767</xdr:colOff>
      <xdr:row>21</xdr:row>
      <xdr:rowOff>128778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DC4B554B-8BFB-4CAA-89DD-7DEF4E333F30}"/>
            </a:ext>
          </a:extLst>
        </xdr:cNvPr>
        <xdr:cNvGrpSpPr/>
      </xdr:nvGrpSpPr>
      <xdr:grpSpPr>
        <a:xfrm>
          <a:off x="1332367" y="3165929"/>
          <a:ext cx="2097463" cy="963349"/>
          <a:chOff x="2803067" y="1011692"/>
          <a:chExt cx="2133300" cy="929665"/>
        </a:xfrm>
      </xdr:grpSpPr>
      <xdr:sp macro="[0]!button_atualizar_solucao_1" textlink="">
        <xdr:nvSpPr>
          <xdr:cNvPr id="14" name="shape_sol_1">
            <a:extLst>
              <a:ext uri="{FF2B5EF4-FFF2-40B4-BE49-F238E27FC236}">
                <a16:creationId xmlns:a16="http://schemas.microsoft.com/office/drawing/2014/main" id="{DCF6DE34-900E-4410-BF33-C47CBE9847B2}"/>
              </a:ext>
            </a:extLst>
          </xdr:cNvPr>
          <xdr:cNvSpPr/>
        </xdr:nvSpPr>
        <xdr:spPr>
          <a:xfrm>
            <a:off x="2803067" y="1011692"/>
            <a:ext cx="2077658" cy="929665"/>
          </a:xfrm>
          <a:prstGeom prst="rect">
            <a:avLst/>
          </a:prstGeom>
          <a:solidFill>
            <a:schemeClr val="tx2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PT" sz="1100"/>
              <a:t>10-09-2021 11:57:01</a:t>
            </a:r>
          </a:p>
        </xdr:txBody>
      </xdr:sp>
      <xdr:sp macro="[0]!button_atualizar_solucao_1" textlink="">
        <xdr:nvSpPr>
          <xdr:cNvPr id="15" name="TextBox 14">
            <a:extLst>
              <a:ext uri="{FF2B5EF4-FFF2-40B4-BE49-F238E27FC236}">
                <a16:creationId xmlns:a16="http://schemas.microsoft.com/office/drawing/2014/main" id="{76A87C3E-5055-4F66-B307-0EB4207BAA18}"/>
              </a:ext>
            </a:extLst>
          </xdr:cNvPr>
          <xdr:cNvSpPr txBox="1"/>
        </xdr:nvSpPr>
        <xdr:spPr>
          <a:xfrm>
            <a:off x="3567601" y="1031927"/>
            <a:ext cx="1368766" cy="6785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PT" sz="1400" b="1">
                <a:solidFill>
                  <a:schemeClr val="bg1"/>
                </a:solidFill>
              </a:rPr>
              <a:t>Importar Informação 1</a:t>
            </a:r>
            <a:endParaRPr lang="pt-PT" sz="1100" b="0">
              <a:solidFill>
                <a:schemeClr val="bg1"/>
              </a:solidFill>
            </a:endParaRPr>
          </a:p>
        </xdr:txBody>
      </xdr:sp>
      <xdr:pic macro="[0]!button_atualizar_solucao_1">
        <xdr:nvPicPr>
          <xdr:cNvPr id="16" name="Graphic 15" descr="Download">
            <a:extLst>
              <a:ext uri="{FF2B5EF4-FFF2-40B4-BE49-F238E27FC236}">
                <a16:creationId xmlns:a16="http://schemas.microsoft.com/office/drawing/2014/main" id="{2B7DE217-7F19-4813-B23A-699AC5D66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048000" y="1100666"/>
            <a:ext cx="491490" cy="56578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535214</xdr:colOff>
      <xdr:row>15</xdr:row>
      <xdr:rowOff>39914</xdr:rowOff>
    </xdr:from>
    <xdr:to>
      <xdr:col>2</xdr:col>
      <xdr:colOff>404082</xdr:colOff>
      <xdr:row>17</xdr:row>
      <xdr:rowOff>153861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562022C6-A0CA-4FB6-B641-E945ECF96EEA}"/>
            </a:ext>
          </a:extLst>
        </xdr:cNvPr>
        <xdr:cNvSpPr/>
      </xdr:nvSpPr>
      <xdr:spPr>
        <a:xfrm>
          <a:off x="1143000" y="2761343"/>
          <a:ext cx="476653" cy="476804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800" b="1"/>
            <a:t>2</a:t>
          </a:r>
          <a:endParaRPr lang="pt-PT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CF334668-5034-4DEF-B8E0-2D6FF0D300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ABD471B5-7A1E-4EE2-9234-929C6B5BEC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4447DD5E-8762-4406-B8F4-ED48608D19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A43B4366-0C96-40C7-B446-D7F582D17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504B9F66-AFE6-4A57-9351-3C8DF489B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263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50800</xdr:rowOff>
    </xdr:from>
    <xdr:to>
      <xdr:col>1</xdr:col>
      <xdr:colOff>32016</xdr:colOff>
      <xdr:row>2</xdr:row>
      <xdr:rowOff>143771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D1BE4B6B-58AB-4C14-92F3-6987B8F83E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07950" y="50800"/>
          <a:ext cx="533666" cy="41682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50800</xdr:rowOff>
    </xdr:from>
    <xdr:to>
      <xdr:col>1</xdr:col>
      <xdr:colOff>32016</xdr:colOff>
      <xdr:row>2</xdr:row>
      <xdr:rowOff>143771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79D87FF0-A7D8-458A-B2C6-8FB07E1A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07950" y="50800"/>
          <a:ext cx="533666" cy="42634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50800</xdr:rowOff>
    </xdr:from>
    <xdr:to>
      <xdr:col>1</xdr:col>
      <xdr:colOff>32016</xdr:colOff>
      <xdr:row>2</xdr:row>
      <xdr:rowOff>86621</xdr:rowOff>
    </xdr:to>
    <xdr:pic>
      <xdr:nvPicPr>
        <xdr:cNvPr id="5" name="Picture 4" descr="Logo, company name&#10;&#10;Description automatically generated">
          <a:extLst>
            <a:ext uri="{FF2B5EF4-FFF2-40B4-BE49-F238E27FC236}">
              <a16:creationId xmlns:a16="http://schemas.microsoft.com/office/drawing/2014/main" id="{0BEAD325-291B-408B-B193-41A603232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07950" y="50800"/>
          <a:ext cx="533666" cy="41682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199572</xdr:colOff>
      <xdr:row>0</xdr:row>
      <xdr:rowOff>205015</xdr:rowOff>
    </xdr:from>
    <xdr:to>
      <xdr:col>3</xdr:col>
      <xdr:colOff>534911</xdr:colOff>
      <xdr:row>0</xdr:row>
      <xdr:rowOff>1123007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0F30D8-C1A7-4634-AC90-A6E5B8DE4132}"/>
            </a:ext>
          </a:extLst>
        </xdr:cNvPr>
        <xdr:cNvGrpSpPr/>
      </xdr:nvGrpSpPr>
      <xdr:grpSpPr>
        <a:xfrm>
          <a:off x="199572" y="205015"/>
          <a:ext cx="2049839" cy="917992"/>
          <a:chOff x="2803067" y="1011692"/>
          <a:chExt cx="2133300" cy="929665"/>
        </a:xfrm>
      </xdr:grpSpPr>
      <xdr:sp macro="[0]!button_atualizar_solucao_1" textlink="">
        <xdr:nvSpPr>
          <xdr:cNvPr id="3" name="shape_sol_1">
            <a:extLst>
              <a:ext uri="{FF2B5EF4-FFF2-40B4-BE49-F238E27FC236}">
                <a16:creationId xmlns:a16="http://schemas.microsoft.com/office/drawing/2014/main" id="{4C9F9052-2F25-400F-915F-31556CB18391}"/>
              </a:ext>
            </a:extLst>
          </xdr:cNvPr>
          <xdr:cNvSpPr/>
        </xdr:nvSpPr>
        <xdr:spPr>
          <a:xfrm>
            <a:off x="2803067" y="1011692"/>
            <a:ext cx="2077658" cy="929665"/>
          </a:xfrm>
          <a:prstGeom prst="rect">
            <a:avLst/>
          </a:prstGeom>
          <a:solidFill>
            <a:schemeClr val="tx2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PT" sz="1100"/>
              <a:t>07-09-2021 17:42:56</a:t>
            </a:r>
          </a:p>
        </xdr:txBody>
      </xdr:sp>
      <xdr:sp macro="[0]!button_atualizar_solucao_1" textlink="">
        <xdr:nvSpPr>
          <xdr:cNvPr id="4" name="TextBox 3">
            <a:extLst>
              <a:ext uri="{FF2B5EF4-FFF2-40B4-BE49-F238E27FC236}">
                <a16:creationId xmlns:a16="http://schemas.microsoft.com/office/drawing/2014/main" id="{3B3917DD-B93A-43BB-892D-AB84A422A848}"/>
              </a:ext>
            </a:extLst>
          </xdr:cNvPr>
          <xdr:cNvSpPr txBox="1"/>
        </xdr:nvSpPr>
        <xdr:spPr>
          <a:xfrm>
            <a:off x="3567601" y="1031927"/>
            <a:ext cx="1368766" cy="6785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PT" sz="1400" b="1">
                <a:solidFill>
                  <a:schemeClr val="bg1"/>
                </a:solidFill>
              </a:rPr>
              <a:t>Atualizar</a:t>
            </a:r>
            <a:endParaRPr lang="pt-PT" sz="1100" b="0">
              <a:solidFill>
                <a:schemeClr val="bg1"/>
              </a:solidFill>
            </a:endParaRPr>
          </a:p>
        </xdr:txBody>
      </xdr:sp>
      <xdr:pic macro="[0]!button_atualizar_solucao_1">
        <xdr:nvPicPr>
          <xdr:cNvPr id="5" name="Graphic 4" descr="Download">
            <a:extLst>
              <a:ext uri="{FF2B5EF4-FFF2-40B4-BE49-F238E27FC236}">
                <a16:creationId xmlns:a16="http://schemas.microsoft.com/office/drawing/2014/main" id="{7D545963-7066-44B5-9CB1-EB1BA3657E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048000" y="1100666"/>
            <a:ext cx="491490" cy="565789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50800</xdr:rowOff>
    </xdr:from>
    <xdr:to>
      <xdr:col>1</xdr:col>
      <xdr:colOff>32016</xdr:colOff>
      <xdr:row>2</xdr:row>
      <xdr:rowOff>86621</xdr:rowOff>
    </xdr:to>
    <xdr:pic>
      <xdr:nvPicPr>
        <xdr:cNvPr id="3" name="Picture 2" descr="Logo, company name&#10;&#10;Description automatically generated">
          <a:extLst>
            <a:ext uri="{FF2B5EF4-FFF2-40B4-BE49-F238E27FC236}">
              <a16:creationId xmlns:a16="http://schemas.microsoft.com/office/drawing/2014/main" id="{6C80956E-53CD-46B4-8289-4C05ED6B05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07950" y="50800"/>
          <a:ext cx="533666" cy="41682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D79CF22-4372-4BDE-B6D3-CDC80351D319}" autoFormatId="16" applyNumberFormats="0" applyBorderFormats="0" applyFontFormats="0" applyPatternFormats="0" applyAlignmentFormats="0" applyWidthHeightFormats="0">
  <queryTableRefresh nextId="23" unboundColumnsRight="6">
    <queryTableFields count="16">
      <queryTableField id="2" name="Numero Voltas" tableColumnId="2"/>
      <queryTableField id="13" name="Turno" tableColumnId="10"/>
      <queryTableField id="14" name="Sequência" tableColumnId="11"/>
      <queryTableField id="3" name="Nó" tableColumnId="3"/>
      <queryTableField id="4" name="Hora Inicio" tableColumnId="4"/>
      <queryTableField id="5" name="Hora Fim" tableColumnId="5"/>
      <queryTableField id="6" name="Tipo" tableColumnId="6"/>
      <queryTableField id="19" name="kms" tableColumnId="14"/>
      <queryTableField id="17" name="Hora Real Inicio" tableColumnId="12"/>
      <queryTableField id="18" name="Hora Real Fim" tableColumnId="13"/>
      <queryTableField id="9" dataBound="0" tableColumnId="1"/>
      <queryTableField id="10" dataBound="0" tableColumnId="7"/>
      <queryTableField id="11" dataBound="0" tableColumnId="8"/>
      <queryTableField id="12" dataBound="0" tableColumnId="9"/>
      <queryTableField id="21" dataBound="0" tableColumnId="15"/>
      <queryTableField id="22" dataBound="0" tableColumnId="16"/>
    </queryTableFields>
    <queryTableDeletedFields count="1">
      <deletedField name="Column1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AD0A9170-66DA-49CA-941C-E97B29C87497}" autoFormatId="16" applyNumberFormats="0" applyBorderFormats="0" applyFontFormats="0" applyPatternFormats="0" applyAlignmentFormats="0" applyWidthHeightFormats="0">
  <queryTableRefresh nextId="5">
    <queryTableFields count="3">
      <queryTableField id="1" name="Número de Voltas" tableColumnId="1"/>
      <queryTableField id="3" name="Turno" tableColumnId="3"/>
      <queryTableField id="2" name="Tempo Médio de Resposta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63EF8D07-B463-48F8-8C4F-8A8BE5925051}" autoFormatId="16" applyNumberFormats="0" applyBorderFormats="0" applyFontFormats="0" applyPatternFormats="0" applyAlignmentFormats="0" applyWidthHeightFormats="0">
  <queryTableRefresh nextId="14" unboundColumnsRight="1">
    <queryTableFields count="11">
      <queryTableField id="2" name="Numero Voltas" tableColumnId="2"/>
      <queryTableField id="3" name="Turno" tableColumnId="3"/>
      <queryTableField id="4" name="Sequência" tableColumnId="4"/>
      <queryTableField id="5" name="Nó" tableColumnId="5"/>
      <queryTableField id="6" name="Hora Inicio" tableColumnId="6"/>
      <queryTableField id="7" name="Hora Fim" tableColumnId="7"/>
      <queryTableField id="8" name="Última Passagem" tableColumnId="8"/>
      <queryTableField id="10" name="Hora Real Início" tableColumnId="10"/>
      <queryTableField id="11" name="Hora Real Fim" tableColumnId="11"/>
      <queryTableField id="12" name="Hora Real Última Passagem (Hora Fim)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3" xr16:uid="{79BE3303-5F7D-4ADC-95DA-39D3406A203E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Numero Voltas" tableColumnId="1"/>
      <queryTableField id="2" name="Nó" tableColumnId="2"/>
      <queryTableField id="3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F523AE6F-EE9F-43C8-8CEF-C9FBAEB9B45A}" autoFormatId="16" applyNumberFormats="0" applyBorderFormats="0" applyFontFormats="0" applyPatternFormats="0" applyAlignmentFormats="0" applyWidthHeightFormats="0">
  <queryTableRefresh nextId="19" unboundColumnsRight="9">
    <queryTableFields count="15">
      <queryTableField id="13" name="Turno" tableColumnId="12"/>
      <queryTableField id="14" name="Sequência" tableColumnId="13"/>
      <queryTableField id="1" name="Nó" tableColumnId="1"/>
      <queryTableField id="2" name="Hora Início" tableColumnId="2"/>
      <queryTableField id="3" name="Hora Fim" tableColumnId="3"/>
      <queryTableField id="4" name="Tipo" tableColumnId="4"/>
      <queryTableField id="5" dataBound="0" tableColumnId="5"/>
      <queryTableField id="6" dataBound="0" tableColumnId="6"/>
      <queryTableField id="12" dataBound="0" tableColumnId="11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8" dataBound="0" tableColumnId="15"/>
      <queryTableField id="17" dataBound="0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B89B69B2-CDBE-4353-BC70-6817091F6946}" autoFormatId="16" applyNumberFormats="0" applyBorderFormats="0" applyFontFormats="0" applyPatternFormats="0" applyAlignmentFormats="0" applyWidthHeightFormats="0">
  <queryTableRefresh nextId="3">
    <queryTableFields count="2">
      <queryTableField id="1" name="Sequência" tableColumnId="1"/>
      <queryTableField id="2" name="Nó" tableColumnId="2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F66C12-61BF-44DA-952D-15EF095A3B5E}" name="tb_nos" displayName="tb_nos" ref="B5:L17" totalsRowShown="0" headerRowDxfId="115" dataDxfId="114">
  <autoFilter ref="B5:L17" xr:uid="{09F66C12-61BF-44DA-952D-15EF095A3B5E}">
    <filterColumn colId="0">
      <filters>
        <filter val="1"/>
      </filters>
    </filterColumn>
  </autoFilter>
  <tableColumns count="11">
    <tableColumn id="13" xr3:uid="{A26BC8F0-5C18-4D3B-936A-801439BC2628}" name="Testar" dataDxfId="113"/>
    <tableColumn id="1" xr3:uid="{E47E9457-D464-4E33-989D-D111D9B3823B}" name="Auto-Estrada"/>
    <tableColumn id="2" xr3:uid="{459E4BC6-4548-424C-BFDD-89E67A3AF135}" name="CO"/>
    <tableColumn id="3" xr3:uid="{57D2A011-CE94-4141-80C0-2C7AA64AC7D7}" name="Nó"/>
    <tableColumn id="4" xr3:uid="{3F03530D-EBB9-4D89-8E8E-D7FE7B6DA6B2}" name="Sequência" dataDxfId="112"/>
    <tableColumn id="5" xr3:uid="{E438C018-C932-4235-AE4E-A4F98D4DB9C8}" name="CO?" dataDxfId="111"/>
    <tableColumn id="7" xr3:uid="{FE7A6C6C-161C-47EE-954C-DD360BA86427}" name="pausa" dataDxfId="110"/>
    <tableColumn id="8" xr3:uid="{7AB2A5FB-7AA2-40C7-B343-83DD411DDC69}" name="almoco" dataDxfId="109"/>
    <tableColumn id="10" xr3:uid="{B5AC2DAD-8B2A-4EAF-9F90-E96009142415}" name="norte-sul" dataDxfId="108"/>
    <tableColumn id="11" xr3:uid="{D03C95EA-C3CF-40BA-9646-1C3B64B28C3A}" name="sul-norte" dataDxfId="107"/>
    <tableColumn id="12" xr3:uid="{3CCF53ED-7E53-4811-A730-29588A5DBEB2}" name="espera" dataDxfId="10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7A6BEFB-6E95-44A6-BDC5-580721B8BAF8}" name="tb_distancias" displayName="tb_distancias" ref="B5:E192" totalsRowShown="0" headerRowDxfId="105" dataDxfId="104">
  <tableColumns count="4">
    <tableColumn id="13" xr3:uid="{10E30AD4-59A1-4B79-8608-7A8BA89A90F1}" name="Testar" dataDxfId="103"/>
    <tableColumn id="2" xr3:uid="{F8D7AA9D-FCB8-4B4A-B94F-717381460081}" name="CO" dataDxfId="102"/>
    <tableColumn id="3" xr3:uid="{B5EB0559-D827-4399-98A9-9CEA303038DC}" name="Sublanço" dataDxfId="101"/>
    <tableColumn id="4" xr3:uid="{CD1D97D6-3CBB-498D-8946-77B599FEFFA5}" name="kms" dataDxfId="10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190A97-4733-47A5-87A0-D9F3F862CE8D}" name="tb_turnos" displayName="tb_turnos" ref="B5:J8" totalsRowShown="0" headerRowDxfId="99">
  <autoFilter ref="B5:J8" xr:uid="{4D190A97-4733-47A5-87A0-D9F3F862CE8D}"/>
  <tableColumns count="9">
    <tableColumn id="1" xr3:uid="{193A767C-771C-485F-8C1B-ED94B2B5EF71}" name="turno"/>
    <tableColumn id="9" xr3:uid="{FFE6A062-6D1B-4DCC-B267-51BADE25922A}" name="Hora Inicio"/>
    <tableColumn id="8" xr3:uid="{324885D0-4023-48A9-8476-C425189178ED}" name="Hora pausa"/>
    <tableColumn id="7" xr3:uid="{4553721C-4F15-4B81-B192-8598CA60A327}" name="Hora Almoço"/>
    <tableColumn id="6" xr3:uid="{7AD9F866-EC15-4BE5-88BF-3F5F8686194D}" name="Hora Fim"/>
    <tableColumn id="2" xr3:uid="{D04A0E5F-4DDE-42B2-852B-08813E1011E2}" name="inicio" dataDxfId="98">
      <calculatedColumnFormula>(tb_turnos[[#This Row],[Hora Inicio]]-TIME(hora_inicio,0,0))*24*60</calculatedColumnFormula>
    </tableColumn>
    <tableColumn id="3" xr3:uid="{98D4F749-04F4-42C4-8BAE-4F6894DD94CC}" name="pausa" dataDxfId="97"/>
    <tableColumn id="4" xr3:uid="{DF044417-1769-462B-9134-C699537E47E3}" name="almoco" dataDxfId="96"/>
    <tableColumn id="5" xr3:uid="{B63DF221-AE33-40C1-BECC-D1B061BF9499}" name="fim" dataDxfId="95">
      <calculatedColumnFormula>(tb_turnos[[#This Row],[Hora Fim]]-TIME(hora_inicio,0,0))*24*60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CD1ED83-D8ED-464B-9DC4-26CB730BCA36}" name="tb_paragens" displayName="tb_paragens" ref="B5:I11" totalsRowShown="0" headerRowDxfId="94">
  <autoFilter ref="B5:I11" xr:uid="{0CD1ED83-D8ED-464B-9DC4-26CB730BCA36}">
    <filterColumn colId="0">
      <filters>
        <filter val="1"/>
      </filters>
    </filterColumn>
  </autoFilter>
  <tableColumns count="8">
    <tableColumn id="6" xr3:uid="{A822BFB3-462C-4B0C-B5F1-3526334F79A1}" name="Testar" dataDxfId="93"/>
    <tableColumn id="1" xr3:uid="{0584F006-3D77-4058-90A4-00B0708D465E}" name="Tipo"/>
    <tableColumn id="8" xr3:uid="{807CF3F3-80F2-4397-BD37-B8E732563859}" name="Hora Inicio (Time)"/>
    <tableColumn id="7" xr3:uid="{34C5A6B9-CF20-448A-B40A-3539924C78E8}" name="Hora Fim (Time)"/>
    <tableColumn id="2" xr3:uid="{55E237E5-3CB5-4402-93CF-BF2AA2FE4E2C}" name="Hora Inicio" dataDxfId="92">
      <calculatedColumnFormula>(tb_paragens[[#This Row],[Hora Inicio (Time)]]-TIME(hora_inicio,0,0))*24*60</calculatedColumnFormula>
    </tableColumn>
    <tableColumn id="3" xr3:uid="{CF022978-07BF-4833-AE1D-B5B53C14F13E}" name="Hora Fim" dataDxfId="91">
      <calculatedColumnFormula>(tb_paragens[[#This Row],[Hora Fim (Time)]]-TIME(hora_inicio,0,0))*24*60</calculatedColumnFormula>
    </tableColumn>
    <tableColumn id="4" xr3:uid="{457B7A0A-D97B-4D70-AC17-0A2AC3E08774}" name="Nó Início"/>
    <tableColumn id="5" xr3:uid="{DCDC59D5-36F3-47C3-972A-854FD723FDB2}" name="Nó Fim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D960EF-C72C-4421-9653-C650AA1A6F4D}" name="tb_areas_servico" displayName="tb_areas_servico" ref="B6:L7" totalsRowShown="0" headerRowDxfId="90">
  <autoFilter ref="B6:L7" xr:uid="{90937568-9E65-4678-B9A0-37BBACA41275}">
    <filterColumn colId="0">
      <filters>
        <filter val="1"/>
      </filters>
    </filterColumn>
  </autoFilter>
  <tableColumns count="11">
    <tableColumn id="5" xr3:uid="{8B611F36-6239-4E2A-A7D3-E7900991D5A8}" name="Testar"/>
    <tableColumn id="1" xr3:uid="{AD0254F0-BE4D-4074-803F-4AC9C5313327}" name="Auto-Estrada"/>
    <tableColumn id="2" xr3:uid="{3BC70A0A-FFD5-4490-B3CC-F0A93FDF545A}" name="Tipo"/>
    <tableColumn id="3" xr3:uid="{6642969C-8844-4D2E-A906-266BDF318169}" name="Área de Serviço"/>
    <tableColumn id="4" xr3:uid="{48EB1E87-38D0-4826-AD6F-FE0DDD6B1B2C}" name="Nó Início" dataDxfId="89" dataCellStyle="Percent"/>
    <tableColumn id="6" xr3:uid="{26566716-B3B6-43F1-9041-591645DC0C52}" name="Nó Fim"/>
    <tableColumn id="7" xr3:uid="{52F4D86E-1BAA-47CA-B100-81512406B68E}" name="pausa"/>
    <tableColumn id="8" xr3:uid="{64E85AE2-9AE5-4A73-A51C-DD4F8C6A0F04}" name="almoco"/>
    <tableColumn id="9" xr3:uid="{E8CD632C-339C-4ADF-9EFB-4E5916088C4D}" name="norte-sul"/>
    <tableColumn id="10" xr3:uid="{55EF464E-2305-471A-9267-CE5D14659AA9}" name="sul-norte"/>
    <tableColumn id="11" xr3:uid="{9EF088BB-151E-4AF5-94A8-247B2C81C696}" name="espera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0937568-9E65-4678-B9A0-37BBACA41275}" name="tb_probabilidades_sem_zeros" displayName="tb_probabilidades_sem_zeros" ref="B6:F3900" totalsRowShown="0" headerRowDxfId="88">
  <autoFilter ref="B6:F3900" xr:uid="{90937568-9E65-4678-B9A0-37BBACA41275}"/>
  <tableColumns count="5">
    <tableColumn id="5" xr3:uid="{BB0F6CE5-5DB7-4731-822A-22470B2B6882}" name="Testar"/>
    <tableColumn id="1" xr3:uid="{663E2BAC-5B47-4D1B-BB0F-55662172A801}" name="CO"/>
    <tableColumn id="2" xr3:uid="{9A5AA95B-4264-441B-8C01-A0F62BFD87D7}" name="Sublanço"/>
    <tableColumn id="3" xr3:uid="{7DAD0E9D-61D1-4083-A7CC-D217503B0960}" name="Hora"/>
    <tableColumn id="4" xr3:uid="{3165405F-B734-45F0-8144-2949A4F10F22}" name="Probabilidade" dataDxfId="87" dataCellStyle="Percent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E9C060F-2D88-4EEF-8500-1E4698AD1647}" name="tb_probabilidades_com_zeros" displayName="tb_probabilidades_com_zeros" ref="I6:M257" totalsRowShown="0" headerRowDxfId="86">
  <autoFilter ref="I6:M257" xr:uid="{5E9C060F-2D88-4EEF-8500-1E4698AD1647}">
    <filterColumn colId="0">
      <filters>
        <filter val="1"/>
      </filters>
    </filterColumn>
  </autoFilter>
  <tableColumns count="5">
    <tableColumn id="5" xr3:uid="{1FC6F5EC-AC4F-44BB-81C7-740840BDCBE7}" name="Testar"/>
    <tableColumn id="1" xr3:uid="{637FC540-2094-47D3-AC27-46D46FB0E7F7}" name="CO"/>
    <tableColumn id="2" xr3:uid="{4195568D-9F9E-4614-8C1F-E4CA52C7155D}" name="Sublanço"/>
    <tableColumn id="3" xr3:uid="{A9BAB31B-0236-4A26-8CB6-118504B21ADD}" name="Hora"/>
    <tableColumn id="4" xr3:uid="{3CB00250-6D39-4796-B628-663F5F2DEAB3}" name="Probabilidade" dataDxfId="85" dataCellStyle="Percent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9D735F2-27BA-4C4E-A0A3-B1FE51EBB68B}" name="detalhe_carro1" displayName="detalhe_carro1" ref="B6:Q762" tableType="queryTable" totalsRowShown="0" headerRowDxfId="84" dataDxfId="83">
  <tableColumns count="16">
    <tableColumn id="2" xr3:uid="{919CC729-8B54-4C1D-86D0-F66B2A01B7AC}" uniqueName="2" name="Numero Voltas" queryTableFieldId="2" dataDxfId="44"/>
    <tableColumn id="10" xr3:uid="{FD280C53-E5E4-4845-85A7-D6490EDDF954}" uniqueName="10" name="Turno" queryTableFieldId="13"/>
    <tableColumn id="11" xr3:uid="{826DC847-E8A2-404D-A9BF-E0B9A01637F6}" uniqueName="11" name="Sequência" queryTableFieldId="14"/>
    <tableColumn id="3" xr3:uid="{C1C56E4E-988B-4182-B48C-497E10FF3614}" uniqueName="3" name="Nó" queryTableFieldId="3" dataDxfId="43"/>
    <tableColumn id="4" xr3:uid="{CBA1345C-2759-42B4-BDE6-40EE468C0210}" uniqueName="4" name="Hora Inicio" queryTableFieldId="4" dataDxfId="42"/>
    <tableColumn id="5" xr3:uid="{105B54A0-D00F-42F3-85E5-DEF660525469}" uniqueName="5" name="Hora Fim" queryTableFieldId="5" dataDxfId="41"/>
    <tableColumn id="6" xr3:uid="{40962CFA-6007-4FC3-9E61-EEE034AF126A}" uniqueName="6" name="Tipo" queryTableFieldId="6" dataDxfId="40"/>
    <tableColumn id="14" xr3:uid="{42B4A929-88A7-4142-BD44-33CE29DAF1FF}" uniqueName="14" name="kms" queryTableFieldId="19" dataDxfId="39"/>
    <tableColumn id="12" xr3:uid="{62F5EB11-072E-4096-A9EE-291325287747}" uniqueName="12" name="Hora Real Inicio" queryTableFieldId="17" dataDxfId="38"/>
    <tableColumn id="13" xr3:uid="{162177C7-DCBB-4CE8-BDFA-C9BB91E18E19}" uniqueName="13" name="Hora Real Fim" queryTableFieldId="18" dataDxfId="37"/>
    <tableColumn id="1" xr3:uid="{FEB3F1DD-4815-4693-A132-FA87A551B6EF}" uniqueName="1" name="SAIDA" queryTableFieldId="9" dataDxfId="36">
      <calculatedColumnFormula>IF(E7&lt;&gt;E8,1,0)</calculatedColumnFormula>
    </tableColumn>
    <tableColumn id="7" xr3:uid="{C980C690-AB6B-48B9-8AC1-4E68332335C3}" uniqueName="7" name="Chegada" queryTableFieldId="10" dataDxfId="35">
      <calculatedColumnFormula>IF(E7&lt;&gt;E6,1,0)</calculatedColumnFormula>
    </tableColumn>
    <tableColumn id="8" xr3:uid="{A4D05997-97A3-427B-BFF9-E2BF2C855429}" uniqueName="8" name="Ultima Chegada" queryTableFieldId="11" dataDxfId="34">
      <calculatedColumnFormula>_xlfn.MAXIFS($G6:G$7,$E6:E$7,detalhe_carro1[[#This Row],[Nó]],$B6:B$7,detalhe_carro1[[#This Row],[Numero Voltas]],$L6:L$7,1)</calculatedColumnFormula>
    </tableColumn>
    <tableColumn id="9" xr3:uid="{396E17CB-B390-4186-96B9-04412F70E619}" uniqueName="9" name="Tempo" queryTableFieldId="12" dataDxfId="33">
      <calculatedColumnFormula>IF(OR(detalhe_carro1[[#This Row],[Ultima Chegada]]=0,detalhe_carro1[[#This Row],[Chegada]]=0),"",detalhe_carro1[[#This Row],[Hora Inicio]]-detalhe_carro1[[#This Row],[Ultima Chegada]])</calculatedColumnFormula>
    </tableColumn>
    <tableColumn id="15" xr3:uid="{1D233E94-05A0-41FD-82A7-BE5A9E61969E}" uniqueName="15" name="Kms Nós" queryTableFieldId="21" dataDxfId="32">
      <calculatedColumnFormula>IF(detalhe_carro1[[#This Row],[Tipo]]="Visitar Nó",((detalhe_carro1[[#This Row],[Hora Fim]]-detalhe_carro1[[#This Row],[Hora Inicio]])/60*velocidade_nos),0)</calculatedColumnFormula>
    </tableColumn>
    <tableColumn id="16" xr3:uid="{29613C9E-02A5-452E-AFBB-54E3D8F18113}" uniqueName="16" name="Kms Total" queryTableFieldId="22" dataDxfId="31">
      <calculatedColumnFormula>detalhe_carro1[[#This Row],[Kms Nós]]+detalhe_carro1[[#This Row],[kms]]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ECBE6C5-DF2A-48A9-8FDE-8C9F43C1B640}" name="resposta_carro1" displayName="resposta_carro1" ref="AJ6:AL18" tableType="queryTable" totalsRowShown="0" headerRowDxfId="82" dataDxfId="81">
  <tableColumns count="3">
    <tableColumn id="1" xr3:uid="{3C65673F-7135-4B24-ACA9-6F59C9D42375}" uniqueName="1" name="Número de Voltas" queryTableFieldId="1" dataDxfId="19"/>
    <tableColumn id="3" xr3:uid="{E249D0DC-A56C-446F-ABBA-FD8E85549BDF}" uniqueName="3" name="Turno" queryTableFieldId="3" dataDxfId="18"/>
    <tableColumn id="2" xr3:uid="{4049AE53-6CC8-4BCB-9E82-C825A93FEC26}" uniqueName="2" name="Tempo Médio de Resposta" queryTableFieldId="2" dataDxfId="17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2C94D5-35E5-41D9-AB90-BA44FE717215}" name="tb_tempos_passagens" displayName="tb_tempos_passagens" ref="S6:AC438" tableType="queryTable" totalsRowShown="0" headerRowDxfId="80">
  <autoFilter ref="S6:AC438" xr:uid="{212C94D5-35E5-41D9-AB90-BA44FE717215}"/>
  <tableColumns count="11">
    <tableColumn id="2" xr3:uid="{47F33BF8-F30D-46CE-BF2F-2A9FC71F159C}" uniqueName="2" name="Numero Voltas" queryTableFieldId="2" dataDxfId="27"/>
    <tableColumn id="3" xr3:uid="{B120DE4E-A8B5-4653-A02A-7C72A2EFA5BA}" uniqueName="3" name="Turno" queryTableFieldId="3" dataDxfId="26"/>
    <tableColumn id="4" xr3:uid="{9AE37A9C-369D-404F-9184-0C0238E15DBF}" uniqueName="4" name="Sequência" queryTableFieldId="4" dataDxfId="25"/>
    <tableColumn id="5" xr3:uid="{E861815C-620F-4796-B338-488464B8F89E}" uniqueName="5" name="Nó" queryTableFieldId="5" dataDxfId="24"/>
    <tableColumn id="6" xr3:uid="{E01B1BA8-0DF6-4E15-B2C2-4257D05777CE}" uniqueName="6" name="Hora Inicio" queryTableFieldId="6"/>
    <tableColumn id="7" xr3:uid="{8B352A5E-5384-46C7-BC6A-FC5357DA641F}" uniqueName="7" name="Hora Fim" queryTableFieldId="7"/>
    <tableColumn id="8" xr3:uid="{ADE8C52E-2139-4532-BAC0-00EF39800E7B}" uniqueName="8" name="Última Passagem" queryTableFieldId="8"/>
    <tableColumn id="10" xr3:uid="{48A0E118-168A-41BF-9F5B-F7547D0C6568}" uniqueName="10" name="Hora Real Início" queryTableFieldId="10" dataDxfId="23"/>
    <tableColumn id="11" xr3:uid="{026E5BA4-B80E-487D-B15C-C5794E441A91}" uniqueName="11" name="Hora Real Fim" queryTableFieldId="11" dataDxfId="22"/>
    <tableColumn id="12" xr3:uid="{E1F1E3FE-50FC-4A68-BC99-6F7D80BCBE24}" uniqueName="12" name="Hora Real Última Passagem (Hora Fim)" queryTableFieldId="12" dataDxfId="21"/>
    <tableColumn id="13" xr3:uid="{F1EF22D0-63EC-4FBB-899F-FB9BBAF6CCD2}" uniqueName="13" name="Tempo Passagem (h)" queryTableFieldId="13" dataDxfId="20">
      <calculatedColumnFormula>IF(tb_tempos_passagens[[#This Row],[Última Passagem]]=tb_tempos_passagens[[#This Row],[Hora Inicio]],"",IF(tb_tempos_passagens[[#This Row],[Última Passagem]]=0,"",(tb_tempos_passagens[[#This Row],[Hora Inicio]]-tb_tempos_passagens[[#This Row],[Última Passagem]])/60))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FC3799B-6ECE-4BCF-B807-48BF94AFDDF3}" name="tb_nos_sol1" displayName="tb_nos_sol1" ref="AF6:AH38" tableType="queryTable" totalsRowShown="0" headerRowDxfId="79" dataDxfId="78">
  <autoFilter ref="AF6:AH38" xr:uid="{FFC3799B-6ECE-4BCF-B807-48BF94AFDDF3}"/>
  <tableColumns count="3">
    <tableColumn id="1" xr3:uid="{335A95A3-DC06-4564-93E5-911754118D43}" uniqueName="1" name="Numero Voltas" queryTableFieldId="1" dataDxfId="30"/>
    <tableColumn id="2" xr3:uid="{8436EDE1-CA5B-42DB-83FF-B918013F1F39}" uniqueName="2" name="Nó" queryTableFieldId="2" dataDxfId="29"/>
    <tableColumn id="3" xr3:uid="{5DD28A83-5BC5-4211-8848-723BC638C7EF}" uniqueName="3" name="Tempo Médio de Passagem (Novo)" queryTableFieldId="3" dataDxfId="28">
      <calculatedColumnFormula>AVERAGEIFS(tb_tempos_passagens[Tempo Passagem (h)],tb_tempos_passagens[Numero Voltas],AF7,tb_tempos_passagens[Nó],AG7)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0C436A-BD4D-49EF-A2E3-B67DF8500CC0}" name="Carro1" displayName="Carro1" ref="AG1:AU166" tableType="queryTable" totalsRowShown="0">
  <autoFilter ref="AG1:AU166" xr:uid="{180C436A-BD4D-49EF-A2E3-B67DF8500CC0}"/>
  <tableColumns count="15">
    <tableColumn id="12" xr3:uid="{FAE7F243-AB94-48F8-866D-47733337254A}" uniqueName="12" name="Turno" queryTableFieldId="13" dataDxfId="16"/>
    <tableColumn id="13" xr3:uid="{BE849289-B852-4AC2-8D4B-AFCF8865D793}" uniqueName="13" name="Sequência" queryTableFieldId="14" dataDxfId="15"/>
    <tableColumn id="1" xr3:uid="{FFC40EBE-67BB-4345-8039-0FA5DB4BD845}" uniqueName="1" name="Nó" queryTableFieldId="1" dataDxfId="14"/>
    <tableColumn id="2" xr3:uid="{21B31406-F6E1-4D36-AF85-9954D586503D}" uniqueName="2" name="Hora Início" queryTableFieldId="2" dataDxfId="13"/>
    <tableColumn id="3" xr3:uid="{4874FF3B-710B-4273-A1FA-B797B6FA8BFF}" uniqueName="3" name="Hora Fim" queryTableFieldId="3" dataDxfId="12"/>
    <tableColumn id="4" xr3:uid="{C0A84385-C12F-4E34-AC0E-A39960E37C19}" uniqueName="4" name="Tipo" queryTableFieldId="4" dataDxfId="11"/>
    <tableColumn id="5" xr3:uid="{0BB7C422-B6C7-47EC-BB62-D5EA75FF7347}" uniqueName="5" name="Tempo" queryTableFieldId="5" dataDxfId="10">
      <calculatedColumnFormula>+TEXT(Carro1[[#This Row],[Column1]],"hh:mm")&amp;" | " &amp;TEXT(Carro1[[#This Row],[Hora Fim]],"hh:mm")</calculatedColumnFormula>
    </tableColumn>
    <tableColumn id="6" xr3:uid="{6F9E6946-027E-444C-9EC8-5E50B608B82D}" uniqueName="6" name="ID" queryTableFieldId="6" dataDxfId="9">
      <calculatedColumnFormula>INDEX($E$3:$AA$3,MATCH(Carro1[[#This Row],[Nó]],$E$1:$AA$1,0))</calculatedColumnFormula>
    </tableColumn>
    <tableColumn id="11" xr3:uid="{35996397-B6A6-4721-80CD-A808CF018D8D}" uniqueName="11" name="Column1" queryTableFieldId="12" dataDxfId="8">
      <calculatedColumnFormula>+IF(AND(Carro1[[#This Row],[Nó]]=AI1,Carro1[[#This Row],[Nó]]=AI3),AO1,Carro1[[#This Row],[Hora Início]])</calculatedColumnFormula>
    </tableColumn>
    <tableColumn id="7" xr3:uid="{78596255-2A67-4B63-811F-3EB80B46D2EB}" uniqueName="7" name="1-Descer;2-Subir" queryTableFieldId="7" dataDxfId="7">
      <calculatedColumnFormula>IF(AN2=AN1,IF(AN2&lt;&gt;AN3,IF(AN3&gt;=AN1,1,2),AP1),IF(AN2&gt;=AN1,1,2))</calculatedColumnFormula>
    </tableColumn>
    <tableColumn id="8" xr3:uid="{107B503D-ED50-4356-A226-1AAAB133B806}" uniqueName="8" name="Ramo" queryTableFieldId="8" dataDxfId="6">
      <calculatedColumnFormula array="1">IFERROR(_xlfn.IFS(AP2=AP1,AQ1,AQ1="Ramo",1),AQ1+1)</calculatedColumnFormula>
    </tableColumn>
    <tableColumn id="9" xr3:uid="{21E241D2-AEB0-49E0-AFA4-B34D60D258C2}" uniqueName="9" name="Altera" queryTableFieldId="9" dataDxfId="5">
      <calculatedColumnFormula>IF(AQ2&lt;&gt;AQ1,1,0)</calculatedColumnFormula>
    </tableColumn>
    <tableColumn id="10" xr3:uid="{7DCE859A-B0F0-4E55-B996-B6FA9EC493C4}" uniqueName="10" name="Key" queryTableFieldId="10" dataDxfId="4">
      <calculatedColumnFormula>IF(AND(Carro1[[#This Row],[Nó]]=AI3,Carro1[[#This Row],[Nó]]=AI4),"",AQ2&amp;"|"&amp;AN2)</calculatedColumnFormula>
    </tableColumn>
    <tableColumn id="15" xr3:uid="{CE7239E8-A3C1-4C37-B30B-C9E6ACD221B5}" uniqueName="15" name="Key Formatação" queryTableFieldId="18" dataDxfId="3">
      <calculatedColumnFormula>AQ2&amp;"|"&amp;AN2</calculatedColumnFormula>
    </tableColumn>
    <tableColumn id="14" xr3:uid="{6C107471-E77F-4F66-A4FF-D44DE92C52F3}" uniqueName="14" name="Inicio" queryTableFieldId="17" dataDxfId="2">
      <calculatedColumnFormula>IF(Carro1[[#This Row],[Tipo]]="Início",AQ2&amp;"|"&amp;AN2,"")</calculatedColumnFormula>
    </tableColumn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F2D5CDD-799C-4D95-8628-B83296FE7585}" name="aux_visual_1" displayName="aux_visual_1" ref="AZ1:BA9" tableType="queryTable" totalsRowShown="0">
  <autoFilter ref="AZ1:BA9" xr:uid="{DF2D5CDD-799C-4D95-8628-B83296FE7585}"/>
  <tableColumns count="2">
    <tableColumn id="1" xr3:uid="{1A539D35-56F2-434D-B85D-160FEE9916F3}" uniqueName="1" name="Sequência" queryTableFieldId="1" dataDxfId="1"/>
    <tableColumn id="2" xr3:uid="{5C3AD759-7FF4-453D-AFC3-0F8C4763C632}" uniqueName="2" name="Nó" queryTableFieldId="2" dataDxfId="0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06F52C0-6626-4109-BFBD-4CE957A67639}" name="detalhe_carro2" displayName="detalhe_carro2" ref="B5:J256" totalsRowShown="0" headerRowDxfId="77">
  <autoFilter ref="B5:J256" xr:uid="{69D735F2-27BA-4C4E-A0A3-B1FE51EBB68B}"/>
  <tableColumns count="9">
    <tableColumn id="2" xr3:uid="{C7239A66-3565-49E4-B013-03B0A5EE9EAF}" name="Numero Voltas"/>
    <tableColumn id="3" xr3:uid="{1B7A0B40-A0FD-401A-8C82-651D7D08E1B9}" name="Nó" dataDxfId="76"/>
    <tableColumn id="4" xr3:uid="{67C8D415-41FB-4761-BBB6-3F2DDDCE9AA3}" name="Hora Inicio"/>
    <tableColumn id="5" xr3:uid="{3D40EA48-83EF-40B9-A9C8-A6C199220057}" name="Hora Fim"/>
    <tableColumn id="6" xr3:uid="{6C9DBDED-3CD0-41A0-979C-7AC488A373D7}" name="Tipo" dataDxfId="75"/>
    <tableColumn id="1" xr3:uid="{D7F70B5D-CF47-4A95-812C-1F40F5134E0D}" name="SAIDA" dataDxfId="74">
      <calculatedColumnFormula>IF(C6&lt;&gt;C7,1,0)</calculatedColumnFormula>
    </tableColumn>
    <tableColumn id="7" xr3:uid="{CE627314-3981-4AB0-A6F7-9C23CAA5B722}" name="Chegada" dataDxfId="73">
      <calculatedColumnFormula>IF(C6&lt;&gt;C5,1,0)</calculatedColumnFormula>
    </tableColumn>
    <tableColumn id="8" xr3:uid="{6B8D2248-3D22-4C1F-B83F-B4A440890673}" name="Ultima Chegada" dataDxfId="72"/>
    <tableColumn id="9" xr3:uid="{A42FF85A-2518-449A-BD84-5E54AE890FD6}" name="Tempo" dataDxfId="71">
      <calculatedColumnFormula>IF(OR(detalhe_carro2[[#This Row],[Ultima Chegada]]=0,detalhe_carro2[[#This Row],[Chegada]]=0),"",detalhe_carro2[[#This Row],[Hora Inicio]]-detalhe_carro2[[#This Row],[Ultima Chegada]])</calculatedColumnFormula>
    </tableColumn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20F672-1A95-489D-A942-6A4022E82C45}" name="resposta_carro2" displayName="resposta_carro2" ref="S5:T9" totalsRowShown="0" headerRowDxfId="70">
  <autoFilter ref="S5:T9" xr:uid="{0ECBE6C5-DF2A-48A9-8FDE-8C9F43C1B640}"/>
  <tableColumns count="2">
    <tableColumn id="1" xr3:uid="{EDB8F59C-FDEA-43A6-8266-020A9C1F5B3E}" name="Número de Voltas"/>
    <tableColumn id="2" xr3:uid="{5DEEA18C-CB1F-4295-8408-D2FCE44E9C09}" name="Tempo Médio de Resposta" dataDxfId="69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E66EB0-1652-4F9E-BEE4-855E9BBABDEF}" name="Carro2" displayName="Carro2" ref="A1:K56" totalsRowShown="0">
  <autoFilter ref="A1:K56" xr:uid="{14E66EB0-1652-4F9E-BEE4-855E9BBABDEF}"/>
  <tableColumns count="11">
    <tableColumn id="1" xr3:uid="{A2E20573-C4EF-4F37-99E5-3E11BD5C9EE3}" name="Nó" dataDxfId="68"/>
    <tableColumn id="2" xr3:uid="{33A9A2C4-4E55-4D59-AB3D-82C072C8FDA6}" name="Hora Início" dataDxfId="67"/>
    <tableColumn id="3" xr3:uid="{44B5FD6F-9A55-4DA0-A233-77A3B3DDEB3C}" name="Hora Fim" dataDxfId="66"/>
    <tableColumn id="4" xr3:uid="{F56CA6B6-E120-482C-A057-97125D900E73}" name="Tipo" dataDxfId="65"/>
    <tableColumn id="5" xr3:uid="{D808C074-69ED-4327-8C1E-FCB735905F0A}" name="Tempo" dataDxfId="64">
      <calculatedColumnFormula>+TEXT(Carro2[[#This Row],[Column1]],"hh:mm")&amp;" | " &amp;TEXT(Carro2[[#This Row],[Hora Fim]],"hh:mm")</calculatedColumnFormula>
    </tableColumn>
    <tableColumn id="6" xr3:uid="{D319FBC6-D22C-4C12-B95D-D75C4E135C9A}" name="ID" dataDxfId="63">
      <calculatedColumnFormula>INDEX($N$3:$AJ$3,MATCH(Carro2[[#This Row],[Nó]],$N$1:$AJ$1,0))</calculatedColumnFormula>
    </tableColumn>
    <tableColumn id="11" xr3:uid="{F7D94162-221D-427F-90B0-F4FBCAC93E5C}" name="Column1" dataDxfId="62">
      <calculatedColumnFormula>+IF(AND(Carro2[[#This Row],[Nó]]=A1,Carro2[[#This Row],[Nó]]=A3),G1,Carro2[[#This Row],[Hora Início]])</calculatedColumnFormula>
    </tableColumn>
    <tableColumn id="7" xr3:uid="{49915A73-6312-4076-ABAC-075948700382}" name="1-Descer;2-Subir" dataDxfId="61">
      <calculatedColumnFormula>IF(F2=F1,IF(F2&lt;&gt;F3,IF(F3&gt;=F1,1,2),H1),IF(F2&gt;=F1,1,2))</calculatedColumnFormula>
    </tableColumn>
    <tableColumn id="8" xr3:uid="{82D61EB2-87A8-4232-9420-760958D72A1D}" name="Ramo" dataDxfId="60">
      <calculatedColumnFormula array="1">IFERROR(_xlfn.IFS(H2=H1,I1,I1="Ramo",1),I1+1)</calculatedColumnFormula>
    </tableColumn>
    <tableColumn id="9" xr3:uid="{2687AD48-C4BD-4467-A493-59E52417ED23}" name="Altera" dataDxfId="59">
      <calculatedColumnFormula>IF(I2&lt;&gt;I1,1,0)</calculatedColumnFormula>
    </tableColumn>
    <tableColumn id="10" xr3:uid="{71D3123C-2024-4015-B0D3-33B892EC7130}" name="Key" dataDxfId="58">
      <calculatedColumnFormula>IF(AND(Carro2[[#This Row],[Nó]]=A3,Carro2[[#This Row],[Nó]]=A4),"",I2&amp;"|"&amp;F2)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551E8-AB26-49CD-BCF3-5B5473E49018}">
  <sheetPr codeName="Sheet1">
    <tabColor theme="3"/>
  </sheetPr>
  <dimension ref="A1:AK18"/>
  <sheetViews>
    <sheetView showGridLines="0" zoomScale="80" zoomScaleNormal="80" workbookViewId="0">
      <selection activeCell="M14" sqref="M14"/>
    </sheetView>
  </sheetViews>
  <sheetFormatPr defaultRowHeight="15" x14ac:dyDescent="0.25"/>
  <cols>
    <col min="3" max="3" width="11.140625" bestFit="1" customWidth="1"/>
    <col min="12" max="12" width="21.85546875" bestFit="1" customWidth="1"/>
  </cols>
  <sheetData>
    <row r="1" spans="1:37" x14ac:dyDescent="0.25">
      <c r="A1" s="57" t="s">
        <v>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</row>
    <row r="2" spans="1:37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</row>
    <row r="3" spans="1:37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</row>
    <row r="6" spans="1:37" x14ac:dyDescent="0.25">
      <c r="P6" s="1"/>
    </row>
    <row r="9" spans="1:37" x14ac:dyDescent="0.25">
      <c r="L9" s="1" t="s">
        <v>263</v>
      </c>
    </row>
    <row r="10" spans="1:37" x14ac:dyDescent="0.25">
      <c r="L10" t="s">
        <v>264</v>
      </c>
      <c r="M10" s="31" t="str" cm="1">
        <f t="array" aca="1" ref="M10" ca="1">LEFT(CELL("filename",$A$1),FIND("[",CELL("filename",$A$1),1)-2)</f>
        <v>C:\Users\Liliana Ramalho\PycharmProjects\Rotas Brisa</v>
      </c>
    </row>
    <row r="12" spans="1:37" x14ac:dyDescent="0.25">
      <c r="L12" s="1" t="s">
        <v>267</v>
      </c>
    </row>
    <row r="13" spans="1:37" x14ac:dyDescent="0.25">
      <c r="L13" t="s">
        <v>264</v>
      </c>
      <c r="M13" t="s">
        <v>332</v>
      </c>
    </row>
    <row r="14" spans="1:37" x14ac:dyDescent="0.25">
      <c r="C14" s="1"/>
      <c r="L14" t="s">
        <v>268</v>
      </c>
      <c r="M14" t="str">
        <f>sol1_filepath&amp;"\99. dados_solucao_detalhe.csv"</f>
        <v>C:\Users\Liliana Ramalho\PycharmProjects\Rotas Brisa\dados\99. dados_solucao_detalhe.csv</v>
      </c>
    </row>
    <row r="15" spans="1:37" x14ac:dyDescent="0.25">
      <c r="D15" s="2"/>
      <c r="L15" t="s">
        <v>269</v>
      </c>
      <c r="M15" t="str">
        <f>sol1_filepath&amp;"\99. dados_solucao_tempo_resposta.csv"</f>
        <v>C:\Users\Liliana Ramalho\PycharmProjects\Rotas Brisa\dados\99. dados_solucao_tempo_resposta.csv</v>
      </c>
    </row>
    <row r="16" spans="1:37" x14ac:dyDescent="0.25">
      <c r="D16" s="2"/>
      <c r="L16" t="s">
        <v>304</v>
      </c>
      <c r="M16" t="str">
        <f>sol1_filepath&amp;"\99. dados_solucao_tempo_entre_passagens.csv"</f>
        <v>C:\Users\Liliana Ramalho\PycharmProjects\Rotas Brisa\dados\99. dados_solucao_tempo_entre_passagens.csv</v>
      </c>
    </row>
    <row r="18" spans="12:12" x14ac:dyDescent="0.25">
      <c r="L18" s="1"/>
    </row>
  </sheetData>
  <mergeCells count="1">
    <mergeCell ref="A1:AK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AE50-4BE4-47CE-B15D-2E097A390BD2}">
  <sheetPr codeName="Sheet23">
    <tabColor theme="8" tint="0.79998168889431442"/>
  </sheetPr>
  <dimension ref="A1:AH12"/>
  <sheetViews>
    <sheetView showGridLines="0" zoomScale="120" zoomScaleNormal="120" workbookViewId="0">
      <selection activeCell="E15" sqref="E15"/>
    </sheetView>
  </sheetViews>
  <sheetFormatPr defaultRowHeight="15" x14ac:dyDescent="0.25"/>
  <cols>
    <col min="2" max="2" width="32.140625" bestFit="1" customWidth="1"/>
    <col min="3" max="3" width="14.7109375" customWidth="1"/>
    <col min="4" max="4" width="11.5703125" bestFit="1" customWidth="1"/>
    <col min="5" max="5" width="28.42578125" bestFit="1" customWidth="1"/>
    <col min="6" max="6" width="12.140625" customWidth="1"/>
    <col min="7" max="7" width="6.85546875" customWidth="1"/>
    <col min="8" max="8" width="8.42578125" customWidth="1"/>
    <col min="9" max="9" width="9.7109375" customWidth="1"/>
    <col min="10" max="11" width="11.140625" customWidth="1"/>
    <col min="12" max="12" width="9.140625" customWidth="1"/>
    <col min="13" max="13" width="13.42578125" customWidth="1"/>
    <col min="14" max="14" width="14.140625" customWidth="1"/>
    <col min="18" max="18" width="15.28515625" customWidth="1"/>
    <col min="19" max="19" width="13.5703125" customWidth="1"/>
    <col min="20" max="20" width="12.42578125" customWidth="1"/>
  </cols>
  <sheetData>
    <row r="1" spans="1:34" x14ac:dyDescent="0.25">
      <c r="A1" s="57" t="s">
        <v>285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</row>
    <row r="2" spans="1:34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</row>
    <row r="3" spans="1:34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</row>
    <row r="6" spans="1:34" x14ac:dyDescent="0.25">
      <c r="B6" s="35" t="s">
        <v>319</v>
      </c>
      <c r="C6" s="44">
        <v>60</v>
      </c>
      <c r="D6" t="s">
        <v>292</v>
      </c>
    </row>
    <row r="7" spans="1:34" x14ac:dyDescent="0.25">
      <c r="B7" s="35" t="s">
        <v>291</v>
      </c>
      <c r="C7" s="44">
        <v>30</v>
      </c>
      <c r="D7" t="s">
        <v>292</v>
      </c>
    </row>
    <row r="8" spans="1:34" x14ac:dyDescent="0.25">
      <c r="B8" s="35" t="s">
        <v>286</v>
      </c>
      <c r="C8" s="44">
        <v>30</v>
      </c>
      <c r="D8" t="s">
        <v>293</v>
      </c>
    </row>
    <row r="9" spans="1:34" x14ac:dyDescent="0.25">
      <c r="B9" s="35" t="s">
        <v>287</v>
      </c>
      <c r="C9" s="44">
        <v>3000</v>
      </c>
    </row>
    <row r="10" spans="1:34" ht="13.5" customHeight="1" x14ac:dyDescent="0.25">
      <c r="B10" s="35" t="s">
        <v>288</v>
      </c>
      <c r="C10" s="44">
        <v>1</v>
      </c>
    </row>
    <row r="11" spans="1:34" x14ac:dyDescent="0.25">
      <c r="B11" s="35" t="s">
        <v>289</v>
      </c>
      <c r="C11" s="44">
        <v>60</v>
      </c>
      <c r="D11" t="s">
        <v>293</v>
      </c>
    </row>
    <row r="12" spans="1:34" x14ac:dyDescent="0.25">
      <c r="B12" s="35" t="s">
        <v>290</v>
      </c>
      <c r="C12" s="44">
        <v>7</v>
      </c>
      <c r="D12" t="s">
        <v>294</v>
      </c>
    </row>
  </sheetData>
  <mergeCells count="1">
    <mergeCell ref="A1:AH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3496D-930E-47A3-A77F-CB7A1666ED3D}">
  <sheetPr codeName="Sheet11">
    <tabColor theme="8" tint="0.79998168889431442"/>
  </sheetPr>
  <dimension ref="A1:AH17"/>
  <sheetViews>
    <sheetView showGridLines="0" zoomScaleNormal="100" workbookViewId="0">
      <selection activeCell="C6" sqref="C6:L17"/>
    </sheetView>
  </sheetViews>
  <sheetFormatPr defaultRowHeight="15" x14ac:dyDescent="0.25"/>
  <cols>
    <col min="2" max="2" width="14.7109375" bestFit="1" customWidth="1"/>
    <col min="3" max="3" width="14.7109375" customWidth="1"/>
    <col min="4" max="4" width="11.5703125" bestFit="1" customWidth="1"/>
    <col min="5" max="5" width="28.42578125" bestFit="1" customWidth="1"/>
    <col min="6" max="6" width="12.140625" customWidth="1"/>
    <col min="7" max="7" width="6.85546875" customWidth="1"/>
    <col min="8" max="8" width="8.42578125" customWidth="1"/>
    <col min="9" max="9" width="9.7109375" customWidth="1"/>
    <col min="10" max="11" width="11.140625" customWidth="1"/>
    <col min="12" max="12" width="9.140625" customWidth="1"/>
    <col min="13" max="13" width="13.42578125" customWidth="1"/>
    <col min="14" max="14" width="14.140625" customWidth="1"/>
    <col min="18" max="18" width="15.28515625" customWidth="1"/>
    <col min="19" max="19" width="13.5703125" customWidth="1"/>
    <col min="20" max="20" width="12.42578125" customWidth="1"/>
  </cols>
  <sheetData>
    <row r="1" spans="1:34" x14ac:dyDescent="0.25">
      <c r="A1" s="57" t="s">
        <v>56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</row>
    <row r="2" spans="1:34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</row>
    <row r="3" spans="1:34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</row>
    <row r="4" spans="1:34" x14ac:dyDescent="0.25">
      <c r="J4" s="58" t="s">
        <v>331</v>
      </c>
      <c r="K4" s="58"/>
    </row>
    <row r="5" spans="1:34" x14ac:dyDescent="0.25">
      <c r="B5" s="32" t="s">
        <v>266</v>
      </c>
      <c r="C5" s="4" t="s">
        <v>9</v>
      </c>
      <c r="D5" s="4" t="s">
        <v>10</v>
      </c>
      <c r="E5" s="4" t="s">
        <v>11</v>
      </c>
      <c r="F5" s="4" t="s">
        <v>13</v>
      </c>
      <c r="G5" s="4" t="s">
        <v>14</v>
      </c>
      <c r="H5" s="5" t="s">
        <v>15</v>
      </c>
      <c r="I5" s="5" t="s">
        <v>16</v>
      </c>
      <c r="J5" s="4" t="s">
        <v>17</v>
      </c>
      <c r="K5" s="4" t="s">
        <v>18</v>
      </c>
      <c r="L5" s="4" t="s">
        <v>60</v>
      </c>
    </row>
    <row r="6" spans="1:34" x14ac:dyDescent="0.25">
      <c r="B6" s="33">
        <v>1</v>
      </c>
      <c r="C6" t="s">
        <v>19</v>
      </c>
      <c r="D6" t="s">
        <v>6</v>
      </c>
      <c r="E6" t="s">
        <v>20</v>
      </c>
      <c r="F6" s="3">
        <v>0</v>
      </c>
      <c r="G6" s="3">
        <v>0</v>
      </c>
      <c r="H6" s="3">
        <v>0</v>
      </c>
      <c r="I6" s="3">
        <v>0</v>
      </c>
      <c r="J6" s="3">
        <v>15</v>
      </c>
      <c r="K6" s="3">
        <v>15</v>
      </c>
      <c r="L6" s="3">
        <v>0</v>
      </c>
    </row>
    <row r="7" spans="1:34" x14ac:dyDescent="0.25">
      <c r="B7" s="33">
        <v>1</v>
      </c>
      <c r="C7" t="s">
        <v>19</v>
      </c>
      <c r="D7" t="s">
        <v>6</v>
      </c>
      <c r="E7" t="s">
        <v>22</v>
      </c>
      <c r="F7" s="3">
        <v>1</v>
      </c>
      <c r="G7" s="3">
        <v>0</v>
      </c>
      <c r="H7" s="3">
        <v>1</v>
      </c>
      <c r="I7" s="3">
        <v>0</v>
      </c>
      <c r="J7" s="3">
        <v>5</v>
      </c>
      <c r="K7" s="3">
        <v>5</v>
      </c>
      <c r="L7" s="3">
        <v>1</v>
      </c>
    </row>
    <row r="8" spans="1:34" x14ac:dyDescent="0.25">
      <c r="B8" s="33">
        <v>1</v>
      </c>
      <c r="C8" t="s">
        <v>19</v>
      </c>
      <c r="D8" t="s">
        <v>6</v>
      </c>
      <c r="E8" t="s">
        <v>24</v>
      </c>
      <c r="F8" s="3">
        <v>2</v>
      </c>
      <c r="G8" s="3">
        <v>0</v>
      </c>
      <c r="H8" s="3">
        <v>0</v>
      </c>
      <c r="I8" s="3">
        <v>0</v>
      </c>
      <c r="J8" s="3">
        <v>14</v>
      </c>
      <c r="K8" s="3">
        <v>14</v>
      </c>
      <c r="L8" s="3">
        <v>0</v>
      </c>
    </row>
    <row r="9" spans="1:34" ht="13.5" customHeight="1" x14ac:dyDescent="0.25">
      <c r="B9" s="33">
        <v>1</v>
      </c>
      <c r="C9" t="s">
        <v>19</v>
      </c>
      <c r="D9" t="s">
        <v>6</v>
      </c>
      <c r="E9" t="s">
        <v>26</v>
      </c>
      <c r="F9" s="3">
        <v>3</v>
      </c>
      <c r="G9" s="3">
        <v>0</v>
      </c>
      <c r="H9" s="3">
        <v>0</v>
      </c>
      <c r="I9" s="3">
        <v>0</v>
      </c>
      <c r="J9" s="3">
        <v>10</v>
      </c>
      <c r="K9" s="3">
        <v>10</v>
      </c>
      <c r="L9" s="3">
        <v>0</v>
      </c>
    </row>
    <row r="10" spans="1:34" x14ac:dyDescent="0.25">
      <c r="B10" s="33">
        <v>1</v>
      </c>
      <c r="C10" t="s">
        <v>19</v>
      </c>
      <c r="D10" t="s">
        <v>6</v>
      </c>
      <c r="E10" t="s">
        <v>27</v>
      </c>
      <c r="F10" s="3">
        <v>4</v>
      </c>
      <c r="G10" s="3">
        <v>0</v>
      </c>
      <c r="H10" s="3">
        <v>0</v>
      </c>
      <c r="I10" s="3">
        <v>0</v>
      </c>
      <c r="J10" s="3">
        <v>13</v>
      </c>
      <c r="K10" s="3">
        <v>13</v>
      </c>
      <c r="L10" s="3">
        <v>0</v>
      </c>
    </row>
    <row r="11" spans="1:34" x14ac:dyDescent="0.25">
      <c r="B11" s="33">
        <v>1</v>
      </c>
      <c r="C11" t="s">
        <v>19</v>
      </c>
      <c r="D11" t="s">
        <v>6</v>
      </c>
      <c r="E11" t="s">
        <v>29</v>
      </c>
      <c r="F11" s="3">
        <v>5</v>
      </c>
      <c r="G11" s="3">
        <v>0</v>
      </c>
      <c r="H11" s="3">
        <v>0</v>
      </c>
      <c r="I11" s="3">
        <v>0</v>
      </c>
      <c r="J11" s="3">
        <v>28</v>
      </c>
      <c r="K11" s="3">
        <v>28</v>
      </c>
      <c r="L11" s="3">
        <v>0</v>
      </c>
    </row>
    <row r="12" spans="1:34" x14ac:dyDescent="0.25">
      <c r="B12" s="33">
        <v>1</v>
      </c>
      <c r="C12" t="s">
        <v>19</v>
      </c>
      <c r="D12" t="s">
        <v>6</v>
      </c>
      <c r="E12" t="s">
        <v>31</v>
      </c>
      <c r="F12" s="3">
        <v>6</v>
      </c>
      <c r="G12" s="3">
        <v>0</v>
      </c>
      <c r="H12" s="3">
        <v>1</v>
      </c>
      <c r="I12" s="3">
        <v>0</v>
      </c>
      <c r="J12" s="3">
        <v>9</v>
      </c>
      <c r="K12" s="3">
        <v>9</v>
      </c>
      <c r="L12" s="3">
        <v>1</v>
      </c>
    </row>
    <row r="13" spans="1:34" x14ac:dyDescent="0.25">
      <c r="B13" s="33">
        <v>1</v>
      </c>
      <c r="C13" t="s">
        <v>19</v>
      </c>
      <c r="D13" t="s">
        <v>6</v>
      </c>
      <c r="E13" t="s">
        <v>33</v>
      </c>
      <c r="F13" s="3">
        <v>7</v>
      </c>
      <c r="G13" s="3">
        <v>1</v>
      </c>
      <c r="H13" s="3">
        <v>1</v>
      </c>
      <c r="I13" s="3">
        <v>1</v>
      </c>
      <c r="J13" s="3">
        <v>13</v>
      </c>
      <c r="K13" s="3">
        <v>13</v>
      </c>
      <c r="L13" s="3">
        <v>1</v>
      </c>
    </row>
    <row r="14" spans="1:34" hidden="1" x14ac:dyDescent="0.25">
      <c r="B14" s="33">
        <v>0</v>
      </c>
      <c r="C14" t="s">
        <v>19</v>
      </c>
      <c r="D14" t="s">
        <v>6</v>
      </c>
      <c r="E14" t="s">
        <v>35</v>
      </c>
      <c r="F14" s="3">
        <v>8</v>
      </c>
      <c r="G14" s="3">
        <v>0</v>
      </c>
      <c r="H14" s="3">
        <v>1</v>
      </c>
      <c r="I14" s="3">
        <v>1</v>
      </c>
      <c r="J14" s="3">
        <v>13</v>
      </c>
      <c r="K14" s="3">
        <v>13</v>
      </c>
      <c r="L14" s="3">
        <v>1</v>
      </c>
    </row>
    <row r="15" spans="1:34" hidden="1" x14ac:dyDescent="0.25">
      <c r="B15" s="33">
        <v>0</v>
      </c>
      <c r="C15" t="s">
        <v>19</v>
      </c>
      <c r="D15" t="s">
        <v>6</v>
      </c>
      <c r="E15" t="s">
        <v>281</v>
      </c>
      <c r="F15" s="3">
        <v>9</v>
      </c>
      <c r="G15" s="3">
        <v>0</v>
      </c>
      <c r="H15" s="3">
        <v>0</v>
      </c>
      <c r="I15" s="3">
        <v>0</v>
      </c>
      <c r="J15" s="3">
        <v>18</v>
      </c>
      <c r="K15" s="3">
        <v>18</v>
      </c>
      <c r="L15" s="3">
        <v>0</v>
      </c>
    </row>
    <row r="16" spans="1:34" hidden="1" x14ac:dyDescent="0.25">
      <c r="B16" s="33">
        <v>0</v>
      </c>
      <c r="C16" t="s">
        <v>19</v>
      </c>
      <c r="D16" t="s">
        <v>6</v>
      </c>
      <c r="E16" t="s">
        <v>37</v>
      </c>
      <c r="F16" s="3">
        <v>10</v>
      </c>
      <c r="G16" s="3">
        <v>0</v>
      </c>
      <c r="H16" s="3">
        <v>0</v>
      </c>
      <c r="I16" s="3">
        <v>0</v>
      </c>
      <c r="J16" s="3">
        <v>4</v>
      </c>
      <c r="K16" s="3">
        <v>4</v>
      </c>
      <c r="L16" s="3">
        <v>0</v>
      </c>
    </row>
    <row r="17" spans="2:12" hidden="1" x14ac:dyDescent="0.25">
      <c r="B17" s="33">
        <v>0</v>
      </c>
      <c r="C17" t="s">
        <v>19</v>
      </c>
      <c r="D17" t="s">
        <v>6</v>
      </c>
      <c r="E17" t="s">
        <v>39</v>
      </c>
      <c r="F17" s="3">
        <v>11</v>
      </c>
      <c r="G17" s="3">
        <v>0</v>
      </c>
      <c r="H17" s="3">
        <v>0</v>
      </c>
      <c r="I17" s="3">
        <v>0</v>
      </c>
      <c r="J17" s="3">
        <v>8</v>
      </c>
      <c r="K17" s="3">
        <v>8</v>
      </c>
      <c r="L17" s="3">
        <v>0</v>
      </c>
    </row>
  </sheetData>
  <mergeCells count="2">
    <mergeCell ref="A1:AH3"/>
    <mergeCell ref="J4:K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09FF2-E4EF-4549-B273-0EFA7C151C60}">
  <sheetPr codeName="Sheet15">
    <tabColor theme="8" tint="0.79998168889431442"/>
  </sheetPr>
  <dimension ref="A1:AA192"/>
  <sheetViews>
    <sheetView showGridLines="0" zoomScale="70" zoomScaleNormal="70" workbookViewId="0">
      <selection activeCell="B6" sqref="B6"/>
    </sheetView>
  </sheetViews>
  <sheetFormatPr defaultRowHeight="15" x14ac:dyDescent="0.25"/>
  <cols>
    <col min="2" max="2" width="14.7109375" bestFit="1" customWidth="1"/>
    <col min="3" max="3" width="17.28515625" bestFit="1" customWidth="1"/>
    <col min="4" max="4" width="57.7109375" customWidth="1"/>
    <col min="5" max="5" width="28.42578125" bestFit="1" customWidth="1"/>
    <col min="6" max="6" width="12.140625" customWidth="1"/>
    <col min="7" max="7" width="14.140625" customWidth="1"/>
    <col min="11" max="11" width="15.28515625" customWidth="1"/>
    <col min="12" max="12" width="13.5703125" customWidth="1"/>
    <col min="13" max="13" width="12.42578125" customWidth="1"/>
  </cols>
  <sheetData>
    <row r="1" spans="1:27" x14ac:dyDescent="0.25">
      <c r="A1" s="57" t="s">
        <v>320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</row>
    <row r="2" spans="1:27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</row>
    <row r="3" spans="1:27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</row>
    <row r="5" spans="1:27" x14ac:dyDescent="0.25">
      <c r="B5" s="32" t="s">
        <v>266</v>
      </c>
      <c r="C5" s="5" t="s">
        <v>10</v>
      </c>
      <c r="D5" s="5" t="s">
        <v>12</v>
      </c>
      <c r="E5" s="5" t="s">
        <v>272</v>
      </c>
    </row>
    <row r="6" spans="1:27" x14ac:dyDescent="0.25">
      <c r="B6" s="33">
        <v>1</v>
      </c>
      <c r="C6" s="3" t="s">
        <v>6</v>
      </c>
      <c r="D6" s="3" t="s">
        <v>21</v>
      </c>
      <c r="E6" s="3">
        <v>1.466</v>
      </c>
    </row>
    <row r="7" spans="1:27" x14ac:dyDescent="0.25">
      <c r="B7" s="33">
        <v>1</v>
      </c>
      <c r="C7" s="3" t="s">
        <v>6</v>
      </c>
      <c r="D7" s="3" t="s">
        <v>23</v>
      </c>
      <c r="E7" s="3">
        <v>1.484</v>
      </c>
    </row>
    <row r="8" spans="1:27" x14ac:dyDescent="0.25">
      <c r="B8" s="33">
        <v>1</v>
      </c>
      <c r="C8" s="3" t="s">
        <v>6</v>
      </c>
      <c r="D8" s="3" t="s">
        <v>25</v>
      </c>
      <c r="E8" s="3">
        <v>1.042</v>
      </c>
    </row>
    <row r="9" spans="1:27" ht="13.5" customHeight="1" x14ac:dyDescent="0.25">
      <c r="B9" s="33">
        <v>1</v>
      </c>
      <c r="C9" s="3" t="s">
        <v>6</v>
      </c>
      <c r="D9" s="3" t="s">
        <v>42</v>
      </c>
      <c r="E9" s="3">
        <v>1.36</v>
      </c>
    </row>
    <row r="10" spans="1:27" x14ac:dyDescent="0.25">
      <c r="B10" s="33">
        <v>1</v>
      </c>
      <c r="C10" s="3" t="s">
        <v>6</v>
      </c>
      <c r="D10" s="3" t="s">
        <v>28</v>
      </c>
      <c r="E10" s="3">
        <v>2.6880000000000002</v>
      </c>
    </row>
    <row r="11" spans="1:27" x14ac:dyDescent="0.25">
      <c r="B11" s="33">
        <v>1</v>
      </c>
      <c r="C11" s="3" t="s">
        <v>6</v>
      </c>
      <c r="D11" s="3" t="s">
        <v>273</v>
      </c>
      <c r="E11" s="3">
        <v>3.5230000000000001</v>
      </c>
    </row>
    <row r="12" spans="1:27" x14ac:dyDescent="0.25">
      <c r="B12" s="33">
        <v>1</v>
      </c>
      <c r="C12" s="3" t="s">
        <v>6</v>
      </c>
      <c r="D12" s="3" t="s">
        <v>32</v>
      </c>
      <c r="E12" s="3">
        <v>3.3769999999999998</v>
      </c>
    </row>
    <row r="13" spans="1:27" x14ac:dyDescent="0.25">
      <c r="B13" s="33">
        <v>1</v>
      </c>
      <c r="C13" s="3" t="s">
        <v>6</v>
      </c>
      <c r="D13" s="3" t="s">
        <v>34</v>
      </c>
      <c r="E13" s="3">
        <v>4.8600000000000003</v>
      </c>
    </row>
    <row r="14" spans="1:27" x14ac:dyDescent="0.25">
      <c r="B14" s="33">
        <v>1</v>
      </c>
      <c r="C14" s="3" t="s">
        <v>6</v>
      </c>
      <c r="D14" s="3" t="s">
        <v>43</v>
      </c>
      <c r="E14" s="3">
        <v>3</v>
      </c>
    </row>
    <row r="15" spans="1:27" x14ac:dyDescent="0.25">
      <c r="B15" s="33">
        <v>1</v>
      </c>
      <c r="C15" s="3" t="s">
        <v>6</v>
      </c>
      <c r="D15" s="3" t="s">
        <v>44</v>
      </c>
      <c r="E15" s="3">
        <v>0.55000000000000004</v>
      </c>
    </row>
    <row r="16" spans="1:27" x14ac:dyDescent="0.25">
      <c r="B16" s="33">
        <v>1</v>
      </c>
      <c r="C16" s="3" t="s">
        <v>6</v>
      </c>
      <c r="D16" s="3" t="s">
        <v>38</v>
      </c>
      <c r="E16" s="3">
        <v>1.65</v>
      </c>
    </row>
    <row r="17" spans="2:5" x14ac:dyDescent="0.25">
      <c r="B17" s="33">
        <v>1</v>
      </c>
      <c r="C17" s="3" t="s">
        <v>88</v>
      </c>
      <c r="D17" s="3" t="s">
        <v>114</v>
      </c>
      <c r="E17" s="3">
        <v>10.428000000000001</v>
      </c>
    </row>
    <row r="18" spans="2:5" x14ac:dyDescent="0.25">
      <c r="B18" s="33">
        <v>1</v>
      </c>
      <c r="C18" s="3" t="s">
        <v>88</v>
      </c>
      <c r="D18" s="3" t="s">
        <v>89</v>
      </c>
      <c r="E18" s="3">
        <v>16.832000000000001</v>
      </c>
    </row>
    <row r="19" spans="2:5" x14ac:dyDescent="0.25">
      <c r="B19" s="33">
        <v>1</v>
      </c>
      <c r="C19" s="3" t="s">
        <v>88</v>
      </c>
      <c r="D19" s="3" t="s">
        <v>117</v>
      </c>
      <c r="E19" s="3">
        <v>8.92</v>
      </c>
    </row>
    <row r="20" spans="2:5" x14ac:dyDescent="0.25">
      <c r="B20" s="33">
        <v>1</v>
      </c>
      <c r="C20" s="3" t="s">
        <v>88</v>
      </c>
      <c r="D20" s="3" t="s">
        <v>156</v>
      </c>
      <c r="E20" s="3">
        <v>5.47</v>
      </c>
    </row>
    <row r="21" spans="2:5" x14ac:dyDescent="0.25">
      <c r="B21" s="33">
        <v>1</v>
      </c>
      <c r="C21" s="3" t="s">
        <v>88</v>
      </c>
      <c r="D21" s="3" t="s">
        <v>134</v>
      </c>
      <c r="E21" s="3">
        <v>2.7</v>
      </c>
    </row>
    <row r="22" spans="2:5" x14ac:dyDescent="0.25">
      <c r="B22" s="33">
        <v>1</v>
      </c>
      <c r="C22" s="3" t="s">
        <v>88</v>
      </c>
      <c r="D22" s="3" t="s">
        <v>160</v>
      </c>
      <c r="E22" s="3">
        <v>2.78</v>
      </c>
    </row>
    <row r="23" spans="2:5" x14ac:dyDescent="0.25">
      <c r="B23" s="33">
        <v>1</v>
      </c>
      <c r="C23" s="3" t="s">
        <v>88</v>
      </c>
      <c r="D23" s="3" t="s">
        <v>201</v>
      </c>
      <c r="E23" s="3">
        <v>1.804</v>
      </c>
    </row>
    <row r="24" spans="2:5" x14ac:dyDescent="0.25">
      <c r="B24" s="33">
        <v>1</v>
      </c>
      <c r="C24" s="3" t="s">
        <v>90</v>
      </c>
      <c r="D24" s="3" t="s">
        <v>164</v>
      </c>
      <c r="E24" s="3">
        <v>8.3030000000000008</v>
      </c>
    </row>
    <row r="25" spans="2:5" x14ac:dyDescent="0.25">
      <c r="B25" s="33">
        <v>1</v>
      </c>
      <c r="C25" s="3" t="s">
        <v>90</v>
      </c>
      <c r="D25" s="3" t="s">
        <v>120</v>
      </c>
      <c r="E25" s="3">
        <v>11.707000000000001</v>
      </c>
    </row>
    <row r="26" spans="2:5" x14ac:dyDescent="0.25">
      <c r="B26" s="33">
        <v>1</v>
      </c>
      <c r="C26" s="3" t="s">
        <v>90</v>
      </c>
      <c r="D26" s="3" t="s">
        <v>91</v>
      </c>
      <c r="E26" s="3">
        <v>23.632999999999999</v>
      </c>
    </row>
    <row r="27" spans="2:5" x14ac:dyDescent="0.25">
      <c r="B27" s="33">
        <v>1</v>
      </c>
      <c r="C27" s="3" t="s">
        <v>90</v>
      </c>
      <c r="D27" s="3" t="s">
        <v>109</v>
      </c>
      <c r="E27" s="3">
        <v>14.78</v>
      </c>
    </row>
    <row r="28" spans="2:5" x14ac:dyDescent="0.25">
      <c r="B28" s="33">
        <v>1</v>
      </c>
      <c r="C28" s="3" t="s">
        <v>103</v>
      </c>
      <c r="D28" s="3" t="s">
        <v>274</v>
      </c>
      <c r="E28" s="3">
        <v>0.77</v>
      </c>
    </row>
    <row r="29" spans="2:5" x14ac:dyDescent="0.25">
      <c r="B29" s="33">
        <v>1</v>
      </c>
      <c r="C29" s="3" t="s">
        <v>103</v>
      </c>
      <c r="D29" s="3" t="s">
        <v>167</v>
      </c>
      <c r="E29" s="3">
        <v>3.43</v>
      </c>
    </row>
    <row r="30" spans="2:5" x14ac:dyDescent="0.25">
      <c r="B30" s="33">
        <v>1</v>
      </c>
      <c r="C30" s="3" t="s">
        <v>103</v>
      </c>
      <c r="D30" s="3" t="s">
        <v>158</v>
      </c>
      <c r="E30" s="3">
        <v>2.72</v>
      </c>
    </row>
    <row r="31" spans="2:5" x14ac:dyDescent="0.25">
      <c r="B31" s="33">
        <v>1</v>
      </c>
      <c r="C31" s="3" t="s">
        <v>103</v>
      </c>
      <c r="D31" s="3" t="s">
        <v>139</v>
      </c>
      <c r="E31" s="3">
        <v>3.28</v>
      </c>
    </row>
    <row r="32" spans="2:5" x14ac:dyDescent="0.25">
      <c r="B32" s="33">
        <v>1</v>
      </c>
      <c r="C32" s="3" t="s">
        <v>103</v>
      </c>
      <c r="D32" s="3" t="s">
        <v>104</v>
      </c>
      <c r="E32" s="3">
        <v>6.82</v>
      </c>
    </row>
    <row r="33" spans="2:5" x14ac:dyDescent="0.25">
      <c r="B33" s="33">
        <v>1</v>
      </c>
      <c r="C33" s="3" t="s">
        <v>103</v>
      </c>
      <c r="D33" s="3" t="s">
        <v>141</v>
      </c>
      <c r="E33" s="3">
        <v>3.55</v>
      </c>
    </row>
    <row r="34" spans="2:5" x14ac:dyDescent="0.25">
      <c r="B34" s="33">
        <v>1</v>
      </c>
      <c r="C34" s="3" t="s">
        <v>103</v>
      </c>
      <c r="D34" s="3" t="s">
        <v>45</v>
      </c>
      <c r="E34" s="3">
        <v>3.44</v>
      </c>
    </row>
    <row r="35" spans="2:5" x14ac:dyDescent="0.25">
      <c r="B35" s="33">
        <v>1</v>
      </c>
      <c r="C35" s="3" t="s">
        <v>103</v>
      </c>
      <c r="D35" s="3" t="s">
        <v>137</v>
      </c>
      <c r="E35" s="3">
        <v>8.41</v>
      </c>
    </row>
    <row r="36" spans="2:5" x14ac:dyDescent="0.25">
      <c r="B36" s="33">
        <v>1</v>
      </c>
      <c r="C36" s="3" t="s">
        <v>103</v>
      </c>
      <c r="D36" s="3" t="s">
        <v>194</v>
      </c>
      <c r="E36" s="3">
        <v>3.08</v>
      </c>
    </row>
    <row r="37" spans="2:5" x14ac:dyDescent="0.25">
      <c r="B37" s="33">
        <v>1</v>
      </c>
      <c r="C37" s="3" t="s">
        <v>74</v>
      </c>
      <c r="D37" s="3" t="s">
        <v>221</v>
      </c>
      <c r="E37" s="3">
        <v>1.89</v>
      </c>
    </row>
    <row r="38" spans="2:5" x14ac:dyDescent="0.25">
      <c r="B38" s="33">
        <v>1</v>
      </c>
      <c r="C38" s="3" t="s">
        <v>74</v>
      </c>
      <c r="D38" s="3" t="s">
        <v>75</v>
      </c>
      <c r="E38" s="3">
        <v>25.32</v>
      </c>
    </row>
    <row r="39" spans="2:5" x14ac:dyDescent="0.25">
      <c r="B39" s="33">
        <v>1</v>
      </c>
      <c r="C39" s="3" t="s">
        <v>74</v>
      </c>
      <c r="D39" s="3" t="s">
        <v>105</v>
      </c>
      <c r="E39" s="3">
        <v>22.53</v>
      </c>
    </row>
    <row r="40" spans="2:5" x14ac:dyDescent="0.25">
      <c r="B40" s="33">
        <v>1</v>
      </c>
      <c r="C40" s="3" t="s">
        <v>74</v>
      </c>
      <c r="D40" s="3" t="s">
        <v>174</v>
      </c>
      <c r="E40" s="3">
        <v>15.5</v>
      </c>
    </row>
    <row r="41" spans="2:5" x14ac:dyDescent="0.25">
      <c r="B41" s="33">
        <v>1</v>
      </c>
      <c r="C41" s="3" t="s">
        <v>74</v>
      </c>
      <c r="D41" s="3" t="s">
        <v>130</v>
      </c>
      <c r="E41" s="3">
        <v>31.4</v>
      </c>
    </row>
    <row r="42" spans="2:5" x14ac:dyDescent="0.25">
      <c r="B42" s="33">
        <v>1</v>
      </c>
      <c r="C42" s="3" t="s">
        <v>0</v>
      </c>
      <c r="D42" s="3" t="s">
        <v>111</v>
      </c>
      <c r="E42" s="3">
        <v>26.8</v>
      </c>
    </row>
    <row r="43" spans="2:5" x14ac:dyDescent="0.25">
      <c r="B43" s="33">
        <v>1</v>
      </c>
      <c r="C43" s="3" t="s">
        <v>0</v>
      </c>
      <c r="D43" s="3" t="s">
        <v>133</v>
      </c>
      <c r="E43" s="3">
        <v>16.8</v>
      </c>
    </row>
    <row r="44" spans="2:5" x14ac:dyDescent="0.25">
      <c r="B44" s="33">
        <v>1</v>
      </c>
      <c r="C44" s="3" t="s">
        <v>0</v>
      </c>
      <c r="D44" s="3" t="s">
        <v>95</v>
      </c>
      <c r="E44" s="3">
        <v>33.1</v>
      </c>
    </row>
    <row r="45" spans="2:5" x14ac:dyDescent="0.25">
      <c r="B45" s="33">
        <v>1</v>
      </c>
      <c r="C45" s="3" t="s">
        <v>0</v>
      </c>
      <c r="D45" s="3" t="s">
        <v>150</v>
      </c>
      <c r="E45" s="3">
        <v>12.1</v>
      </c>
    </row>
    <row r="46" spans="2:5" x14ac:dyDescent="0.25">
      <c r="B46" s="33">
        <v>1</v>
      </c>
      <c r="C46" s="3" t="s">
        <v>1</v>
      </c>
      <c r="D46" s="3" t="s">
        <v>112</v>
      </c>
      <c r="E46" s="3">
        <v>3.8</v>
      </c>
    </row>
    <row r="47" spans="2:5" x14ac:dyDescent="0.25">
      <c r="B47" s="33">
        <v>1</v>
      </c>
      <c r="C47" s="3" t="s">
        <v>1</v>
      </c>
      <c r="D47" s="3" t="s">
        <v>152</v>
      </c>
      <c r="E47" s="3">
        <v>2.95</v>
      </c>
    </row>
    <row r="48" spans="2:5" x14ac:dyDescent="0.25">
      <c r="B48" s="33">
        <v>1</v>
      </c>
      <c r="C48" s="3" t="s">
        <v>1</v>
      </c>
      <c r="D48" s="3" t="s">
        <v>94</v>
      </c>
      <c r="E48" s="3">
        <v>6.24</v>
      </c>
    </row>
    <row r="49" spans="2:5" x14ac:dyDescent="0.25">
      <c r="B49" s="33">
        <v>1</v>
      </c>
      <c r="C49" s="3" t="s">
        <v>1</v>
      </c>
      <c r="D49" s="3" t="s">
        <v>92</v>
      </c>
      <c r="E49" s="3">
        <v>7.46</v>
      </c>
    </row>
    <row r="50" spans="2:5" x14ac:dyDescent="0.25">
      <c r="B50" s="33">
        <v>1</v>
      </c>
      <c r="C50" s="3" t="s">
        <v>1</v>
      </c>
      <c r="D50" s="3" t="s">
        <v>155</v>
      </c>
      <c r="E50" s="3">
        <v>3.4</v>
      </c>
    </row>
    <row r="51" spans="2:5" x14ac:dyDescent="0.25">
      <c r="B51" s="33">
        <v>1</v>
      </c>
      <c r="C51" s="3" t="s">
        <v>1</v>
      </c>
      <c r="D51" s="3" t="s">
        <v>144</v>
      </c>
      <c r="E51" s="3">
        <v>3.9750000000000001</v>
      </c>
    </row>
    <row r="52" spans="2:5" x14ac:dyDescent="0.25">
      <c r="B52" s="33">
        <v>1</v>
      </c>
      <c r="C52" s="3" t="s">
        <v>1</v>
      </c>
      <c r="D52" s="3" t="s">
        <v>214</v>
      </c>
      <c r="E52" s="3">
        <v>1.2250000000000001</v>
      </c>
    </row>
    <row r="53" spans="2:5" x14ac:dyDescent="0.25">
      <c r="B53" s="33">
        <v>1</v>
      </c>
      <c r="C53" s="3" t="s">
        <v>1</v>
      </c>
      <c r="D53" s="3" t="s">
        <v>217</v>
      </c>
      <c r="E53" s="3">
        <v>0.86799999999999999</v>
      </c>
    </row>
    <row r="54" spans="2:5" x14ac:dyDescent="0.25">
      <c r="B54" s="33">
        <v>1</v>
      </c>
      <c r="C54" s="3" t="s">
        <v>1</v>
      </c>
      <c r="D54" s="3" t="s">
        <v>82</v>
      </c>
      <c r="E54" s="3">
        <v>15.516</v>
      </c>
    </row>
    <row r="55" spans="2:5" x14ac:dyDescent="0.25">
      <c r="B55" s="33">
        <v>1</v>
      </c>
      <c r="C55" s="3" t="s">
        <v>1</v>
      </c>
      <c r="D55" s="3" t="s">
        <v>110</v>
      </c>
      <c r="E55" s="3">
        <v>11.286</v>
      </c>
    </row>
    <row r="56" spans="2:5" x14ac:dyDescent="0.25">
      <c r="B56" s="33">
        <v>1</v>
      </c>
      <c r="C56" s="3" t="s">
        <v>1</v>
      </c>
      <c r="D56" s="3" t="s">
        <v>143</v>
      </c>
      <c r="E56" s="3">
        <v>8.08</v>
      </c>
    </row>
    <row r="57" spans="2:5" x14ac:dyDescent="0.25">
      <c r="B57" s="33">
        <v>1</v>
      </c>
      <c r="C57" s="3" t="s">
        <v>1</v>
      </c>
      <c r="D57" s="3" t="s">
        <v>176</v>
      </c>
      <c r="E57" s="3">
        <v>6.9</v>
      </c>
    </row>
    <row r="58" spans="2:5" x14ac:dyDescent="0.25">
      <c r="B58" s="33">
        <v>1</v>
      </c>
      <c r="C58" s="3" t="s">
        <v>1</v>
      </c>
      <c r="D58" s="3" t="s">
        <v>200</v>
      </c>
      <c r="E58" s="3">
        <v>10.64</v>
      </c>
    </row>
    <row r="59" spans="2:5" x14ac:dyDescent="0.25">
      <c r="B59" s="33">
        <v>1</v>
      </c>
      <c r="C59" s="3" t="s">
        <v>1</v>
      </c>
      <c r="D59" s="3" t="s">
        <v>189</v>
      </c>
      <c r="E59" s="3">
        <v>14.86</v>
      </c>
    </row>
    <row r="60" spans="2:5" x14ac:dyDescent="0.25">
      <c r="B60" s="33">
        <v>1</v>
      </c>
      <c r="C60" s="3" t="s">
        <v>1</v>
      </c>
      <c r="D60" s="3" t="s">
        <v>216</v>
      </c>
      <c r="E60" s="3">
        <v>7.4</v>
      </c>
    </row>
    <row r="61" spans="2:5" x14ac:dyDescent="0.25">
      <c r="B61" s="33">
        <v>1</v>
      </c>
      <c r="C61" s="3" t="s">
        <v>66</v>
      </c>
      <c r="D61" s="3" t="s">
        <v>168</v>
      </c>
      <c r="E61" s="3">
        <v>1.03</v>
      </c>
    </row>
    <row r="62" spans="2:5" x14ac:dyDescent="0.25">
      <c r="B62" s="33">
        <v>1</v>
      </c>
      <c r="C62" s="3" t="s">
        <v>66</v>
      </c>
      <c r="D62" s="3" t="s">
        <v>107</v>
      </c>
      <c r="E62" s="3">
        <v>2.0950000000000002</v>
      </c>
    </row>
    <row r="63" spans="2:5" x14ac:dyDescent="0.25">
      <c r="B63" s="33">
        <v>1</v>
      </c>
      <c r="C63" s="3" t="s">
        <v>66</v>
      </c>
      <c r="D63" s="3" t="s">
        <v>67</v>
      </c>
      <c r="E63" s="3">
        <v>5.25</v>
      </c>
    </row>
    <row r="64" spans="2:5" x14ac:dyDescent="0.25">
      <c r="B64" s="33">
        <v>1</v>
      </c>
      <c r="C64" s="3" t="s">
        <v>66</v>
      </c>
      <c r="D64" s="3" t="s">
        <v>80</v>
      </c>
      <c r="E64" s="3">
        <v>12.835000000000001</v>
      </c>
    </row>
    <row r="65" spans="2:5" x14ac:dyDescent="0.25">
      <c r="B65" s="33">
        <v>1</v>
      </c>
      <c r="C65" s="3" t="s">
        <v>66</v>
      </c>
      <c r="D65" s="3" t="s">
        <v>135</v>
      </c>
      <c r="E65" s="3">
        <v>4.5250000000000004</v>
      </c>
    </row>
    <row r="66" spans="2:5" x14ac:dyDescent="0.25">
      <c r="B66" s="33">
        <v>1</v>
      </c>
      <c r="C66" s="3" t="s">
        <v>66</v>
      </c>
      <c r="D66" s="3" t="s">
        <v>93</v>
      </c>
      <c r="E66" s="3">
        <v>9.4550000000000001</v>
      </c>
    </row>
    <row r="67" spans="2:5" x14ac:dyDescent="0.25">
      <c r="B67" s="33">
        <v>1</v>
      </c>
      <c r="C67" s="3" t="s">
        <v>66</v>
      </c>
      <c r="D67" s="3" t="s">
        <v>151</v>
      </c>
      <c r="E67" s="3">
        <v>7.2350000000000003</v>
      </c>
    </row>
    <row r="68" spans="2:5" x14ac:dyDescent="0.25">
      <c r="B68" s="33">
        <v>1</v>
      </c>
      <c r="C68" s="3" t="s">
        <v>66</v>
      </c>
      <c r="D68" s="3" t="s">
        <v>211</v>
      </c>
      <c r="E68" s="3">
        <v>4.5149999999999997</v>
      </c>
    </row>
    <row r="69" spans="2:5" x14ac:dyDescent="0.25">
      <c r="B69" s="33">
        <v>1</v>
      </c>
      <c r="C69" s="3" t="s">
        <v>66</v>
      </c>
      <c r="D69" s="3" t="s">
        <v>122</v>
      </c>
      <c r="E69" s="3">
        <v>19.899999999999999</v>
      </c>
    </row>
    <row r="70" spans="2:5" x14ac:dyDescent="0.25">
      <c r="B70" s="33">
        <v>1</v>
      </c>
      <c r="C70" s="3" t="s">
        <v>66</v>
      </c>
      <c r="D70" s="3" t="s">
        <v>182</v>
      </c>
      <c r="E70" s="3">
        <v>10</v>
      </c>
    </row>
    <row r="71" spans="2:5" x14ac:dyDescent="0.25">
      <c r="B71" s="33">
        <v>1</v>
      </c>
      <c r="C71" s="3" t="s">
        <v>66</v>
      </c>
      <c r="D71" s="3" t="s">
        <v>235</v>
      </c>
      <c r="E71" s="3">
        <v>0.83</v>
      </c>
    </row>
    <row r="72" spans="2:5" x14ac:dyDescent="0.25">
      <c r="B72" s="33">
        <v>1</v>
      </c>
      <c r="C72" s="3" t="s">
        <v>66</v>
      </c>
      <c r="D72" s="3" t="s">
        <v>129</v>
      </c>
      <c r="E72" s="3">
        <v>20.78</v>
      </c>
    </row>
    <row r="73" spans="2:5" x14ac:dyDescent="0.25">
      <c r="B73" s="33">
        <v>1</v>
      </c>
      <c r="C73" s="3" t="s">
        <v>66</v>
      </c>
      <c r="D73" s="3" t="s">
        <v>202</v>
      </c>
      <c r="E73" s="3">
        <v>8</v>
      </c>
    </row>
    <row r="74" spans="2:5" x14ac:dyDescent="0.25">
      <c r="B74" s="33">
        <v>1</v>
      </c>
      <c r="C74" s="3" t="s">
        <v>66</v>
      </c>
      <c r="D74" s="3" t="s">
        <v>245</v>
      </c>
      <c r="E74" s="3">
        <v>0.6</v>
      </c>
    </row>
    <row r="75" spans="2:5" x14ac:dyDescent="0.25">
      <c r="B75" s="33">
        <v>1</v>
      </c>
      <c r="C75" s="3" t="s">
        <v>66</v>
      </c>
      <c r="D75" s="3" t="s">
        <v>227</v>
      </c>
      <c r="E75" s="3">
        <v>1.23</v>
      </c>
    </row>
    <row r="76" spans="2:5" x14ac:dyDescent="0.25">
      <c r="B76" s="33">
        <v>1</v>
      </c>
      <c r="C76" s="3" t="s">
        <v>66</v>
      </c>
      <c r="D76" s="3" t="s">
        <v>238</v>
      </c>
      <c r="E76" s="3">
        <v>1.06</v>
      </c>
    </row>
    <row r="77" spans="2:5" x14ac:dyDescent="0.25">
      <c r="B77" s="33">
        <v>1</v>
      </c>
      <c r="C77" s="3" t="s">
        <v>66</v>
      </c>
      <c r="D77" s="3" t="s">
        <v>239</v>
      </c>
      <c r="E77" s="3">
        <v>0.66500000000000004</v>
      </c>
    </row>
    <row r="78" spans="2:5" x14ac:dyDescent="0.25">
      <c r="B78" s="33">
        <v>1</v>
      </c>
      <c r="C78" s="3" t="s">
        <v>66</v>
      </c>
      <c r="D78" s="3" t="s">
        <v>219</v>
      </c>
      <c r="E78" s="3">
        <v>1.32</v>
      </c>
    </row>
    <row r="79" spans="2:5" x14ac:dyDescent="0.25">
      <c r="B79" s="33">
        <v>1</v>
      </c>
      <c r="C79" s="3" t="s">
        <v>66</v>
      </c>
      <c r="D79" s="3" t="s">
        <v>212</v>
      </c>
      <c r="E79" s="3">
        <v>1.01</v>
      </c>
    </row>
    <row r="80" spans="2:5" x14ac:dyDescent="0.25">
      <c r="B80" s="33">
        <v>1</v>
      </c>
      <c r="C80" s="3" t="s">
        <v>64</v>
      </c>
      <c r="D80" s="3" t="s">
        <v>65</v>
      </c>
      <c r="E80" s="3">
        <v>3</v>
      </c>
    </row>
    <row r="81" spans="2:5" x14ac:dyDescent="0.25">
      <c r="B81" s="33">
        <v>1</v>
      </c>
      <c r="C81" s="3" t="s">
        <v>64</v>
      </c>
      <c r="D81" s="3" t="s">
        <v>121</v>
      </c>
      <c r="E81" s="3">
        <v>4.25</v>
      </c>
    </row>
    <row r="82" spans="2:5" x14ac:dyDescent="0.25">
      <c r="B82" s="33">
        <v>1</v>
      </c>
      <c r="C82" s="3" t="s">
        <v>64</v>
      </c>
      <c r="D82" s="3" t="s">
        <v>116</v>
      </c>
      <c r="E82" s="3">
        <v>5.0599999999999996</v>
      </c>
    </row>
    <row r="83" spans="2:5" x14ac:dyDescent="0.25">
      <c r="B83" s="33">
        <v>1</v>
      </c>
      <c r="C83" s="3" t="s">
        <v>64</v>
      </c>
      <c r="D83" s="3" t="s">
        <v>165</v>
      </c>
      <c r="E83" s="3">
        <v>3.4</v>
      </c>
    </row>
    <row r="84" spans="2:5" x14ac:dyDescent="0.25">
      <c r="B84" s="33">
        <v>1</v>
      </c>
      <c r="C84" s="3" t="s">
        <v>64</v>
      </c>
      <c r="D84" s="3" t="s">
        <v>115</v>
      </c>
      <c r="E84" s="3">
        <v>3.4</v>
      </c>
    </row>
    <row r="85" spans="2:5" x14ac:dyDescent="0.25">
      <c r="B85" s="33">
        <v>1</v>
      </c>
      <c r="C85" s="3" t="s">
        <v>64</v>
      </c>
      <c r="D85" s="3" t="s">
        <v>99</v>
      </c>
      <c r="E85" s="3">
        <v>5.72</v>
      </c>
    </row>
    <row r="86" spans="2:5" x14ac:dyDescent="0.25">
      <c r="B86" s="33">
        <v>1</v>
      </c>
      <c r="C86" s="3" t="s">
        <v>64</v>
      </c>
      <c r="D86" s="3" t="s">
        <v>179</v>
      </c>
      <c r="E86" s="3">
        <v>2.61</v>
      </c>
    </row>
    <row r="87" spans="2:5" x14ac:dyDescent="0.25">
      <c r="B87" s="33">
        <v>1</v>
      </c>
      <c r="C87" s="3" t="s">
        <v>64</v>
      </c>
      <c r="D87" s="3" t="s">
        <v>175</v>
      </c>
      <c r="E87" s="3">
        <v>2.2000000000000002</v>
      </c>
    </row>
    <row r="88" spans="2:5" x14ac:dyDescent="0.25">
      <c r="B88" s="33">
        <v>1</v>
      </c>
      <c r="C88" s="3" t="s">
        <v>64</v>
      </c>
      <c r="D88" s="3" t="s">
        <v>71</v>
      </c>
      <c r="E88" s="3">
        <v>7.7</v>
      </c>
    </row>
    <row r="89" spans="2:5" x14ac:dyDescent="0.25">
      <c r="B89" s="33">
        <v>1</v>
      </c>
      <c r="C89" s="3" t="s">
        <v>64</v>
      </c>
      <c r="D89" s="3" t="s">
        <v>68</v>
      </c>
      <c r="E89" s="3">
        <v>12.3</v>
      </c>
    </row>
    <row r="90" spans="2:5" x14ac:dyDescent="0.25">
      <c r="B90" s="33">
        <v>1</v>
      </c>
      <c r="C90" s="3" t="s">
        <v>64</v>
      </c>
      <c r="D90" s="3" t="s">
        <v>213</v>
      </c>
      <c r="E90" s="3">
        <v>0.75</v>
      </c>
    </row>
    <row r="91" spans="2:5" x14ac:dyDescent="0.25">
      <c r="B91" s="33">
        <v>1</v>
      </c>
      <c r="C91" s="3" t="s">
        <v>64</v>
      </c>
      <c r="D91" s="3" t="s">
        <v>222</v>
      </c>
      <c r="E91" s="3">
        <v>1.25</v>
      </c>
    </row>
    <row r="92" spans="2:5" x14ac:dyDescent="0.25">
      <c r="B92" s="33">
        <v>1</v>
      </c>
      <c r="C92" s="3" t="s">
        <v>77</v>
      </c>
      <c r="D92" s="3" t="s">
        <v>224</v>
      </c>
      <c r="E92" s="3">
        <v>2.0430000000000001</v>
      </c>
    </row>
    <row r="93" spans="2:5" x14ac:dyDescent="0.25">
      <c r="B93" s="33">
        <v>1</v>
      </c>
      <c r="C93" s="3" t="s">
        <v>77</v>
      </c>
      <c r="D93" s="3" t="s">
        <v>97</v>
      </c>
      <c r="E93" s="3">
        <v>8.6150000000000002</v>
      </c>
    </row>
    <row r="94" spans="2:5" x14ac:dyDescent="0.25">
      <c r="B94" s="33">
        <v>1</v>
      </c>
      <c r="C94" s="3" t="s">
        <v>77</v>
      </c>
      <c r="D94" s="3" t="s">
        <v>101</v>
      </c>
      <c r="E94" s="3">
        <v>5.3949999999999996</v>
      </c>
    </row>
    <row r="95" spans="2:5" x14ac:dyDescent="0.25">
      <c r="B95" s="33">
        <v>1</v>
      </c>
      <c r="C95" s="3" t="s">
        <v>77</v>
      </c>
      <c r="D95" s="3" t="s">
        <v>142</v>
      </c>
      <c r="E95" s="3">
        <v>3.7429999999999999</v>
      </c>
    </row>
    <row r="96" spans="2:5" x14ac:dyDescent="0.25">
      <c r="B96" s="33">
        <v>1</v>
      </c>
      <c r="C96" s="3" t="s">
        <v>77</v>
      </c>
      <c r="D96" s="3" t="s">
        <v>145</v>
      </c>
      <c r="E96" s="3">
        <v>3.2280000000000002</v>
      </c>
    </row>
    <row r="97" spans="2:5" x14ac:dyDescent="0.25">
      <c r="B97" s="33">
        <v>1</v>
      </c>
      <c r="C97" s="3" t="s">
        <v>77</v>
      </c>
      <c r="D97" s="3" t="s">
        <v>136</v>
      </c>
      <c r="E97" s="3">
        <v>3.8319999999999999</v>
      </c>
    </row>
    <row r="98" spans="2:5" x14ac:dyDescent="0.25">
      <c r="B98" s="33">
        <v>1</v>
      </c>
      <c r="C98" s="3" t="s">
        <v>77</v>
      </c>
      <c r="D98" s="3" t="s">
        <v>123</v>
      </c>
      <c r="E98" s="3">
        <v>6.1639999999999997</v>
      </c>
    </row>
    <row r="99" spans="2:5" x14ac:dyDescent="0.25">
      <c r="B99" s="33">
        <v>1</v>
      </c>
      <c r="C99" s="3" t="s">
        <v>77</v>
      </c>
      <c r="D99" s="3" t="s">
        <v>98</v>
      </c>
      <c r="E99" s="3">
        <v>6.0250000000000004</v>
      </c>
    </row>
    <row r="100" spans="2:5" x14ac:dyDescent="0.25">
      <c r="B100" s="33">
        <v>1</v>
      </c>
      <c r="C100" s="3" t="s">
        <v>77</v>
      </c>
      <c r="D100" s="3" t="s">
        <v>85</v>
      </c>
      <c r="E100" s="3">
        <v>9.5890000000000004</v>
      </c>
    </row>
    <row r="101" spans="2:5" x14ac:dyDescent="0.25">
      <c r="B101" s="33">
        <v>1</v>
      </c>
      <c r="C101" s="3" t="s">
        <v>77</v>
      </c>
      <c r="D101" s="3" t="s">
        <v>204</v>
      </c>
      <c r="E101" s="3">
        <v>3.3580000000000001</v>
      </c>
    </row>
    <row r="102" spans="2:5" x14ac:dyDescent="0.25">
      <c r="B102" s="33">
        <v>1</v>
      </c>
      <c r="C102" s="3" t="s">
        <v>77</v>
      </c>
      <c r="D102" s="3" t="s">
        <v>196</v>
      </c>
      <c r="E102" s="3">
        <v>3.0009999999999999</v>
      </c>
    </row>
    <row r="103" spans="2:5" x14ac:dyDescent="0.25">
      <c r="B103" s="33">
        <v>1</v>
      </c>
      <c r="C103" s="3" t="s">
        <v>77</v>
      </c>
      <c r="D103" s="3" t="s">
        <v>205</v>
      </c>
      <c r="E103" s="3">
        <v>1.5780000000000001</v>
      </c>
    </row>
    <row r="104" spans="2:5" x14ac:dyDescent="0.25">
      <c r="B104" s="33">
        <v>1</v>
      </c>
      <c r="C104" s="3" t="s">
        <v>77</v>
      </c>
      <c r="D104" s="3" t="s">
        <v>146</v>
      </c>
      <c r="E104" s="3">
        <v>3.4340000000000002</v>
      </c>
    </row>
    <row r="105" spans="2:5" x14ac:dyDescent="0.25">
      <c r="B105" s="33">
        <v>1</v>
      </c>
      <c r="C105" s="3" t="s">
        <v>77</v>
      </c>
      <c r="D105" s="3" t="s">
        <v>78</v>
      </c>
      <c r="E105" s="3">
        <v>6.2030000000000003</v>
      </c>
    </row>
    <row r="106" spans="2:5" x14ac:dyDescent="0.25">
      <c r="B106" s="33">
        <v>1</v>
      </c>
      <c r="C106" s="3" t="s">
        <v>77</v>
      </c>
      <c r="D106" s="3" t="s">
        <v>162</v>
      </c>
      <c r="E106" s="3">
        <v>3.0419999999999998</v>
      </c>
    </row>
    <row r="107" spans="2:5" x14ac:dyDescent="0.25">
      <c r="B107" s="33">
        <v>1</v>
      </c>
      <c r="C107" s="3" t="s">
        <v>77</v>
      </c>
      <c r="D107" s="3" t="s">
        <v>87</v>
      </c>
      <c r="E107" s="3">
        <v>4.9930000000000003</v>
      </c>
    </row>
    <row r="108" spans="2:5" x14ac:dyDescent="0.25">
      <c r="B108" s="33">
        <v>1</v>
      </c>
      <c r="C108" s="3" t="s">
        <v>77</v>
      </c>
      <c r="D108" s="3" t="s">
        <v>225</v>
      </c>
      <c r="E108" s="3">
        <v>1.3149999999999999</v>
      </c>
    </row>
    <row r="109" spans="2:5" x14ac:dyDescent="0.25">
      <c r="B109" s="33">
        <v>1</v>
      </c>
      <c r="C109" s="3" t="s">
        <v>77</v>
      </c>
      <c r="D109" s="3" t="s">
        <v>83</v>
      </c>
      <c r="E109" s="3">
        <v>6.2060000000000004</v>
      </c>
    </row>
    <row r="110" spans="2:5" x14ac:dyDescent="0.25">
      <c r="B110" s="33">
        <v>1</v>
      </c>
      <c r="C110" s="3" t="s">
        <v>77</v>
      </c>
      <c r="D110" s="3" t="s">
        <v>193</v>
      </c>
      <c r="E110" s="3">
        <v>1.4</v>
      </c>
    </row>
    <row r="111" spans="2:5" x14ac:dyDescent="0.25">
      <c r="B111" s="33">
        <v>1</v>
      </c>
      <c r="C111" s="3" t="s">
        <v>77</v>
      </c>
      <c r="D111" s="3" t="s">
        <v>192</v>
      </c>
      <c r="E111" s="3">
        <v>1</v>
      </c>
    </row>
    <row r="112" spans="2:5" x14ac:dyDescent="0.25">
      <c r="B112" s="33">
        <v>1</v>
      </c>
      <c r="C112" s="3" t="s">
        <v>77</v>
      </c>
      <c r="D112" s="3" t="s">
        <v>210</v>
      </c>
      <c r="E112" s="3">
        <v>1.1000000000000001</v>
      </c>
    </row>
    <row r="113" spans="2:5" x14ac:dyDescent="0.25">
      <c r="B113" s="33">
        <v>1</v>
      </c>
      <c r="C113" s="3" t="s">
        <v>77</v>
      </c>
      <c r="D113" s="3" t="s">
        <v>177</v>
      </c>
      <c r="E113" s="3">
        <v>4</v>
      </c>
    </row>
    <row r="114" spans="2:5" x14ac:dyDescent="0.25">
      <c r="B114" s="33">
        <v>1</v>
      </c>
      <c r="C114" s="3" t="s">
        <v>3</v>
      </c>
      <c r="D114" s="3" t="s">
        <v>161</v>
      </c>
      <c r="E114" s="3">
        <v>3.27</v>
      </c>
    </row>
    <row r="115" spans="2:5" x14ac:dyDescent="0.25">
      <c r="B115" s="33">
        <v>1</v>
      </c>
      <c r="C115" s="3" t="s">
        <v>3</v>
      </c>
      <c r="D115" s="3" t="s">
        <v>229</v>
      </c>
      <c r="E115" s="3">
        <v>1.1100000000000001</v>
      </c>
    </row>
    <row r="116" spans="2:5" x14ac:dyDescent="0.25">
      <c r="B116" s="33">
        <v>1</v>
      </c>
      <c r="C116" s="3" t="s">
        <v>3</v>
      </c>
      <c r="D116" s="3" t="s">
        <v>108</v>
      </c>
      <c r="E116" s="3">
        <v>2E-3</v>
      </c>
    </row>
    <row r="117" spans="2:5" x14ac:dyDescent="0.25">
      <c r="B117" s="33">
        <v>1</v>
      </c>
      <c r="C117" s="3" t="s">
        <v>3</v>
      </c>
      <c r="D117" s="3" t="s">
        <v>203</v>
      </c>
      <c r="E117" s="3">
        <v>1E-3</v>
      </c>
    </row>
    <row r="118" spans="2:5" x14ac:dyDescent="0.25">
      <c r="B118" s="33">
        <v>1</v>
      </c>
      <c r="C118" s="3" t="s">
        <v>3</v>
      </c>
      <c r="D118" s="3" t="s">
        <v>180</v>
      </c>
      <c r="E118" s="3">
        <v>1E-3</v>
      </c>
    </row>
    <row r="119" spans="2:5" x14ac:dyDescent="0.25">
      <c r="B119" s="33">
        <v>1</v>
      </c>
      <c r="C119" s="3" t="s">
        <v>3</v>
      </c>
      <c r="D119" s="3" t="s">
        <v>173</v>
      </c>
      <c r="E119" s="3">
        <v>1E-3</v>
      </c>
    </row>
    <row r="120" spans="2:5" x14ac:dyDescent="0.25">
      <c r="B120" s="33">
        <v>1</v>
      </c>
      <c r="C120" s="3" t="s">
        <v>3</v>
      </c>
      <c r="D120" s="3" t="s">
        <v>207</v>
      </c>
      <c r="E120" s="3">
        <v>2E-3</v>
      </c>
    </row>
    <row r="121" spans="2:5" x14ac:dyDescent="0.25">
      <c r="B121" s="33">
        <v>1</v>
      </c>
      <c r="C121" s="3" t="s">
        <v>3</v>
      </c>
      <c r="D121" s="3" t="s">
        <v>226</v>
      </c>
      <c r="E121" s="3">
        <v>1E-3</v>
      </c>
    </row>
    <row r="122" spans="2:5" x14ac:dyDescent="0.25">
      <c r="B122" s="33">
        <v>1</v>
      </c>
      <c r="C122" s="3" t="s">
        <v>3</v>
      </c>
      <c r="D122" s="3" t="s">
        <v>138</v>
      </c>
      <c r="E122" s="3">
        <v>10.307</v>
      </c>
    </row>
    <row r="123" spans="2:5" x14ac:dyDescent="0.25">
      <c r="B123" s="33">
        <v>1</v>
      </c>
      <c r="C123" s="3" t="s">
        <v>3</v>
      </c>
      <c r="D123" s="3" t="s">
        <v>186</v>
      </c>
      <c r="E123" s="3">
        <v>4.3689999999999998</v>
      </c>
    </row>
    <row r="124" spans="2:5" x14ac:dyDescent="0.25">
      <c r="B124" s="33">
        <v>1</v>
      </c>
      <c r="C124" s="3" t="s">
        <v>3</v>
      </c>
      <c r="D124" s="3" t="s">
        <v>188</v>
      </c>
      <c r="E124" s="3">
        <v>5.2809999999999997</v>
      </c>
    </row>
    <row r="125" spans="2:5" x14ac:dyDescent="0.25">
      <c r="B125" s="33">
        <v>1</v>
      </c>
      <c r="C125" s="3" t="s">
        <v>3</v>
      </c>
      <c r="D125" s="3" t="s">
        <v>157</v>
      </c>
      <c r="E125" s="3">
        <v>6.6120000000000001</v>
      </c>
    </row>
    <row r="126" spans="2:5" x14ac:dyDescent="0.25">
      <c r="B126" s="33">
        <v>1</v>
      </c>
      <c r="C126" s="3" t="s">
        <v>3</v>
      </c>
      <c r="D126" s="3" t="s">
        <v>208</v>
      </c>
      <c r="E126" s="3">
        <v>5.6210000000000004</v>
      </c>
    </row>
    <row r="127" spans="2:5" x14ac:dyDescent="0.25">
      <c r="B127" s="33">
        <v>1</v>
      </c>
      <c r="C127" s="3" t="s">
        <v>3</v>
      </c>
      <c r="D127" s="3" t="s">
        <v>191</v>
      </c>
      <c r="E127" s="3">
        <v>6.4649999999999999</v>
      </c>
    </row>
    <row r="128" spans="2:5" x14ac:dyDescent="0.25">
      <c r="B128" s="33">
        <v>1</v>
      </c>
      <c r="C128" s="3" t="s">
        <v>3</v>
      </c>
      <c r="D128" s="3" t="s">
        <v>79</v>
      </c>
      <c r="E128" s="3">
        <v>16.257999999999999</v>
      </c>
    </row>
    <row r="129" spans="2:5" x14ac:dyDescent="0.25">
      <c r="B129" s="33">
        <v>1</v>
      </c>
      <c r="C129" s="3" t="s">
        <v>3</v>
      </c>
      <c r="D129" s="3" t="s">
        <v>100</v>
      </c>
      <c r="E129" s="3">
        <v>8.673</v>
      </c>
    </row>
    <row r="130" spans="2:5" x14ac:dyDescent="0.25">
      <c r="B130" s="33">
        <v>1</v>
      </c>
      <c r="C130" s="3" t="s">
        <v>3</v>
      </c>
      <c r="D130" s="3" t="s">
        <v>84</v>
      </c>
      <c r="E130" s="3">
        <v>14.273</v>
      </c>
    </row>
    <row r="131" spans="2:5" x14ac:dyDescent="0.25">
      <c r="B131" s="33">
        <v>1</v>
      </c>
      <c r="C131" s="3" t="s">
        <v>3</v>
      </c>
      <c r="D131" s="3" t="s">
        <v>119</v>
      </c>
      <c r="E131" s="3">
        <v>10.109</v>
      </c>
    </row>
    <row r="132" spans="2:5" x14ac:dyDescent="0.25">
      <c r="B132" s="33">
        <v>1</v>
      </c>
      <c r="C132" s="3" t="s">
        <v>3</v>
      </c>
      <c r="D132" s="3" t="s">
        <v>195</v>
      </c>
      <c r="E132" s="3">
        <v>3.1320000000000001</v>
      </c>
    </row>
    <row r="133" spans="2:5" x14ac:dyDescent="0.25">
      <c r="B133" s="33">
        <v>1</v>
      </c>
      <c r="C133" s="3" t="s">
        <v>72</v>
      </c>
      <c r="D133" s="3" t="s">
        <v>73</v>
      </c>
      <c r="E133" s="3">
        <v>8.98</v>
      </c>
    </row>
    <row r="134" spans="2:5" x14ac:dyDescent="0.25">
      <c r="B134" s="33">
        <v>1</v>
      </c>
      <c r="C134" s="3" t="s">
        <v>72</v>
      </c>
      <c r="D134" s="3" t="s">
        <v>76</v>
      </c>
      <c r="E134" s="3">
        <v>8.8699999999999992</v>
      </c>
    </row>
    <row r="135" spans="2:5" x14ac:dyDescent="0.25">
      <c r="B135" s="33">
        <v>1</v>
      </c>
      <c r="C135" s="3" t="s">
        <v>72</v>
      </c>
      <c r="D135" s="3" t="s">
        <v>81</v>
      </c>
      <c r="E135" s="3">
        <v>11.5</v>
      </c>
    </row>
    <row r="136" spans="2:5" x14ac:dyDescent="0.25">
      <c r="B136" s="33">
        <v>1</v>
      </c>
      <c r="C136" s="3" t="s">
        <v>72</v>
      </c>
      <c r="D136" s="3" t="s">
        <v>209</v>
      </c>
      <c r="E136" s="3">
        <v>2.0299999999999998</v>
      </c>
    </row>
    <row r="137" spans="2:5" x14ac:dyDescent="0.25">
      <c r="B137" s="33">
        <v>1</v>
      </c>
      <c r="C137" s="3" t="s">
        <v>72</v>
      </c>
      <c r="D137" s="3" t="s">
        <v>125</v>
      </c>
      <c r="E137" s="3">
        <v>17.29</v>
      </c>
    </row>
    <row r="138" spans="2:5" x14ac:dyDescent="0.25">
      <c r="B138" s="33">
        <v>1</v>
      </c>
      <c r="C138" s="3" t="s">
        <v>72</v>
      </c>
      <c r="D138" s="3" t="s">
        <v>149</v>
      </c>
      <c r="E138" s="3">
        <v>9.5820000000000007</v>
      </c>
    </row>
    <row r="139" spans="2:5" x14ac:dyDescent="0.25">
      <c r="B139" s="33">
        <v>1</v>
      </c>
      <c r="C139" s="3" t="s">
        <v>72</v>
      </c>
      <c r="D139" s="3" t="s">
        <v>163</v>
      </c>
      <c r="E139" s="3">
        <v>9.4179999999999993</v>
      </c>
    </row>
    <row r="140" spans="2:5" x14ac:dyDescent="0.25">
      <c r="B140" s="33">
        <v>1</v>
      </c>
      <c r="C140" s="3" t="s">
        <v>72</v>
      </c>
      <c r="D140" s="3" t="s">
        <v>187</v>
      </c>
      <c r="E140" s="3">
        <v>5.21</v>
      </c>
    </row>
    <row r="141" spans="2:5" x14ac:dyDescent="0.25">
      <c r="B141" s="33">
        <v>1</v>
      </c>
      <c r="C141" s="3" t="s">
        <v>72</v>
      </c>
      <c r="D141" s="3" t="s">
        <v>240</v>
      </c>
      <c r="E141" s="3">
        <v>3.2</v>
      </c>
    </row>
    <row r="142" spans="2:5" x14ac:dyDescent="0.25">
      <c r="B142" s="33">
        <v>1</v>
      </c>
      <c r="C142" s="3" t="s">
        <v>69</v>
      </c>
      <c r="D142" s="3" t="s">
        <v>241</v>
      </c>
      <c r="E142" s="3">
        <v>0.246</v>
      </c>
    </row>
    <row r="143" spans="2:5" x14ac:dyDescent="0.25">
      <c r="B143" s="33">
        <v>1</v>
      </c>
      <c r="C143" s="3" t="s">
        <v>69</v>
      </c>
      <c r="D143" s="3" t="s">
        <v>197</v>
      </c>
      <c r="E143" s="3">
        <v>0.84599999999999997</v>
      </c>
    </row>
    <row r="144" spans="2:5" x14ac:dyDescent="0.25">
      <c r="B144" s="33">
        <v>1</v>
      </c>
      <c r="C144" s="3" t="s">
        <v>69</v>
      </c>
      <c r="D144" s="3" t="s">
        <v>154</v>
      </c>
      <c r="E144" s="3">
        <v>2.008</v>
      </c>
    </row>
    <row r="145" spans="2:5" x14ac:dyDescent="0.25">
      <c r="B145" s="33">
        <v>1</v>
      </c>
      <c r="C145" s="3" t="s">
        <v>69</v>
      </c>
      <c r="D145" s="3" t="s">
        <v>231</v>
      </c>
      <c r="E145" s="3">
        <v>0.89500000000000002</v>
      </c>
    </row>
    <row r="146" spans="2:5" x14ac:dyDescent="0.25">
      <c r="B146" s="33">
        <v>1</v>
      </c>
      <c r="C146" s="3" t="s">
        <v>69</v>
      </c>
      <c r="D146" s="3" t="s">
        <v>218</v>
      </c>
      <c r="E146" s="3">
        <v>1.6479999999999999</v>
      </c>
    </row>
    <row r="147" spans="2:5" x14ac:dyDescent="0.25">
      <c r="B147" s="33">
        <v>1</v>
      </c>
      <c r="C147" s="3" t="s">
        <v>69</v>
      </c>
      <c r="D147" s="3" t="s">
        <v>148</v>
      </c>
      <c r="E147" s="3">
        <v>4.431</v>
      </c>
    </row>
    <row r="148" spans="2:5" x14ac:dyDescent="0.25">
      <c r="B148" s="33">
        <v>1</v>
      </c>
      <c r="C148" s="3" t="s">
        <v>69</v>
      </c>
      <c r="D148" s="3" t="s">
        <v>206</v>
      </c>
      <c r="E148" s="3">
        <v>1.508</v>
      </c>
    </row>
    <row r="149" spans="2:5" x14ac:dyDescent="0.25">
      <c r="B149" s="33">
        <v>1</v>
      </c>
      <c r="C149" s="3" t="s">
        <v>69</v>
      </c>
      <c r="D149" s="3" t="s">
        <v>128</v>
      </c>
      <c r="E149" s="3">
        <v>6.3540000000000001</v>
      </c>
    </row>
    <row r="150" spans="2:5" x14ac:dyDescent="0.25">
      <c r="B150" s="33">
        <v>1</v>
      </c>
      <c r="C150" s="3" t="s">
        <v>69</v>
      </c>
      <c r="D150" s="3" t="s">
        <v>199</v>
      </c>
      <c r="E150" s="3">
        <v>3.3969999999999998</v>
      </c>
    </row>
    <row r="151" spans="2:5" x14ac:dyDescent="0.25">
      <c r="B151" s="33">
        <v>1</v>
      </c>
      <c r="C151" s="3" t="s">
        <v>69</v>
      </c>
      <c r="D151" s="3" t="s">
        <v>86</v>
      </c>
      <c r="E151" s="3">
        <v>6.4359999999999999</v>
      </c>
    </row>
    <row r="152" spans="2:5" x14ac:dyDescent="0.25">
      <c r="B152" s="33">
        <v>1</v>
      </c>
      <c r="C152" s="3" t="s">
        <v>69</v>
      </c>
      <c r="D152" s="3" t="s">
        <v>113</v>
      </c>
      <c r="E152" s="3">
        <v>4.6500000000000004</v>
      </c>
    </row>
    <row r="153" spans="2:5" x14ac:dyDescent="0.25">
      <c r="B153" s="33">
        <v>1</v>
      </c>
      <c r="C153" s="3" t="s">
        <v>69</v>
      </c>
      <c r="D153" s="3" t="s">
        <v>70</v>
      </c>
      <c r="E153" s="3">
        <v>2.7</v>
      </c>
    </row>
    <row r="154" spans="2:5" x14ac:dyDescent="0.25">
      <c r="B154" s="33">
        <v>1</v>
      </c>
      <c r="C154" s="3" t="s">
        <v>69</v>
      </c>
      <c r="D154" s="3" t="s">
        <v>140</v>
      </c>
      <c r="E154" s="3">
        <v>1.77</v>
      </c>
    </row>
    <row r="155" spans="2:5" x14ac:dyDescent="0.25">
      <c r="B155" s="33">
        <v>1</v>
      </c>
      <c r="C155" s="3" t="s">
        <v>69</v>
      </c>
      <c r="D155" s="3" t="s">
        <v>183</v>
      </c>
      <c r="E155" s="3">
        <v>2.95</v>
      </c>
    </row>
    <row r="156" spans="2:5" x14ac:dyDescent="0.25">
      <c r="B156" s="33">
        <v>1</v>
      </c>
      <c r="C156" s="3" t="s">
        <v>69</v>
      </c>
      <c r="D156" s="3" t="s">
        <v>233</v>
      </c>
      <c r="E156" s="3">
        <v>0.35</v>
      </c>
    </row>
    <row r="157" spans="2:5" x14ac:dyDescent="0.25">
      <c r="B157" s="33">
        <v>1</v>
      </c>
      <c r="C157" s="3" t="s">
        <v>69</v>
      </c>
      <c r="D157" s="3" t="s">
        <v>233</v>
      </c>
      <c r="E157" s="3">
        <v>0.4</v>
      </c>
    </row>
    <row r="158" spans="2:5" x14ac:dyDescent="0.25">
      <c r="B158" s="33">
        <v>1</v>
      </c>
      <c r="C158" s="3" t="s">
        <v>69</v>
      </c>
      <c r="D158" s="3" t="s">
        <v>230</v>
      </c>
      <c r="E158" s="3">
        <v>0.4</v>
      </c>
    </row>
    <row r="159" spans="2:5" x14ac:dyDescent="0.25">
      <c r="B159" s="33">
        <v>1</v>
      </c>
      <c r="C159" s="3" t="s">
        <v>69</v>
      </c>
      <c r="D159" s="3" t="s">
        <v>132</v>
      </c>
      <c r="E159" s="3">
        <v>1.65</v>
      </c>
    </row>
    <row r="160" spans="2:5" x14ac:dyDescent="0.25">
      <c r="B160" s="33">
        <v>1</v>
      </c>
      <c r="C160" s="3" t="s">
        <v>69</v>
      </c>
      <c r="D160" s="3" t="s">
        <v>184</v>
      </c>
      <c r="E160" s="3">
        <v>1.07</v>
      </c>
    </row>
    <row r="161" spans="2:5" x14ac:dyDescent="0.25">
      <c r="B161" s="33">
        <v>1</v>
      </c>
      <c r="C161" s="3" t="s">
        <v>69</v>
      </c>
      <c r="D161" s="3" t="s">
        <v>215</v>
      </c>
      <c r="E161" s="3">
        <v>1.26</v>
      </c>
    </row>
    <row r="162" spans="2:5" x14ac:dyDescent="0.25">
      <c r="B162" s="33">
        <v>1</v>
      </c>
      <c r="C162" s="3" t="s">
        <v>69</v>
      </c>
      <c r="D162" s="3" t="s">
        <v>223</v>
      </c>
      <c r="E162" s="3">
        <v>1.05</v>
      </c>
    </row>
    <row r="163" spans="2:5" x14ac:dyDescent="0.25">
      <c r="B163" s="33">
        <v>1</v>
      </c>
      <c r="C163" s="3" t="s">
        <v>69</v>
      </c>
      <c r="D163" s="3" t="s">
        <v>234</v>
      </c>
      <c r="E163" s="3">
        <v>6.8</v>
      </c>
    </row>
    <row r="164" spans="2:5" x14ac:dyDescent="0.25">
      <c r="B164" s="33">
        <v>1</v>
      </c>
      <c r="C164" s="3" t="s">
        <v>69</v>
      </c>
      <c r="D164" s="3" t="s">
        <v>190</v>
      </c>
      <c r="E164" s="3">
        <v>2.1</v>
      </c>
    </row>
    <row r="165" spans="2:5" x14ac:dyDescent="0.25">
      <c r="B165" s="33">
        <v>1</v>
      </c>
      <c r="C165" s="3" t="s">
        <v>69</v>
      </c>
      <c r="D165" s="3" t="s">
        <v>159</v>
      </c>
      <c r="E165" s="3">
        <v>2.5</v>
      </c>
    </row>
    <row r="166" spans="2:5" x14ac:dyDescent="0.25">
      <c r="B166" s="33">
        <v>1</v>
      </c>
      <c r="C166" s="3" t="s">
        <v>69</v>
      </c>
      <c r="D166" s="3" t="s">
        <v>124</v>
      </c>
      <c r="E166" s="3">
        <v>2.6</v>
      </c>
    </row>
    <row r="167" spans="2:5" x14ac:dyDescent="0.25">
      <c r="B167" s="33">
        <v>1</v>
      </c>
      <c r="C167" s="3" t="s">
        <v>69</v>
      </c>
      <c r="D167" s="3" t="s">
        <v>181</v>
      </c>
      <c r="E167" s="3">
        <v>1.65</v>
      </c>
    </row>
    <row r="168" spans="2:5" x14ac:dyDescent="0.25">
      <c r="B168" s="33">
        <v>1</v>
      </c>
      <c r="C168" s="3" t="s">
        <v>69</v>
      </c>
      <c r="D168" s="3" t="s">
        <v>220</v>
      </c>
      <c r="E168" s="3">
        <v>0.65</v>
      </c>
    </row>
    <row r="169" spans="2:5" x14ac:dyDescent="0.25">
      <c r="B169" s="33">
        <v>1</v>
      </c>
      <c r="C169" s="3" t="s">
        <v>69</v>
      </c>
      <c r="D169" s="3" t="s">
        <v>244</v>
      </c>
      <c r="E169" s="3">
        <v>0.45</v>
      </c>
    </row>
    <row r="170" spans="2:5" x14ac:dyDescent="0.25">
      <c r="B170" s="33">
        <v>1</v>
      </c>
      <c r="C170" s="3" t="s">
        <v>69</v>
      </c>
      <c r="D170" s="3" t="s">
        <v>228</v>
      </c>
      <c r="E170" s="3">
        <v>1.75</v>
      </c>
    </row>
    <row r="171" spans="2:5" x14ac:dyDescent="0.25">
      <c r="B171" s="33">
        <v>1</v>
      </c>
      <c r="C171" s="3" t="s">
        <v>69</v>
      </c>
      <c r="D171" s="3" t="s">
        <v>243</v>
      </c>
      <c r="E171" s="3">
        <v>0.63</v>
      </c>
    </row>
    <row r="172" spans="2:5" x14ac:dyDescent="0.25">
      <c r="B172" s="33">
        <v>1</v>
      </c>
      <c r="C172" s="3" t="s">
        <v>69</v>
      </c>
      <c r="D172" s="3" t="s">
        <v>246</v>
      </c>
      <c r="E172" s="3">
        <v>0.1</v>
      </c>
    </row>
    <row r="173" spans="2:5" x14ac:dyDescent="0.25">
      <c r="B173" s="33">
        <v>1</v>
      </c>
      <c r="C173" s="3" t="s">
        <v>69</v>
      </c>
      <c r="D173" s="3" t="s">
        <v>237</v>
      </c>
      <c r="E173" s="3">
        <v>0.65</v>
      </c>
    </row>
    <row r="174" spans="2:5" x14ac:dyDescent="0.25">
      <c r="B174" s="33">
        <v>1</v>
      </c>
      <c r="C174" s="3" t="s">
        <v>69</v>
      </c>
      <c r="D174" s="3" t="s">
        <v>236</v>
      </c>
      <c r="E174" s="3">
        <v>0.65</v>
      </c>
    </row>
    <row r="175" spans="2:5" x14ac:dyDescent="0.25">
      <c r="B175" s="33">
        <v>1</v>
      </c>
      <c r="C175" s="3" t="s">
        <v>4</v>
      </c>
      <c r="D175" s="3" t="s">
        <v>106</v>
      </c>
      <c r="E175" s="3">
        <v>19.728999999999999</v>
      </c>
    </row>
    <row r="176" spans="2:5" x14ac:dyDescent="0.25">
      <c r="B176" s="33">
        <v>1</v>
      </c>
      <c r="C176" s="3" t="s">
        <v>4</v>
      </c>
      <c r="D176" s="3" t="s">
        <v>275</v>
      </c>
      <c r="E176" s="3">
        <v>18.696000000000002</v>
      </c>
    </row>
    <row r="177" spans="2:5" x14ac:dyDescent="0.25">
      <c r="B177" s="33">
        <v>1</v>
      </c>
      <c r="C177" s="3" t="s">
        <v>4</v>
      </c>
      <c r="D177" s="3" t="s">
        <v>276</v>
      </c>
      <c r="E177" s="3">
        <v>5.4530000000000003</v>
      </c>
    </row>
    <row r="178" spans="2:5" x14ac:dyDescent="0.25">
      <c r="B178" s="33">
        <v>1</v>
      </c>
      <c r="C178" s="3" t="s">
        <v>4</v>
      </c>
      <c r="D178" s="3" t="s">
        <v>277</v>
      </c>
      <c r="E178" s="3">
        <v>15.247</v>
      </c>
    </row>
    <row r="179" spans="2:5" x14ac:dyDescent="0.25">
      <c r="B179" s="33">
        <v>1</v>
      </c>
      <c r="C179" s="3" t="s">
        <v>4</v>
      </c>
      <c r="D179" s="3" t="s">
        <v>170</v>
      </c>
      <c r="E179" s="3">
        <v>15.975</v>
      </c>
    </row>
    <row r="180" spans="2:5" x14ac:dyDescent="0.25">
      <c r="B180" s="33">
        <v>1</v>
      </c>
      <c r="C180" s="3" t="s">
        <v>2</v>
      </c>
      <c r="D180" s="3" t="s">
        <v>96</v>
      </c>
      <c r="E180" s="3">
        <v>30</v>
      </c>
    </row>
    <row r="181" spans="2:5" x14ac:dyDescent="0.25">
      <c r="B181" s="33">
        <v>1</v>
      </c>
      <c r="C181" s="3" t="s">
        <v>2</v>
      </c>
      <c r="D181" s="3" t="s">
        <v>172</v>
      </c>
      <c r="E181" s="3">
        <v>12</v>
      </c>
    </row>
    <row r="182" spans="2:5" x14ac:dyDescent="0.25">
      <c r="B182" s="33">
        <v>1</v>
      </c>
      <c r="C182" s="3" t="s">
        <v>2</v>
      </c>
      <c r="D182" s="3" t="s">
        <v>102</v>
      </c>
      <c r="E182" s="3">
        <v>20.45</v>
      </c>
    </row>
    <row r="183" spans="2:5" x14ac:dyDescent="0.25">
      <c r="B183" s="33">
        <v>1</v>
      </c>
      <c r="C183" s="3" t="s">
        <v>2</v>
      </c>
      <c r="D183" s="3" t="s">
        <v>198</v>
      </c>
      <c r="E183" s="3">
        <v>5.25</v>
      </c>
    </row>
    <row r="184" spans="2:5" x14ac:dyDescent="0.25">
      <c r="B184" s="33">
        <v>1</v>
      </c>
      <c r="C184" s="3" t="s">
        <v>2</v>
      </c>
      <c r="D184" s="3" t="s">
        <v>232</v>
      </c>
      <c r="E184" s="3">
        <v>2.8</v>
      </c>
    </row>
    <row r="185" spans="2:5" x14ac:dyDescent="0.25">
      <c r="B185" s="33">
        <v>1</v>
      </c>
      <c r="C185" s="3" t="s">
        <v>2</v>
      </c>
      <c r="D185" s="3" t="s">
        <v>118</v>
      </c>
      <c r="E185" s="3">
        <v>3.75</v>
      </c>
    </row>
    <row r="186" spans="2:5" x14ac:dyDescent="0.25">
      <c r="B186" s="33">
        <v>1</v>
      </c>
      <c r="C186" s="3" t="s">
        <v>2</v>
      </c>
      <c r="D186" s="3" t="s">
        <v>185</v>
      </c>
      <c r="E186" s="3">
        <v>5.65</v>
      </c>
    </row>
    <row r="187" spans="2:5" x14ac:dyDescent="0.25">
      <c r="B187" s="33">
        <v>1</v>
      </c>
      <c r="C187" s="3" t="s">
        <v>2</v>
      </c>
      <c r="D187" s="3" t="s">
        <v>242</v>
      </c>
      <c r="E187" s="3">
        <v>1.0900000000000001</v>
      </c>
    </row>
    <row r="188" spans="2:5" x14ac:dyDescent="0.25">
      <c r="B188" s="33">
        <v>1</v>
      </c>
      <c r="C188" s="3" t="s">
        <v>126</v>
      </c>
      <c r="D188" s="3" t="s">
        <v>171</v>
      </c>
      <c r="E188" s="3">
        <v>10.725</v>
      </c>
    </row>
    <row r="189" spans="2:5" x14ac:dyDescent="0.25">
      <c r="B189" s="33">
        <v>1</v>
      </c>
      <c r="C189" s="3" t="s">
        <v>126</v>
      </c>
      <c r="D189" s="3" t="s">
        <v>127</v>
      </c>
      <c r="E189" s="3">
        <v>19.375</v>
      </c>
    </row>
    <row r="190" spans="2:5" x14ac:dyDescent="0.25">
      <c r="B190" s="33">
        <v>1</v>
      </c>
      <c r="C190" s="3" t="s">
        <v>126</v>
      </c>
      <c r="D190" s="3" t="s">
        <v>147</v>
      </c>
      <c r="E190" s="3">
        <v>10.9</v>
      </c>
    </row>
    <row r="191" spans="2:5" x14ac:dyDescent="0.25">
      <c r="B191" s="33">
        <v>1</v>
      </c>
      <c r="C191" s="3" t="s">
        <v>126</v>
      </c>
      <c r="D191" s="3" t="s">
        <v>169</v>
      </c>
      <c r="E191" s="3">
        <v>12.4</v>
      </c>
    </row>
    <row r="192" spans="2:5" x14ac:dyDescent="0.25">
      <c r="B192" s="33">
        <v>1</v>
      </c>
      <c r="C192" s="3" t="s">
        <v>126</v>
      </c>
      <c r="D192" s="3" t="s">
        <v>131</v>
      </c>
      <c r="E192" s="3">
        <v>25.48</v>
      </c>
    </row>
  </sheetData>
  <mergeCells count="1">
    <mergeCell ref="A1:AA3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2DB15-FB67-4239-8BB6-7DA5803E2766}">
  <sheetPr codeName="Sheet13">
    <tabColor theme="8" tint="0.79998168889431442"/>
  </sheetPr>
  <dimension ref="A1:AO8"/>
  <sheetViews>
    <sheetView showGridLines="0" zoomScale="120" zoomScaleNormal="120" workbookViewId="0">
      <selection activeCell="G6" sqref="G6:J8"/>
    </sheetView>
  </sheetViews>
  <sheetFormatPr defaultRowHeight="15" x14ac:dyDescent="0.25"/>
  <cols>
    <col min="3" max="3" width="12.140625" bestFit="1" customWidth="1"/>
    <col min="4" max="4" width="12.5703125" hidden="1" customWidth="1"/>
    <col min="5" max="5" width="13.85546875" hidden="1" customWidth="1"/>
    <col min="6" max="6" width="10.5703125" customWidth="1"/>
    <col min="7" max="7" width="7.85546875" bestFit="1" customWidth="1"/>
    <col min="8" max="8" width="8.140625" hidden="1" customWidth="1"/>
    <col min="9" max="9" width="9.140625" hidden="1" customWidth="1"/>
    <col min="10" max="10" width="5.85546875" bestFit="1" customWidth="1"/>
    <col min="11" max="11" width="12" bestFit="1" customWidth="1"/>
    <col min="12" max="12" width="4.140625" bestFit="1" customWidth="1"/>
    <col min="13" max="13" width="8.42578125" bestFit="1" customWidth="1"/>
    <col min="14" max="14" width="5.85546875" bestFit="1" customWidth="1"/>
    <col min="15" max="16" width="6.85546875" bestFit="1" customWidth="1"/>
    <col min="17" max="18" width="8.42578125" bestFit="1" customWidth="1"/>
    <col min="19" max="19" width="11.85546875" customWidth="1"/>
    <col min="20" max="20" width="13.42578125" customWidth="1"/>
    <col min="21" max="21" width="14.140625" customWidth="1"/>
    <col min="25" max="25" width="15.28515625" customWidth="1"/>
    <col min="26" max="26" width="13.5703125" customWidth="1"/>
    <col min="27" max="27" width="12.42578125" customWidth="1"/>
  </cols>
  <sheetData>
    <row r="1" spans="1:41" x14ac:dyDescent="0.25">
      <c r="A1" s="57" t="s">
        <v>57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</row>
    <row r="2" spans="1:4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</row>
    <row r="3" spans="1:4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</row>
    <row r="5" spans="1:41" x14ac:dyDescent="0.25">
      <c r="B5" s="4" t="s">
        <v>61</v>
      </c>
      <c r="C5" s="4" t="s">
        <v>47</v>
      </c>
      <c r="D5" s="4" t="s">
        <v>327</v>
      </c>
      <c r="E5" s="4" t="s">
        <v>328</v>
      </c>
      <c r="F5" s="4" t="s">
        <v>48</v>
      </c>
      <c r="G5" s="4" t="s">
        <v>40</v>
      </c>
      <c r="H5" s="4" t="s">
        <v>15</v>
      </c>
      <c r="I5" s="4" t="s">
        <v>16</v>
      </c>
      <c r="J5" s="4" t="s">
        <v>41</v>
      </c>
    </row>
    <row r="6" spans="1:41" x14ac:dyDescent="0.25">
      <c r="B6">
        <v>0</v>
      </c>
      <c r="C6" s="42">
        <v>0.29166666666666669</v>
      </c>
      <c r="D6" s="42">
        <v>0.39583333333333337</v>
      </c>
      <c r="E6" s="42">
        <v>0.5</v>
      </c>
      <c r="F6" s="42">
        <v>0.625</v>
      </c>
      <c r="G6" s="43">
        <f>(tb_turnos[[#This Row],[Hora Inicio]]-TIME(hora_inicio,0,0))*24*60</f>
        <v>0</v>
      </c>
      <c r="H6" s="43"/>
      <c r="I6" s="43"/>
      <c r="J6" s="43">
        <f>(tb_turnos[[#This Row],[Hora Fim]]-TIME(hora_inicio,0,0))*24*60</f>
        <v>480</v>
      </c>
    </row>
    <row r="7" spans="1:41" ht="13.5" customHeight="1" x14ac:dyDescent="0.25">
      <c r="B7">
        <v>1</v>
      </c>
      <c r="C7" s="42">
        <v>0.625</v>
      </c>
      <c r="D7" s="42">
        <v>0.72916666666666674</v>
      </c>
      <c r="E7" s="42">
        <v>0.83333333333333326</v>
      </c>
      <c r="F7" s="42">
        <v>0.95833333333333326</v>
      </c>
      <c r="G7" s="43">
        <f>(tb_turnos[[#This Row],[Hora Inicio]]-TIME(hora_inicio,0,0))*24*60</f>
        <v>480</v>
      </c>
      <c r="H7" s="43"/>
      <c r="I7" s="43"/>
      <c r="J7" s="43">
        <f>(tb_turnos[[#This Row],[Hora Fim]]-TIME(hora_inicio,0,0))*24*60</f>
        <v>959.99999999999977</v>
      </c>
    </row>
    <row r="8" spans="1:41" x14ac:dyDescent="0.25">
      <c r="B8">
        <v>2</v>
      </c>
      <c r="C8" s="42">
        <v>0.95833333333333326</v>
      </c>
      <c r="D8" s="42">
        <v>1.0625</v>
      </c>
      <c r="E8" s="42">
        <v>1.1666666666666667</v>
      </c>
      <c r="F8" s="42">
        <v>1.2916666666666667</v>
      </c>
      <c r="G8" s="43">
        <f>(tb_turnos[[#This Row],[Hora Inicio]]-TIME(hora_inicio,0,0))*24*60</f>
        <v>959.99999999999977</v>
      </c>
      <c r="H8" s="43"/>
      <c r="I8" s="43"/>
      <c r="J8" s="43">
        <f>(tb_turnos[[#This Row],[Hora Fim]]-TIME(hora_inicio,0,0))*24*60</f>
        <v>1440</v>
      </c>
    </row>
  </sheetData>
  <mergeCells count="1">
    <mergeCell ref="A1:AO3"/>
  </mergeCell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B2447-46A4-4923-9A0B-DFECCA8A66E4}">
  <sheetPr codeName="Sheet20">
    <tabColor theme="8" tint="0.79998168889431442"/>
  </sheetPr>
  <dimension ref="A1:AP11"/>
  <sheetViews>
    <sheetView showGridLines="0" zoomScaleNormal="100" workbookViewId="0">
      <selection activeCell="G18" sqref="G18"/>
    </sheetView>
  </sheetViews>
  <sheetFormatPr defaultRowHeight="15" x14ac:dyDescent="0.25"/>
  <cols>
    <col min="3" max="3" width="11.42578125" bestFit="1" customWidth="1"/>
    <col min="4" max="4" width="15.7109375" bestFit="1" customWidth="1"/>
    <col min="5" max="5" width="14.28515625" bestFit="1" customWidth="1"/>
    <col min="6" max="6" width="12.7109375" customWidth="1"/>
    <col min="7" max="7" width="11.42578125" customWidth="1"/>
    <col min="8" max="8" width="22.140625" bestFit="1" customWidth="1"/>
    <col min="9" max="9" width="22.140625" customWidth="1"/>
    <col min="10" max="10" width="27.28515625" bestFit="1" customWidth="1"/>
    <col min="11" max="11" width="11.42578125" bestFit="1" customWidth="1"/>
    <col min="12" max="12" width="12" bestFit="1" customWidth="1"/>
    <col min="13" max="13" width="4.140625" bestFit="1" customWidth="1"/>
    <col min="14" max="14" width="8.42578125" bestFit="1" customWidth="1"/>
    <col min="15" max="15" width="5.85546875" bestFit="1" customWidth="1"/>
    <col min="16" max="17" width="6.85546875" bestFit="1" customWidth="1"/>
    <col min="18" max="19" width="8.42578125" bestFit="1" customWidth="1"/>
    <col min="20" max="20" width="11.85546875" customWidth="1"/>
    <col min="21" max="21" width="13.42578125" customWidth="1"/>
    <col min="22" max="22" width="14.140625" customWidth="1"/>
    <col min="26" max="26" width="15.28515625" customWidth="1"/>
    <col min="27" max="27" width="13.5703125" customWidth="1"/>
    <col min="28" max="28" width="12.42578125" customWidth="1"/>
  </cols>
  <sheetData>
    <row r="1" spans="1:42" x14ac:dyDescent="0.25">
      <c r="A1" s="57" t="s">
        <v>278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</row>
    <row r="2" spans="1:42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</row>
    <row r="3" spans="1:42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</row>
    <row r="5" spans="1:42" x14ac:dyDescent="0.25">
      <c r="B5" s="32" t="s">
        <v>266</v>
      </c>
      <c r="C5" s="4" t="s">
        <v>7</v>
      </c>
      <c r="D5" s="4" t="s">
        <v>329</v>
      </c>
      <c r="E5" s="4" t="s">
        <v>330</v>
      </c>
      <c r="F5" s="4" t="s">
        <v>47</v>
      </c>
      <c r="G5" s="4" t="s">
        <v>48</v>
      </c>
      <c r="H5" s="4" t="s">
        <v>58</v>
      </c>
      <c r="I5" s="4" t="s">
        <v>59</v>
      </c>
    </row>
    <row r="6" spans="1:42" x14ac:dyDescent="0.25">
      <c r="B6" s="33">
        <v>1</v>
      </c>
      <c r="C6" t="s">
        <v>54</v>
      </c>
      <c r="D6" s="7">
        <v>0.375</v>
      </c>
      <c r="E6" s="7">
        <v>0.39583333333333337</v>
      </c>
      <c r="F6" s="43">
        <f>(tb_paragens[[#This Row],[Hora Inicio (Time)]]-TIME(hora_inicio,0,0))*24*60</f>
        <v>119.99999999999997</v>
      </c>
      <c r="G6" s="43">
        <f>(tb_paragens[[#This Row],[Hora Fim (Time)]]-TIME(hora_inicio,0,0))*24*60</f>
        <v>150.00000000000003</v>
      </c>
    </row>
    <row r="7" spans="1:42" x14ac:dyDescent="0.25">
      <c r="B7" s="33">
        <v>1</v>
      </c>
      <c r="C7" t="s">
        <v>55</v>
      </c>
      <c r="D7" s="7">
        <v>0.54166666666666674</v>
      </c>
      <c r="E7" s="7">
        <v>0.58333333333333337</v>
      </c>
      <c r="F7" s="43">
        <f>(tb_paragens[[#This Row],[Hora Inicio (Time)]]-TIME(hora_inicio,0,0))*24*60</f>
        <v>360.00000000000011</v>
      </c>
      <c r="G7" s="43">
        <f>(tb_paragens[[#This Row],[Hora Fim (Time)]]-TIME(hora_inicio,0,0))*24*60</f>
        <v>420</v>
      </c>
    </row>
    <row r="8" spans="1:42" x14ac:dyDescent="0.25">
      <c r="B8" s="33">
        <v>1</v>
      </c>
      <c r="C8" t="s">
        <v>54</v>
      </c>
      <c r="D8" s="7">
        <v>0.70833333333333337</v>
      </c>
      <c r="E8" s="7">
        <v>0.72916666666666674</v>
      </c>
      <c r="F8" s="43">
        <f>(tb_paragens[[#This Row],[Hora Inicio (Time)]]-TIME(hora_inicio,0,0))*24*60</f>
        <v>600</v>
      </c>
      <c r="G8" s="43">
        <f>(tb_paragens[[#This Row],[Hora Fim (Time)]]-TIME(hora_inicio,0,0))*24*60</f>
        <v>630.00000000000011</v>
      </c>
    </row>
    <row r="9" spans="1:42" ht="13.5" customHeight="1" x14ac:dyDescent="0.25">
      <c r="B9" s="33">
        <v>1</v>
      </c>
      <c r="C9" t="s">
        <v>55</v>
      </c>
      <c r="D9" s="7">
        <v>0.83333333333333326</v>
      </c>
      <c r="E9" s="7">
        <v>0.875</v>
      </c>
      <c r="F9" s="43">
        <f>(tb_paragens[[#This Row],[Hora Inicio (Time)]]-TIME(hora_inicio,0,0))*24*60</f>
        <v>779.99999999999977</v>
      </c>
      <c r="G9" s="43">
        <f>(tb_paragens[[#This Row],[Hora Fim (Time)]]-TIME(hora_inicio,0,0))*24*60</f>
        <v>839.99999999999989</v>
      </c>
    </row>
    <row r="10" spans="1:42" x14ac:dyDescent="0.25">
      <c r="B10" s="33">
        <v>1</v>
      </c>
      <c r="C10" t="s">
        <v>54</v>
      </c>
      <c r="D10" s="7">
        <v>1.0416666666666667</v>
      </c>
      <c r="E10" s="7">
        <v>1.0625</v>
      </c>
      <c r="F10" s="43">
        <f>(tb_paragens[[#This Row],[Hora Inicio (Time)]]-TIME(hora_inicio,0,0))*24*60</f>
        <v>1080</v>
      </c>
      <c r="G10" s="43">
        <f>(tb_paragens[[#This Row],[Hora Fim (Time)]]-TIME(hora_inicio,0,0))*24*60</f>
        <v>1110</v>
      </c>
    </row>
    <row r="11" spans="1:42" x14ac:dyDescent="0.25">
      <c r="B11" s="33">
        <v>1</v>
      </c>
      <c r="C11" t="s">
        <v>55</v>
      </c>
      <c r="D11" s="7">
        <v>1.1666666666666667</v>
      </c>
      <c r="E11" s="7">
        <v>1.2083333333333333</v>
      </c>
      <c r="F11" s="43">
        <f>(tb_paragens[[#This Row],[Hora Inicio (Time)]]-TIME(hora_inicio,0,0))*24*60</f>
        <v>1260</v>
      </c>
      <c r="G11" s="43">
        <f>(tb_paragens[[#This Row],[Hora Fim (Time)]]-TIME(hora_inicio,0,0))*24*60</f>
        <v>1319.9999999999998</v>
      </c>
    </row>
  </sheetData>
  <mergeCells count="1">
    <mergeCell ref="A1:A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71517-FFBF-41C2-847E-B2B4A8E221FA}">
  <sheetPr codeName="Sheet19">
    <tabColor theme="8" tint="0.79998168889431442"/>
  </sheetPr>
  <dimension ref="A1:AH7"/>
  <sheetViews>
    <sheetView showGridLines="0" zoomScale="80" zoomScaleNormal="80" workbookViewId="0">
      <pane ySplit="6" topLeftCell="A7" activePane="bottomLeft" state="frozen"/>
      <selection pane="bottomLeft" activeCell="C7" sqref="C7:L7"/>
    </sheetView>
  </sheetViews>
  <sheetFormatPr defaultRowHeight="15" x14ac:dyDescent="0.25"/>
  <cols>
    <col min="3" max="3" width="14.7109375" bestFit="1" customWidth="1"/>
    <col min="4" max="4" width="14" bestFit="1" customWidth="1"/>
    <col min="5" max="5" width="16.85546875" bestFit="1" customWidth="1"/>
    <col min="6" max="6" width="24.5703125" style="2" bestFit="1" customWidth="1"/>
    <col min="7" max="7" width="11.85546875" bestFit="1" customWidth="1"/>
    <col min="9" max="9" width="10.140625" bestFit="1" customWidth="1"/>
    <col min="10" max="11" width="11.42578125" bestFit="1" customWidth="1"/>
    <col min="12" max="12" width="9.42578125" bestFit="1" customWidth="1"/>
  </cols>
  <sheetData>
    <row r="1" spans="1:34" x14ac:dyDescent="0.25">
      <c r="A1" s="57" t="s">
        <v>321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</row>
    <row r="2" spans="1:34" ht="11.25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</row>
    <row r="3" spans="1:34" ht="16.5" customHeight="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</row>
    <row r="6" spans="1:34" x14ac:dyDescent="0.25">
      <c r="B6" s="32" t="s">
        <v>266</v>
      </c>
      <c r="C6" s="4" t="s">
        <v>9</v>
      </c>
      <c r="D6" s="4" t="s">
        <v>7</v>
      </c>
      <c r="E6" s="4" t="s">
        <v>279</v>
      </c>
      <c r="F6" s="4" t="s">
        <v>58</v>
      </c>
      <c r="G6" s="4" t="s">
        <v>59</v>
      </c>
      <c r="H6" s="4" t="s">
        <v>15</v>
      </c>
      <c r="I6" s="4" t="s">
        <v>16</v>
      </c>
      <c r="J6" s="4" t="s">
        <v>17</v>
      </c>
      <c r="K6" s="4" t="s">
        <v>18</v>
      </c>
      <c r="L6" s="4" t="s">
        <v>60</v>
      </c>
    </row>
    <row r="7" spans="1:34" x14ac:dyDescent="0.25">
      <c r="B7" s="33">
        <v>1</v>
      </c>
      <c r="C7" t="s">
        <v>19</v>
      </c>
      <c r="D7" t="s">
        <v>279</v>
      </c>
      <c r="E7" t="s">
        <v>280</v>
      </c>
      <c r="F7" t="s">
        <v>29</v>
      </c>
      <c r="G7" t="s">
        <v>31</v>
      </c>
      <c r="H7">
        <v>0</v>
      </c>
      <c r="I7">
        <v>0</v>
      </c>
      <c r="J7">
        <v>10</v>
      </c>
      <c r="K7">
        <v>10</v>
      </c>
      <c r="L7">
        <v>0</v>
      </c>
    </row>
  </sheetData>
  <mergeCells count="1">
    <mergeCell ref="A1:AH3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B922A-3671-49B2-A939-7B3C323BE6E8}">
  <sheetPr codeName="Sheet2">
    <tabColor theme="8" tint="0.79998168889431442"/>
  </sheetPr>
  <dimension ref="A1:AH3900"/>
  <sheetViews>
    <sheetView showGridLines="0" zoomScale="80" zoomScaleNormal="80" workbookViewId="0">
      <pane ySplit="6" topLeftCell="A7" activePane="bottomLeft" state="frozen"/>
      <selection pane="bottomLeft" activeCell="K7" sqref="K7:M257"/>
    </sheetView>
  </sheetViews>
  <sheetFormatPr defaultRowHeight="15" x14ac:dyDescent="0.25"/>
  <cols>
    <col min="3" max="3" width="20.7109375" bestFit="1" customWidth="1"/>
    <col min="4" max="4" width="45" customWidth="1"/>
    <col min="5" max="5" width="9.5703125" customWidth="1"/>
    <col min="6" max="6" width="15.28515625" style="2" bestFit="1" customWidth="1"/>
    <col min="9" max="9" width="6.28515625" bestFit="1" customWidth="1"/>
    <col min="10" max="10" width="17.28515625" bestFit="1" customWidth="1"/>
    <col min="11" max="11" width="68.28515625" bestFit="1" customWidth="1"/>
    <col min="12" max="12" width="5.140625" bestFit="1" customWidth="1"/>
    <col min="13" max="13" width="12.42578125" bestFit="1" customWidth="1"/>
  </cols>
  <sheetData>
    <row r="1" spans="1:34" x14ac:dyDescent="0.25">
      <c r="A1" s="57" t="s">
        <v>62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</row>
    <row r="2" spans="1:34" ht="11.25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</row>
    <row r="3" spans="1:34" ht="16.5" customHeight="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</row>
    <row r="5" spans="1:34" x14ac:dyDescent="0.25">
      <c r="B5" s="58" t="s">
        <v>282</v>
      </c>
      <c r="C5" s="58"/>
      <c r="D5" s="58"/>
      <c r="E5" s="58"/>
      <c r="F5" s="58"/>
      <c r="I5" s="58" t="s">
        <v>283</v>
      </c>
      <c r="J5" s="58"/>
      <c r="K5" s="58"/>
      <c r="L5" s="58"/>
      <c r="M5" s="58"/>
    </row>
    <row r="6" spans="1:34" x14ac:dyDescent="0.25">
      <c r="B6" s="32" t="s">
        <v>266</v>
      </c>
      <c r="C6" s="4" t="s">
        <v>10</v>
      </c>
      <c r="D6" s="4" t="s">
        <v>12</v>
      </c>
      <c r="E6" s="4" t="s">
        <v>5</v>
      </c>
      <c r="F6" s="4" t="s">
        <v>63</v>
      </c>
      <c r="I6" s="32" t="s">
        <v>266</v>
      </c>
      <c r="J6" s="4" t="s">
        <v>10</v>
      </c>
      <c r="K6" s="4" t="s">
        <v>12</v>
      </c>
      <c r="L6" s="4" t="s">
        <v>5</v>
      </c>
      <c r="M6" s="4" t="s">
        <v>63</v>
      </c>
    </row>
    <row r="7" spans="1:34" x14ac:dyDescent="0.25">
      <c r="B7" s="33">
        <v>1</v>
      </c>
      <c r="C7" t="s">
        <v>64</v>
      </c>
      <c r="D7" t="s">
        <v>65</v>
      </c>
      <c r="E7">
        <v>7</v>
      </c>
      <c r="F7" s="2">
        <v>0.10410958904109589</v>
      </c>
      <c r="I7" s="33">
        <v>1</v>
      </c>
      <c r="J7" t="s">
        <v>64</v>
      </c>
      <c r="K7" t="s">
        <v>21</v>
      </c>
      <c r="L7">
        <v>0</v>
      </c>
      <c r="M7" s="34">
        <v>7.3999999999999996E-2</v>
      </c>
    </row>
    <row r="8" spans="1:34" x14ac:dyDescent="0.25">
      <c r="B8" s="33">
        <v>1</v>
      </c>
      <c r="C8" t="s">
        <v>66</v>
      </c>
      <c r="D8" t="s">
        <v>67</v>
      </c>
      <c r="E8">
        <v>7</v>
      </c>
      <c r="F8" s="2">
        <v>0.15616438356164383</v>
      </c>
      <c r="I8" s="33">
        <v>1</v>
      </c>
      <c r="K8" t="s">
        <v>21</v>
      </c>
      <c r="L8">
        <v>1</v>
      </c>
      <c r="M8" s="34">
        <v>1.9E-2</v>
      </c>
    </row>
    <row r="9" spans="1:34" x14ac:dyDescent="0.25">
      <c r="B9" s="33">
        <v>1</v>
      </c>
      <c r="C9" t="s">
        <v>64</v>
      </c>
      <c r="D9" t="s">
        <v>68</v>
      </c>
      <c r="E9">
        <v>7</v>
      </c>
      <c r="F9" s="2">
        <v>8.7671232876712329E-2</v>
      </c>
      <c r="I9" s="33">
        <v>1</v>
      </c>
      <c r="K9" t="s">
        <v>21</v>
      </c>
      <c r="L9">
        <v>2</v>
      </c>
      <c r="M9" s="34">
        <v>4.9000000000000002E-2</v>
      </c>
    </row>
    <row r="10" spans="1:34" x14ac:dyDescent="0.25">
      <c r="B10" s="33">
        <v>1</v>
      </c>
      <c r="C10" t="s">
        <v>69</v>
      </c>
      <c r="D10" t="s">
        <v>70</v>
      </c>
      <c r="E10">
        <v>7</v>
      </c>
      <c r="F10" s="2">
        <v>5.2054794520547946E-2</v>
      </c>
      <c r="I10" s="33">
        <v>1</v>
      </c>
      <c r="K10" t="s">
        <v>21</v>
      </c>
      <c r="L10">
        <v>3</v>
      </c>
      <c r="M10" s="34">
        <v>1.6E-2</v>
      </c>
    </row>
    <row r="11" spans="1:34" x14ac:dyDescent="0.25">
      <c r="B11" s="33">
        <v>1</v>
      </c>
      <c r="C11" t="s">
        <v>64</v>
      </c>
      <c r="D11" t="s">
        <v>71</v>
      </c>
      <c r="E11">
        <v>7</v>
      </c>
      <c r="F11" s="2">
        <v>8.2191780821917804E-2</v>
      </c>
      <c r="I11" s="33">
        <v>1</v>
      </c>
      <c r="K11" t="s">
        <v>21</v>
      </c>
      <c r="L11">
        <v>4</v>
      </c>
      <c r="M11" s="34">
        <v>1.9E-2</v>
      </c>
    </row>
    <row r="12" spans="1:34" x14ac:dyDescent="0.25">
      <c r="B12" s="33">
        <v>1</v>
      </c>
      <c r="C12" t="s">
        <v>72</v>
      </c>
      <c r="D12" t="s">
        <v>73</v>
      </c>
      <c r="E12">
        <v>7</v>
      </c>
      <c r="F12" s="2">
        <v>0.30684931506849317</v>
      </c>
      <c r="I12" s="33">
        <v>1</v>
      </c>
      <c r="K12" t="s">
        <v>21</v>
      </c>
      <c r="L12">
        <v>5</v>
      </c>
      <c r="M12" s="34">
        <v>5.0000000000000001E-3</v>
      </c>
    </row>
    <row r="13" spans="1:34" x14ac:dyDescent="0.25">
      <c r="B13" s="33">
        <v>1</v>
      </c>
      <c r="C13" t="s">
        <v>74</v>
      </c>
      <c r="D13" t="s">
        <v>75</v>
      </c>
      <c r="E13">
        <v>0</v>
      </c>
      <c r="F13" s="2">
        <v>7.3972602739726029E-2</v>
      </c>
      <c r="I13" s="33">
        <v>1</v>
      </c>
      <c r="K13" t="s">
        <v>21</v>
      </c>
      <c r="L13">
        <v>6</v>
      </c>
      <c r="M13" s="34">
        <v>2.5000000000000001E-2</v>
      </c>
    </row>
    <row r="14" spans="1:34" x14ac:dyDescent="0.25">
      <c r="B14" s="33">
        <v>1</v>
      </c>
      <c r="C14" t="s">
        <v>6</v>
      </c>
      <c r="D14" t="s">
        <v>30</v>
      </c>
      <c r="E14">
        <v>9</v>
      </c>
      <c r="F14" s="2">
        <v>0.26027397260273971</v>
      </c>
      <c r="I14" s="33">
        <v>1</v>
      </c>
      <c r="K14" t="s">
        <v>21</v>
      </c>
      <c r="L14">
        <v>7</v>
      </c>
      <c r="M14" s="34">
        <v>4.3999999999999997E-2</v>
      </c>
    </row>
    <row r="15" spans="1:34" x14ac:dyDescent="0.25">
      <c r="B15" s="33">
        <v>1</v>
      </c>
      <c r="C15" t="s">
        <v>72</v>
      </c>
      <c r="D15" t="s">
        <v>76</v>
      </c>
      <c r="E15">
        <v>7</v>
      </c>
      <c r="F15" s="2">
        <v>0.14246575342465753</v>
      </c>
      <c r="I15" s="33">
        <v>1</v>
      </c>
      <c r="K15" t="s">
        <v>21</v>
      </c>
      <c r="L15">
        <v>8</v>
      </c>
      <c r="M15" s="34">
        <v>7.9000000000000001E-2</v>
      </c>
    </row>
    <row r="16" spans="1:34" x14ac:dyDescent="0.25">
      <c r="B16" s="33">
        <v>1</v>
      </c>
      <c r="C16" t="s">
        <v>77</v>
      </c>
      <c r="D16" t="s">
        <v>78</v>
      </c>
      <c r="E16">
        <v>7</v>
      </c>
      <c r="F16" s="2">
        <v>5.7534246575342465E-2</v>
      </c>
      <c r="I16" s="33">
        <v>1</v>
      </c>
      <c r="K16" t="s">
        <v>21</v>
      </c>
      <c r="L16">
        <v>9</v>
      </c>
      <c r="M16" s="34">
        <v>0.19700000000000001</v>
      </c>
    </row>
    <row r="17" spans="2:13" x14ac:dyDescent="0.25">
      <c r="B17" s="33">
        <v>1</v>
      </c>
      <c r="C17" t="s">
        <v>3</v>
      </c>
      <c r="D17" t="s">
        <v>79</v>
      </c>
      <c r="E17">
        <v>7</v>
      </c>
      <c r="F17" s="2">
        <v>6.575342465753424E-2</v>
      </c>
      <c r="I17" s="33">
        <v>1</v>
      </c>
      <c r="K17" t="s">
        <v>21</v>
      </c>
      <c r="L17">
        <v>10</v>
      </c>
      <c r="M17" s="34">
        <v>0.16700000000000001</v>
      </c>
    </row>
    <row r="18" spans="2:13" x14ac:dyDescent="0.25">
      <c r="B18" s="33">
        <v>1</v>
      </c>
      <c r="C18" t="s">
        <v>66</v>
      </c>
      <c r="D18" t="s">
        <v>80</v>
      </c>
      <c r="E18">
        <v>0</v>
      </c>
      <c r="F18" s="2">
        <v>0.12328767123287671</v>
      </c>
      <c r="I18" s="33">
        <v>1</v>
      </c>
      <c r="K18" t="s">
        <v>21</v>
      </c>
      <c r="L18">
        <v>11</v>
      </c>
      <c r="M18" s="34">
        <v>0.112</v>
      </c>
    </row>
    <row r="19" spans="2:13" x14ac:dyDescent="0.25">
      <c r="B19" s="33">
        <v>1</v>
      </c>
      <c r="C19" t="s">
        <v>72</v>
      </c>
      <c r="D19" t="s">
        <v>81</v>
      </c>
      <c r="E19">
        <v>7</v>
      </c>
      <c r="F19" s="2">
        <v>0.12328767123287671</v>
      </c>
      <c r="I19" s="33">
        <v>1</v>
      </c>
      <c r="K19" t="s">
        <v>21</v>
      </c>
      <c r="L19">
        <v>12</v>
      </c>
      <c r="M19" s="34">
        <v>9.2999999999999999E-2</v>
      </c>
    </row>
    <row r="20" spans="2:13" x14ac:dyDescent="0.25">
      <c r="B20" s="33">
        <v>1</v>
      </c>
      <c r="C20" t="s">
        <v>1</v>
      </c>
      <c r="D20" t="s">
        <v>82</v>
      </c>
      <c r="E20">
        <v>7</v>
      </c>
      <c r="F20" s="2">
        <v>0.16438356164383561</v>
      </c>
      <c r="I20" s="33">
        <v>1</v>
      </c>
      <c r="K20" t="s">
        <v>21</v>
      </c>
      <c r="L20">
        <v>13</v>
      </c>
      <c r="M20" s="34">
        <v>0.11799999999999999</v>
      </c>
    </row>
    <row r="21" spans="2:13" x14ac:dyDescent="0.25">
      <c r="B21" s="33">
        <v>1</v>
      </c>
      <c r="C21" t="s">
        <v>77</v>
      </c>
      <c r="D21" t="s">
        <v>83</v>
      </c>
      <c r="E21">
        <v>7</v>
      </c>
      <c r="F21" s="2">
        <v>3.8356164383561646E-2</v>
      </c>
      <c r="I21" s="33">
        <v>1</v>
      </c>
      <c r="K21" t="s">
        <v>21</v>
      </c>
      <c r="L21">
        <v>14</v>
      </c>
      <c r="M21" s="34">
        <v>0.13400000000000001</v>
      </c>
    </row>
    <row r="22" spans="2:13" x14ac:dyDescent="0.25">
      <c r="B22" s="33">
        <v>1</v>
      </c>
      <c r="C22" t="s">
        <v>3</v>
      </c>
      <c r="D22" t="s">
        <v>84</v>
      </c>
      <c r="E22">
        <v>7</v>
      </c>
      <c r="F22" s="2">
        <v>4.3835616438356165E-2</v>
      </c>
      <c r="I22" s="33">
        <v>1</v>
      </c>
      <c r="K22" t="s">
        <v>21</v>
      </c>
      <c r="L22">
        <v>15</v>
      </c>
      <c r="M22" s="34">
        <v>0.13700000000000001</v>
      </c>
    </row>
    <row r="23" spans="2:13" x14ac:dyDescent="0.25">
      <c r="B23" s="33">
        <v>1</v>
      </c>
      <c r="C23" t="s">
        <v>3</v>
      </c>
      <c r="D23" t="s">
        <v>84</v>
      </c>
      <c r="E23">
        <v>0</v>
      </c>
      <c r="F23" s="2">
        <v>3.287671232876712E-2</v>
      </c>
      <c r="I23" s="33">
        <v>1</v>
      </c>
      <c r="K23" t="s">
        <v>21</v>
      </c>
      <c r="L23">
        <v>16</v>
      </c>
      <c r="M23" s="34">
        <v>0.14799999999999999</v>
      </c>
    </row>
    <row r="24" spans="2:13" x14ac:dyDescent="0.25">
      <c r="B24" s="33">
        <v>1</v>
      </c>
      <c r="C24" t="s">
        <v>77</v>
      </c>
      <c r="D24" t="s">
        <v>85</v>
      </c>
      <c r="E24">
        <v>7</v>
      </c>
      <c r="F24" s="2">
        <v>2.7397260273972601E-2</v>
      </c>
      <c r="I24" s="33">
        <v>1</v>
      </c>
      <c r="K24" t="s">
        <v>21</v>
      </c>
      <c r="L24">
        <v>17</v>
      </c>
      <c r="M24" s="34">
        <v>0.214</v>
      </c>
    </row>
    <row r="25" spans="2:13" x14ac:dyDescent="0.25">
      <c r="B25" s="33">
        <v>1</v>
      </c>
      <c r="C25" t="s">
        <v>69</v>
      </c>
      <c r="D25" t="s">
        <v>86</v>
      </c>
      <c r="E25">
        <v>7</v>
      </c>
      <c r="F25" s="2">
        <v>3.8356164383561646E-2</v>
      </c>
      <c r="I25" s="33">
        <v>1</v>
      </c>
      <c r="K25" t="s">
        <v>21</v>
      </c>
      <c r="L25">
        <v>18</v>
      </c>
      <c r="M25" s="34">
        <v>0.186</v>
      </c>
    </row>
    <row r="26" spans="2:13" x14ac:dyDescent="0.25">
      <c r="B26" s="33">
        <v>1</v>
      </c>
      <c r="C26" t="s">
        <v>3</v>
      </c>
      <c r="D26" t="s">
        <v>79</v>
      </c>
      <c r="E26">
        <v>1</v>
      </c>
      <c r="F26" s="2">
        <v>3.0136986301369864E-2</v>
      </c>
      <c r="I26" s="33">
        <v>1</v>
      </c>
      <c r="K26" t="s">
        <v>21</v>
      </c>
      <c r="L26">
        <v>19</v>
      </c>
      <c r="M26" s="34">
        <v>0.189</v>
      </c>
    </row>
    <row r="27" spans="2:13" x14ac:dyDescent="0.25">
      <c r="B27" s="33">
        <v>1</v>
      </c>
      <c r="C27" t="s">
        <v>66</v>
      </c>
      <c r="D27" t="s">
        <v>80</v>
      </c>
      <c r="E27">
        <v>7</v>
      </c>
      <c r="F27" s="2">
        <v>0.11780821917808219</v>
      </c>
      <c r="I27" s="33">
        <v>1</v>
      </c>
      <c r="K27" t="s">
        <v>21</v>
      </c>
      <c r="L27">
        <v>20</v>
      </c>
      <c r="M27" s="34">
        <v>0.123</v>
      </c>
    </row>
    <row r="28" spans="2:13" x14ac:dyDescent="0.25">
      <c r="B28" s="33">
        <v>1</v>
      </c>
      <c r="C28" t="s">
        <v>77</v>
      </c>
      <c r="D28" t="s">
        <v>87</v>
      </c>
      <c r="E28">
        <v>7</v>
      </c>
      <c r="F28" s="2">
        <v>2.7397260273972601E-2</v>
      </c>
      <c r="I28" s="33">
        <v>1</v>
      </c>
      <c r="K28" t="s">
        <v>21</v>
      </c>
      <c r="L28">
        <v>21</v>
      </c>
      <c r="M28" s="34">
        <v>8.2000000000000003E-2</v>
      </c>
    </row>
    <row r="29" spans="2:13" x14ac:dyDescent="0.25">
      <c r="B29" s="33">
        <v>1</v>
      </c>
      <c r="C29" t="s">
        <v>88</v>
      </c>
      <c r="D29" t="s">
        <v>89</v>
      </c>
      <c r="E29">
        <v>7</v>
      </c>
      <c r="F29" s="2">
        <v>0.16164383561643836</v>
      </c>
      <c r="I29" s="33">
        <v>1</v>
      </c>
      <c r="K29" t="s">
        <v>21</v>
      </c>
      <c r="L29">
        <v>22</v>
      </c>
      <c r="M29" s="34">
        <v>9.6000000000000002E-2</v>
      </c>
    </row>
    <row r="30" spans="2:13" x14ac:dyDescent="0.25">
      <c r="B30" s="33">
        <v>1</v>
      </c>
      <c r="C30" t="s">
        <v>90</v>
      </c>
      <c r="D30" t="s">
        <v>91</v>
      </c>
      <c r="E30">
        <v>7</v>
      </c>
      <c r="F30" s="2">
        <v>0.12602739726027398</v>
      </c>
      <c r="I30" s="33">
        <v>1</v>
      </c>
      <c r="K30" t="s">
        <v>21</v>
      </c>
      <c r="L30">
        <v>23</v>
      </c>
      <c r="M30" s="34">
        <v>6.8000000000000005E-2</v>
      </c>
    </row>
    <row r="31" spans="2:13" x14ac:dyDescent="0.25">
      <c r="B31" s="33">
        <v>1</v>
      </c>
      <c r="C31" t="s">
        <v>1</v>
      </c>
      <c r="D31" t="s">
        <v>92</v>
      </c>
      <c r="E31">
        <v>7</v>
      </c>
      <c r="F31" s="2">
        <v>0.12602739726027398</v>
      </c>
      <c r="I31" s="33">
        <v>1</v>
      </c>
      <c r="K31" t="s">
        <v>32</v>
      </c>
      <c r="L31">
        <v>0</v>
      </c>
      <c r="M31" s="34">
        <v>5.5E-2</v>
      </c>
    </row>
    <row r="32" spans="2:13" x14ac:dyDescent="0.25">
      <c r="B32" s="33">
        <v>1</v>
      </c>
      <c r="C32" t="s">
        <v>66</v>
      </c>
      <c r="D32" t="s">
        <v>93</v>
      </c>
      <c r="E32">
        <v>7</v>
      </c>
      <c r="F32" s="2">
        <v>0.11506849315068493</v>
      </c>
      <c r="I32" s="33">
        <v>1</v>
      </c>
      <c r="K32" t="s">
        <v>32</v>
      </c>
      <c r="L32">
        <v>1</v>
      </c>
      <c r="M32" s="34">
        <v>2.5000000000000001E-2</v>
      </c>
    </row>
    <row r="33" spans="2:13" x14ac:dyDescent="0.25">
      <c r="B33" s="33">
        <v>1</v>
      </c>
      <c r="C33" t="s">
        <v>1</v>
      </c>
      <c r="D33" t="s">
        <v>94</v>
      </c>
      <c r="E33">
        <v>7</v>
      </c>
      <c r="F33" s="2">
        <v>0.10136986301369863</v>
      </c>
      <c r="I33" s="33">
        <v>1</v>
      </c>
      <c r="K33" t="s">
        <v>32</v>
      </c>
      <c r="L33">
        <v>2</v>
      </c>
      <c r="M33" s="34">
        <v>0.03</v>
      </c>
    </row>
    <row r="34" spans="2:13" x14ac:dyDescent="0.25">
      <c r="B34" s="33">
        <v>1</v>
      </c>
      <c r="C34" t="s">
        <v>0</v>
      </c>
      <c r="D34" t="s">
        <v>95</v>
      </c>
      <c r="E34">
        <v>11</v>
      </c>
      <c r="F34" s="2">
        <v>0.24657534246575341</v>
      </c>
      <c r="I34" s="33">
        <v>1</v>
      </c>
      <c r="K34" t="s">
        <v>32</v>
      </c>
      <c r="L34">
        <v>3</v>
      </c>
      <c r="M34" s="34">
        <v>2.5000000000000001E-2</v>
      </c>
    </row>
    <row r="35" spans="2:13" x14ac:dyDescent="0.25">
      <c r="B35" s="33">
        <v>1</v>
      </c>
      <c r="C35" t="s">
        <v>72</v>
      </c>
      <c r="D35" t="s">
        <v>73</v>
      </c>
      <c r="E35">
        <v>15</v>
      </c>
      <c r="F35" s="2">
        <v>0.38356164383561642</v>
      </c>
      <c r="I35" s="33">
        <v>1</v>
      </c>
      <c r="K35" t="s">
        <v>32</v>
      </c>
      <c r="L35">
        <v>4</v>
      </c>
      <c r="M35" s="34">
        <v>1.6E-2</v>
      </c>
    </row>
    <row r="36" spans="2:13" x14ac:dyDescent="0.25">
      <c r="B36" s="33">
        <v>1</v>
      </c>
      <c r="C36" t="s">
        <v>72</v>
      </c>
      <c r="D36" t="s">
        <v>73</v>
      </c>
      <c r="E36">
        <v>10</v>
      </c>
      <c r="F36" s="2">
        <v>0.34794520547945207</v>
      </c>
      <c r="I36" s="33">
        <v>1</v>
      </c>
      <c r="K36" t="s">
        <v>32</v>
      </c>
      <c r="L36">
        <v>5</v>
      </c>
      <c r="M36" s="34">
        <v>1.9E-2</v>
      </c>
    </row>
    <row r="37" spans="2:13" x14ac:dyDescent="0.25">
      <c r="B37" s="33">
        <v>1</v>
      </c>
      <c r="C37" t="s">
        <v>2</v>
      </c>
      <c r="D37" t="s">
        <v>96</v>
      </c>
      <c r="E37">
        <v>12</v>
      </c>
      <c r="F37" s="2">
        <v>8.7671232876712329E-2</v>
      </c>
      <c r="I37" s="33">
        <v>1</v>
      </c>
      <c r="K37" t="s">
        <v>32</v>
      </c>
      <c r="L37">
        <v>6</v>
      </c>
      <c r="M37" s="34">
        <v>2.1999999999999999E-2</v>
      </c>
    </row>
    <row r="38" spans="2:13" x14ac:dyDescent="0.25">
      <c r="B38" s="33">
        <v>1</v>
      </c>
      <c r="C38" t="s">
        <v>77</v>
      </c>
      <c r="D38" t="s">
        <v>97</v>
      </c>
      <c r="E38">
        <v>9</v>
      </c>
      <c r="F38" s="2">
        <v>0.10410958904109589</v>
      </c>
      <c r="I38" s="33">
        <v>1</v>
      </c>
      <c r="K38" t="s">
        <v>32</v>
      </c>
      <c r="L38">
        <v>7</v>
      </c>
      <c r="M38" s="34">
        <v>9.9000000000000005E-2</v>
      </c>
    </row>
    <row r="39" spans="2:13" x14ac:dyDescent="0.25">
      <c r="B39" s="33">
        <v>1</v>
      </c>
      <c r="C39" t="s">
        <v>88</v>
      </c>
      <c r="D39" t="s">
        <v>89</v>
      </c>
      <c r="E39">
        <v>15</v>
      </c>
      <c r="F39" s="2">
        <v>0.30684931506849317</v>
      </c>
      <c r="I39" s="33">
        <v>1</v>
      </c>
      <c r="K39" t="s">
        <v>32</v>
      </c>
      <c r="L39">
        <v>8</v>
      </c>
      <c r="M39" s="34">
        <v>0.11799999999999999</v>
      </c>
    </row>
    <row r="40" spans="2:13" x14ac:dyDescent="0.25">
      <c r="B40" s="33">
        <v>1</v>
      </c>
      <c r="C40" t="s">
        <v>72</v>
      </c>
      <c r="D40" t="s">
        <v>73</v>
      </c>
      <c r="E40">
        <v>13</v>
      </c>
      <c r="F40" s="2">
        <v>0.32054794520547947</v>
      </c>
      <c r="I40" s="33">
        <v>1</v>
      </c>
      <c r="K40" t="s">
        <v>32</v>
      </c>
      <c r="L40">
        <v>9</v>
      </c>
      <c r="M40" s="34">
        <v>0.126</v>
      </c>
    </row>
    <row r="41" spans="2:13" x14ac:dyDescent="0.25">
      <c r="B41" s="33">
        <v>1</v>
      </c>
      <c r="C41" t="s">
        <v>77</v>
      </c>
      <c r="D41" t="s">
        <v>98</v>
      </c>
      <c r="E41">
        <v>9</v>
      </c>
      <c r="F41" s="2">
        <v>9.8630136986301367E-2</v>
      </c>
      <c r="I41" s="33">
        <v>1</v>
      </c>
      <c r="K41" t="s">
        <v>32</v>
      </c>
      <c r="L41">
        <v>10</v>
      </c>
      <c r="M41" s="34">
        <v>0.11799999999999999</v>
      </c>
    </row>
    <row r="42" spans="2:13" x14ac:dyDescent="0.25">
      <c r="B42" s="33">
        <v>1</v>
      </c>
      <c r="C42" t="s">
        <v>64</v>
      </c>
      <c r="D42" t="s">
        <v>99</v>
      </c>
      <c r="E42">
        <v>11</v>
      </c>
      <c r="F42" s="2">
        <v>0.16712328767123288</v>
      </c>
      <c r="I42" s="33">
        <v>1</v>
      </c>
      <c r="K42" t="s">
        <v>32</v>
      </c>
      <c r="L42">
        <v>11</v>
      </c>
      <c r="M42" s="34">
        <v>0.126</v>
      </c>
    </row>
    <row r="43" spans="2:13" x14ac:dyDescent="0.25">
      <c r="B43" s="33">
        <v>1</v>
      </c>
      <c r="C43" t="s">
        <v>66</v>
      </c>
      <c r="D43" t="s">
        <v>80</v>
      </c>
      <c r="E43">
        <v>11</v>
      </c>
      <c r="F43" s="2">
        <v>0.31780821917808222</v>
      </c>
      <c r="I43" s="33">
        <v>1</v>
      </c>
      <c r="K43" t="s">
        <v>32</v>
      </c>
      <c r="L43">
        <v>12</v>
      </c>
      <c r="M43" s="34">
        <v>0.14799999999999999</v>
      </c>
    </row>
    <row r="44" spans="2:13" x14ac:dyDescent="0.25">
      <c r="B44" s="33">
        <v>1</v>
      </c>
      <c r="C44" t="s">
        <v>3</v>
      </c>
      <c r="D44" t="s">
        <v>79</v>
      </c>
      <c r="E44">
        <v>9</v>
      </c>
      <c r="F44" s="2">
        <v>0.10684931506849316</v>
      </c>
      <c r="I44" s="33">
        <v>1</v>
      </c>
      <c r="K44" t="s">
        <v>32</v>
      </c>
      <c r="L44">
        <v>13</v>
      </c>
      <c r="M44" s="34">
        <v>0.126</v>
      </c>
    </row>
    <row r="45" spans="2:13" x14ac:dyDescent="0.25">
      <c r="B45" s="33">
        <v>1</v>
      </c>
      <c r="C45" t="s">
        <v>3</v>
      </c>
      <c r="D45" t="s">
        <v>100</v>
      </c>
      <c r="E45">
        <v>9</v>
      </c>
      <c r="F45" s="2">
        <v>8.4931506849315067E-2</v>
      </c>
      <c r="I45" s="33">
        <v>1</v>
      </c>
      <c r="K45" t="s">
        <v>32</v>
      </c>
      <c r="L45">
        <v>14</v>
      </c>
      <c r="M45" s="34">
        <v>0.14000000000000001</v>
      </c>
    </row>
    <row r="46" spans="2:13" x14ac:dyDescent="0.25">
      <c r="B46" s="33">
        <v>1</v>
      </c>
      <c r="C46" t="s">
        <v>77</v>
      </c>
      <c r="D46" t="s">
        <v>78</v>
      </c>
      <c r="E46">
        <v>8</v>
      </c>
      <c r="F46" s="2">
        <v>7.6712328767123292E-2</v>
      </c>
      <c r="I46" s="33">
        <v>1</v>
      </c>
      <c r="K46" t="s">
        <v>32</v>
      </c>
      <c r="L46">
        <v>15</v>
      </c>
      <c r="M46" s="34">
        <v>0.17499999999999999</v>
      </c>
    </row>
    <row r="47" spans="2:13" x14ac:dyDescent="0.25">
      <c r="B47" s="33">
        <v>1</v>
      </c>
      <c r="C47" t="s">
        <v>2</v>
      </c>
      <c r="D47" t="s">
        <v>96</v>
      </c>
      <c r="E47">
        <v>15</v>
      </c>
      <c r="F47" s="2">
        <v>6.8493150684931503E-2</v>
      </c>
      <c r="I47" s="33">
        <v>1</v>
      </c>
      <c r="K47" t="s">
        <v>32</v>
      </c>
      <c r="L47">
        <v>16</v>
      </c>
      <c r="M47" s="34">
        <v>0.17</v>
      </c>
    </row>
    <row r="48" spans="2:13" x14ac:dyDescent="0.25">
      <c r="B48" s="33">
        <v>1</v>
      </c>
      <c r="C48" t="s">
        <v>66</v>
      </c>
      <c r="D48" t="s">
        <v>80</v>
      </c>
      <c r="E48">
        <v>8</v>
      </c>
      <c r="F48" s="2">
        <v>0.29589041095890412</v>
      </c>
      <c r="I48" s="33">
        <v>1</v>
      </c>
      <c r="K48" t="s">
        <v>32</v>
      </c>
      <c r="L48">
        <v>17</v>
      </c>
      <c r="M48" s="34">
        <v>0.115</v>
      </c>
    </row>
    <row r="49" spans="2:13" x14ac:dyDescent="0.25">
      <c r="B49" s="33">
        <v>1</v>
      </c>
      <c r="C49" t="s">
        <v>1</v>
      </c>
      <c r="D49" t="s">
        <v>82</v>
      </c>
      <c r="E49">
        <v>15</v>
      </c>
      <c r="F49" s="2">
        <v>0.26849315068493151</v>
      </c>
      <c r="I49" s="33">
        <v>1</v>
      </c>
      <c r="K49" t="s">
        <v>32</v>
      </c>
      <c r="L49">
        <v>18</v>
      </c>
      <c r="M49" s="34">
        <v>0.189</v>
      </c>
    </row>
    <row r="50" spans="2:13" x14ac:dyDescent="0.25">
      <c r="B50" s="33">
        <v>1</v>
      </c>
      <c r="C50" t="s">
        <v>66</v>
      </c>
      <c r="D50" t="s">
        <v>80</v>
      </c>
      <c r="E50">
        <v>14</v>
      </c>
      <c r="F50" s="2">
        <v>0.28767123287671231</v>
      </c>
      <c r="I50" s="33">
        <v>1</v>
      </c>
      <c r="K50" t="s">
        <v>32</v>
      </c>
      <c r="L50">
        <v>19</v>
      </c>
      <c r="M50" s="34">
        <v>0.153</v>
      </c>
    </row>
    <row r="51" spans="2:13" x14ac:dyDescent="0.25">
      <c r="B51" s="33">
        <v>1</v>
      </c>
      <c r="C51" t="s">
        <v>74</v>
      </c>
      <c r="D51" t="s">
        <v>75</v>
      </c>
      <c r="E51">
        <v>14</v>
      </c>
      <c r="F51" s="2">
        <v>0.24931506849315069</v>
      </c>
      <c r="I51" s="33">
        <v>1</v>
      </c>
      <c r="K51" t="s">
        <v>32</v>
      </c>
      <c r="L51">
        <v>20</v>
      </c>
      <c r="M51" s="34">
        <v>0.115</v>
      </c>
    </row>
    <row r="52" spans="2:13" x14ac:dyDescent="0.25">
      <c r="B52" s="33">
        <v>1</v>
      </c>
      <c r="C52" t="s">
        <v>72</v>
      </c>
      <c r="D52" t="s">
        <v>76</v>
      </c>
      <c r="E52">
        <v>15</v>
      </c>
      <c r="F52" s="2">
        <v>0.21369863013698631</v>
      </c>
      <c r="I52" s="33">
        <v>1</v>
      </c>
      <c r="K52" t="s">
        <v>32</v>
      </c>
      <c r="L52">
        <v>21</v>
      </c>
      <c r="M52" s="34">
        <v>7.9000000000000001E-2</v>
      </c>
    </row>
    <row r="53" spans="2:13" x14ac:dyDescent="0.25">
      <c r="B53" s="33">
        <v>1</v>
      </c>
      <c r="C53" t="s">
        <v>69</v>
      </c>
      <c r="D53" t="s">
        <v>86</v>
      </c>
      <c r="E53">
        <v>11</v>
      </c>
      <c r="F53" s="2">
        <v>0.12602739726027398</v>
      </c>
      <c r="I53" s="33">
        <v>1</v>
      </c>
      <c r="K53" t="s">
        <v>32</v>
      </c>
      <c r="L53">
        <v>22</v>
      </c>
      <c r="M53" s="34">
        <v>4.3999999999999997E-2</v>
      </c>
    </row>
    <row r="54" spans="2:13" x14ac:dyDescent="0.25">
      <c r="B54" s="33">
        <v>1</v>
      </c>
      <c r="C54" t="s">
        <v>66</v>
      </c>
      <c r="D54" t="s">
        <v>80</v>
      </c>
      <c r="E54">
        <v>9</v>
      </c>
      <c r="F54" s="2">
        <v>0.25479452054794521</v>
      </c>
      <c r="I54" s="33">
        <v>1</v>
      </c>
      <c r="K54" t="s">
        <v>32</v>
      </c>
      <c r="L54">
        <v>23</v>
      </c>
      <c r="M54" s="34">
        <v>5.1999999999999998E-2</v>
      </c>
    </row>
    <row r="55" spans="2:13" x14ac:dyDescent="0.25">
      <c r="B55" s="33">
        <v>1</v>
      </c>
      <c r="C55" t="s">
        <v>1</v>
      </c>
      <c r="D55" t="s">
        <v>82</v>
      </c>
      <c r="E55">
        <v>11</v>
      </c>
      <c r="F55" s="2">
        <v>0.26575342465753427</v>
      </c>
      <c r="I55" s="33">
        <v>1</v>
      </c>
      <c r="K55" t="s">
        <v>25</v>
      </c>
      <c r="L55">
        <v>0</v>
      </c>
      <c r="M55" s="34">
        <v>2.5000000000000001E-2</v>
      </c>
    </row>
    <row r="56" spans="2:13" x14ac:dyDescent="0.25">
      <c r="B56" s="33">
        <v>1</v>
      </c>
      <c r="C56" t="s">
        <v>1</v>
      </c>
      <c r="D56" t="s">
        <v>82</v>
      </c>
      <c r="E56">
        <v>14</v>
      </c>
      <c r="F56" s="2">
        <v>0.21369863013698631</v>
      </c>
      <c r="I56" s="33">
        <v>1</v>
      </c>
      <c r="K56" t="s">
        <v>25</v>
      </c>
      <c r="L56">
        <v>1</v>
      </c>
      <c r="M56" s="34">
        <v>5.0000000000000001E-3</v>
      </c>
    </row>
    <row r="57" spans="2:13" x14ac:dyDescent="0.25">
      <c r="B57" s="33">
        <v>1</v>
      </c>
      <c r="C57" t="s">
        <v>74</v>
      </c>
      <c r="D57" t="s">
        <v>75</v>
      </c>
      <c r="E57">
        <v>11</v>
      </c>
      <c r="F57" s="2">
        <v>0.22739726027397261</v>
      </c>
      <c r="I57" s="33">
        <v>1</v>
      </c>
      <c r="K57" t="s">
        <v>25</v>
      </c>
      <c r="L57">
        <v>2</v>
      </c>
      <c r="M57" s="34">
        <v>1.0999999999999999E-2</v>
      </c>
    </row>
    <row r="58" spans="2:13" x14ac:dyDescent="0.25">
      <c r="B58" s="33">
        <v>1</v>
      </c>
      <c r="C58" t="s">
        <v>1</v>
      </c>
      <c r="D58" t="s">
        <v>82</v>
      </c>
      <c r="E58">
        <v>10</v>
      </c>
      <c r="F58" s="2">
        <v>0.20547945205479451</v>
      </c>
      <c r="I58" s="33">
        <v>1</v>
      </c>
      <c r="K58" t="s">
        <v>25</v>
      </c>
      <c r="L58">
        <v>3</v>
      </c>
      <c r="M58" s="34">
        <v>3.0000000000000001E-3</v>
      </c>
    </row>
    <row r="59" spans="2:13" x14ac:dyDescent="0.25">
      <c r="B59" s="33">
        <v>1</v>
      </c>
      <c r="C59" t="s">
        <v>69</v>
      </c>
      <c r="D59" t="s">
        <v>86</v>
      </c>
      <c r="E59">
        <v>15</v>
      </c>
      <c r="F59" s="2">
        <v>8.4931506849315067E-2</v>
      </c>
      <c r="I59" s="33">
        <v>1</v>
      </c>
      <c r="K59" t="s">
        <v>25</v>
      </c>
      <c r="L59">
        <v>4</v>
      </c>
      <c r="M59" s="34">
        <v>8.0000000000000002E-3</v>
      </c>
    </row>
    <row r="60" spans="2:13" x14ac:dyDescent="0.25">
      <c r="B60" s="33">
        <v>1</v>
      </c>
      <c r="C60" t="s">
        <v>72</v>
      </c>
      <c r="D60" t="s">
        <v>81</v>
      </c>
      <c r="E60">
        <v>14</v>
      </c>
      <c r="F60" s="2">
        <v>0.20547945205479451</v>
      </c>
      <c r="I60" s="33">
        <v>1</v>
      </c>
      <c r="K60" t="s">
        <v>25</v>
      </c>
      <c r="L60">
        <v>5</v>
      </c>
      <c r="M60" s="34">
        <v>5.0000000000000001E-3</v>
      </c>
    </row>
    <row r="61" spans="2:13" x14ac:dyDescent="0.25">
      <c r="B61" s="33">
        <v>1</v>
      </c>
      <c r="C61" t="s">
        <v>0</v>
      </c>
      <c r="D61" t="s">
        <v>95</v>
      </c>
      <c r="E61">
        <v>14</v>
      </c>
      <c r="F61" s="2">
        <v>0.24109589041095891</v>
      </c>
      <c r="I61" s="33">
        <v>1</v>
      </c>
      <c r="K61" t="s">
        <v>25</v>
      </c>
      <c r="L61">
        <v>6</v>
      </c>
      <c r="M61" s="34">
        <v>3.0000000000000001E-3</v>
      </c>
    </row>
    <row r="62" spans="2:13" x14ac:dyDescent="0.25">
      <c r="B62" s="33">
        <v>1</v>
      </c>
      <c r="C62" t="s">
        <v>77</v>
      </c>
      <c r="D62" t="s">
        <v>101</v>
      </c>
      <c r="E62">
        <v>9</v>
      </c>
      <c r="F62" s="2">
        <v>7.3972602739726029E-2</v>
      </c>
      <c r="I62" s="33">
        <v>1</v>
      </c>
      <c r="K62" t="s">
        <v>25</v>
      </c>
      <c r="L62">
        <v>7</v>
      </c>
      <c r="M62" s="34">
        <v>4.3999999999999997E-2</v>
      </c>
    </row>
    <row r="63" spans="2:13" x14ac:dyDescent="0.25">
      <c r="B63" s="33">
        <v>1</v>
      </c>
      <c r="C63" t="s">
        <v>66</v>
      </c>
      <c r="D63" t="s">
        <v>80</v>
      </c>
      <c r="E63">
        <v>15</v>
      </c>
      <c r="F63" s="2">
        <v>0.20821917808219179</v>
      </c>
      <c r="I63" s="33">
        <v>1</v>
      </c>
      <c r="K63" t="s">
        <v>25</v>
      </c>
      <c r="L63">
        <v>8</v>
      </c>
      <c r="M63" s="34">
        <v>4.1000000000000002E-2</v>
      </c>
    </row>
    <row r="64" spans="2:13" x14ac:dyDescent="0.25">
      <c r="B64" s="33">
        <v>1</v>
      </c>
      <c r="C64" t="s">
        <v>2</v>
      </c>
      <c r="D64" t="s">
        <v>102</v>
      </c>
      <c r="E64">
        <v>11</v>
      </c>
      <c r="F64" s="2">
        <v>6.3013698630136991E-2</v>
      </c>
      <c r="I64" s="33">
        <v>1</v>
      </c>
      <c r="K64" t="s">
        <v>25</v>
      </c>
      <c r="L64">
        <v>9</v>
      </c>
      <c r="M64" s="34">
        <v>7.0999999999999994E-2</v>
      </c>
    </row>
    <row r="65" spans="2:13" x14ac:dyDescent="0.25">
      <c r="B65" s="33">
        <v>1</v>
      </c>
      <c r="C65" t="s">
        <v>72</v>
      </c>
      <c r="D65" t="s">
        <v>76</v>
      </c>
      <c r="E65">
        <v>13</v>
      </c>
      <c r="F65" s="2">
        <v>0.19726027397260273</v>
      </c>
      <c r="I65" s="33">
        <v>1</v>
      </c>
      <c r="K65" t="s">
        <v>25</v>
      </c>
      <c r="L65">
        <v>10</v>
      </c>
      <c r="M65" s="34">
        <v>4.7E-2</v>
      </c>
    </row>
    <row r="66" spans="2:13" x14ac:dyDescent="0.25">
      <c r="B66" s="33">
        <v>1</v>
      </c>
      <c r="C66" t="s">
        <v>1</v>
      </c>
      <c r="D66" t="s">
        <v>82</v>
      </c>
      <c r="E66">
        <v>12</v>
      </c>
      <c r="F66" s="2">
        <v>0.20547945205479451</v>
      </c>
      <c r="I66" s="33">
        <v>1</v>
      </c>
      <c r="K66" t="s">
        <v>25</v>
      </c>
      <c r="L66">
        <v>11</v>
      </c>
      <c r="M66" s="34">
        <v>4.7E-2</v>
      </c>
    </row>
    <row r="67" spans="2:13" x14ac:dyDescent="0.25">
      <c r="B67" s="33">
        <v>1</v>
      </c>
      <c r="C67" t="s">
        <v>64</v>
      </c>
      <c r="D67" t="s">
        <v>68</v>
      </c>
      <c r="E67">
        <v>8</v>
      </c>
      <c r="F67" s="2">
        <v>0.13424657534246576</v>
      </c>
      <c r="I67" s="33">
        <v>1</v>
      </c>
      <c r="K67" t="s">
        <v>25</v>
      </c>
      <c r="L67">
        <v>12</v>
      </c>
      <c r="M67" s="34">
        <v>1.4E-2</v>
      </c>
    </row>
    <row r="68" spans="2:13" x14ac:dyDescent="0.25">
      <c r="B68" s="33">
        <v>1</v>
      </c>
      <c r="C68" t="s">
        <v>72</v>
      </c>
      <c r="D68" t="s">
        <v>81</v>
      </c>
      <c r="E68">
        <v>8</v>
      </c>
      <c r="F68" s="2">
        <v>0.19178082191780821</v>
      </c>
      <c r="I68" s="33">
        <v>1</v>
      </c>
      <c r="K68" t="s">
        <v>25</v>
      </c>
      <c r="L68">
        <v>13</v>
      </c>
      <c r="M68" s="34">
        <v>3.5999999999999997E-2</v>
      </c>
    </row>
    <row r="69" spans="2:13" x14ac:dyDescent="0.25">
      <c r="B69" s="33">
        <v>1</v>
      </c>
      <c r="C69" t="s">
        <v>90</v>
      </c>
      <c r="D69" t="s">
        <v>91</v>
      </c>
      <c r="E69">
        <v>12</v>
      </c>
      <c r="F69" s="2">
        <v>0.27123287671232876</v>
      </c>
      <c r="I69" s="33">
        <v>1</v>
      </c>
      <c r="K69" t="s">
        <v>25</v>
      </c>
      <c r="L69">
        <v>14</v>
      </c>
      <c r="M69" s="34">
        <v>3.5999999999999997E-2</v>
      </c>
    </row>
    <row r="70" spans="2:13" x14ac:dyDescent="0.25">
      <c r="B70" s="33">
        <v>1</v>
      </c>
      <c r="C70" t="s">
        <v>6</v>
      </c>
      <c r="D70" t="s">
        <v>28</v>
      </c>
      <c r="E70">
        <v>17</v>
      </c>
      <c r="F70" s="2">
        <v>0.22465753424657534</v>
      </c>
      <c r="I70" s="33">
        <v>1</v>
      </c>
      <c r="K70" t="s">
        <v>25</v>
      </c>
      <c r="L70">
        <v>15</v>
      </c>
      <c r="M70" s="34">
        <v>5.5E-2</v>
      </c>
    </row>
    <row r="71" spans="2:13" x14ac:dyDescent="0.25">
      <c r="B71" s="33">
        <v>1</v>
      </c>
      <c r="C71" t="s">
        <v>66</v>
      </c>
      <c r="D71" t="s">
        <v>80</v>
      </c>
      <c r="E71">
        <v>10</v>
      </c>
      <c r="F71" s="2">
        <v>0.2</v>
      </c>
      <c r="I71" s="33">
        <v>1</v>
      </c>
      <c r="K71" t="s">
        <v>25</v>
      </c>
      <c r="L71">
        <v>16</v>
      </c>
      <c r="M71" s="34">
        <v>4.7E-2</v>
      </c>
    </row>
    <row r="72" spans="2:13" x14ac:dyDescent="0.25">
      <c r="B72" s="33">
        <v>1</v>
      </c>
      <c r="C72" t="s">
        <v>77</v>
      </c>
      <c r="D72" t="s">
        <v>78</v>
      </c>
      <c r="E72">
        <v>10</v>
      </c>
      <c r="F72" s="2">
        <v>7.1232876712328766E-2</v>
      </c>
      <c r="I72" s="33">
        <v>1</v>
      </c>
      <c r="K72" t="s">
        <v>25</v>
      </c>
      <c r="L72">
        <v>17</v>
      </c>
      <c r="M72" s="34">
        <v>6.3E-2</v>
      </c>
    </row>
    <row r="73" spans="2:13" x14ac:dyDescent="0.25">
      <c r="B73" s="33">
        <v>1</v>
      </c>
      <c r="C73" t="s">
        <v>66</v>
      </c>
      <c r="D73" t="s">
        <v>80</v>
      </c>
      <c r="E73">
        <v>12</v>
      </c>
      <c r="F73" s="2">
        <v>0.19178082191780821</v>
      </c>
      <c r="I73" s="33">
        <v>1</v>
      </c>
      <c r="K73" t="s">
        <v>25</v>
      </c>
      <c r="L73">
        <v>18</v>
      </c>
      <c r="M73" s="34">
        <v>6.6000000000000003E-2</v>
      </c>
    </row>
    <row r="74" spans="2:13" x14ac:dyDescent="0.25">
      <c r="B74" s="33">
        <v>1</v>
      </c>
      <c r="C74" t="s">
        <v>88</v>
      </c>
      <c r="D74" t="s">
        <v>89</v>
      </c>
      <c r="E74">
        <v>16</v>
      </c>
      <c r="F74" s="2">
        <v>0.31232876712328766</v>
      </c>
      <c r="I74" s="33">
        <v>1</v>
      </c>
      <c r="K74" t="s">
        <v>25</v>
      </c>
      <c r="L74">
        <v>19</v>
      </c>
      <c r="M74" s="34">
        <v>7.6999999999999999E-2</v>
      </c>
    </row>
    <row r="75" spans="2:13" x14ac:dyDescent="0.25">
      <c r="B75" s="33">
        <v>1</v>
      </c>
      <c r="C75" t="s">
        <v>103</v>
      </c>
      <c r="D75" t="s">
        <v>104</v>
      </c>
      <c r="E75">
        <v>19</v>
      </c>
      <c r="F75" s="2">
        <v>0.16986301369863013</v>
      </c>
      <c r="I75" s="33">
        <v>1</v>
      </c>
      <c r="K75" t="s">
        <v>25</v>
      </c>
      <c r="L75">
        <v>20</v>
      </c>
      <c r="M75" s="34">
        <v>3.3000000000000002E-2</v>
      </c>
    </row>
    <row r="76" spans="2:13" x14ac:dyDescent="0.25">
      <c r="B76" s="33">
        <v>1</v>
      </c>
      <c r="C76" t="s">
        <v>66</v>
      </c>
      <c r="D76" t="s">
        <v>80</v>
      </c>
      <c r="E76">
        <v>19</v>
      </c>
      <c r="F76" s="2">
        <v>0.36438356164383562</v>
      </c>
      <c r="I76" s="33">
        <v>1</v>
      </c>
      <c r="K76" t="s">
        <v>25</v>
      </c>
      <c r="L76">
        <v>21</v>
      </c>
      <c r="M76" s="34">
        <v>2.1999999999999999E-2</v>
      </c>
    </row>
    <row r="77" spans="2:13" x14ac:dyDescent="0.25">
      <c r="B77" s="33">
        <v>1</v>
      </c>
      <c r="C77" t="s">
        <v>66</v>
      </c>
      <c r="D77" t="s">
        <v>80</v>
      </c>
      <c r="E77">
        <v>18</v>
      </c>
      <c r="F77" s="2">
        <v>0.26849315068493151</v>
      </c>
      <c r="I77" s="33">
        <v>1</v>
      </c>
      <c r="K77" t="s">
        <v>25</v>
      </c>
      <c r="L77">
        <v>22</v>
      </c>
      <c r="M77" s="34">
        <v>1.6E-2</v>
      </c>
    </row>
    <row r="78" spans="2:13" x14ac:dyDescent="0.25">
      <c r="B78" s="33">
        <v>1</v>
      </c>
      <c r="C78" t="s">
        <v>6</v>
      </c>
      <c r="D78" t="s">
        <v>21</v>
      </c>
      <c r="E78">
        <v>17</v>
      </c>
      <c r="F78" s="2">
        <v>0.21369863013698631</v>
      </c>
      <c r="I78" s="33">
        <v>1</v>
      </c>
      <c r="K78" t="s">
        <v>25</v>
      </c>
      <c r="L78">
        <v>23</v>
      </c>
      <c r="M78" s="34">
        <v>2.5000000000000001E-2</v>
      </c>
    </row>
    <row r="79" spans="2:13" x14ac:dyDescent="0.25">
      <c r="B79" s="33">
        <v>1</v>
      </c>
      <c r="C79" t="s">
        <v>77</v>
      </c>
      <c r="D79" t="s">
        <v>78</v>
      </c>
      <c r="E79">
        <v>18</v>
      </c>
      <c r="F79" s="2">
        <v>8.4931506849315067E-2</v>
      </c>
      <c r="I79" s="33">
        <v>1</v>
      </c>
      <c r="K79" t="s">
        <v>42</v>
      </c>
      <c r="L79">
        <v>0</v>
      </c>
      <c r="M79" s="34">
        <v>4.1000000000000002E-2</v>
      </c>
    </row>
    <row r="80" spans="2:13" x14ac:dyDescent="0.25">
      <c r="B80" s="33">
        <v>1</v>
      </c>
      <c r="C80" t="s">
        <v>88</v>
      </c>
      <c r="D80" t="s">
        <v>89</v>
      </c>
      <c r="E80">
        <v>17</v>
      </c>
      <c r="F80" s="2">
        <v>0.28493150684931506</v>
      </c>
      <c r="I80" s="33">
        <v>1</v>
      </c>
      <c r="K80" t="s">
        <v>42</v>
      </c>
      <c r="L80">
        <v>1</v>
      </c>
      <c r="M80" s="34">
        <v>1.0999999999999999E-2</v>
      </c>
    </row>
    <row r="81" spans="2:13" x14ac:dyDescent="0.25">
      <c r="B81" s="33">
        <v>1</v>
      </c>
      <c r="C81" t="s">
        <v>0</v>
      </c>
      <c r="D81" t="s">
        <v>95</v>
      </c>
      <c r="E81">
        <v>16</v>
      </c>
      <c r="F81" s="2">
        <v>0.20273972602739726</v>
      </c>
      <c r="I81" s="33">
        <v>1</v>
      </c>
      <c r="K81" t="s">
        <v>42</v>
      </c>
      <c r="L81">
        <v>2</v>
      </c>
      <c r="M81" s="34">
        <v>2.5000000000000001E-2</v>
      </c>
    </row>
    <row r="82" spans="2:13" x14ac:dyDescent="0.25">
      <c r="B82" s="33">
        <v>1</v>
      </c>
      <c r="C82" t="s">
        <v>74</v>
      </c>
      <c r="D82" t="s">
        <v>75</v>
      </c>
      <c r="E82">
        <v>19</v>
      </c>
      <c r="F82" s="2">
        <v>0.25753424657534246</v>
      </c>
      <c r="I82" s="33">
        <v>1</v>
      </c>
      <c r="K82" t="s">
        <v>42</v>
      </c>
      <c r="L82">
        <v>3</v>
      </c>
      <c r="M82" s="34">
        <v>3.0000000000000001E-3</v>
      </c>
    </row>
    <row r="83" spans="2:13" x14ac:dyDescent="0.25">
      <c r="B83" s="33">
        <v>1</v>
      </c>
      <c r="C83" t="s">
        <v>2</v>
      </c>
      <c r="D83" t="s">
        <v>102</v>
      </c>
      <c r="E83">
        <v>19</v>
      </c>
      <c r="F83" s="2">
        <v>7.9452054794520555E-2</v>
      </c>
      <c r="I83" s="33">
        <v>1</v>
      </c>
      <c r="K83" t="s">
        <v>42</v>
      </c>
      <c r="L83">
        <v>4</v>
      </c>
      <c r="M83" s="34">
        <v>8.0000000000000002E-3</v>
      </c>
    </row>
    <row r="84" spans="2:13" x14ac:dyDescent="0.25">
      <c r="B84" s="33">
        <v>1</v>
      </c>
      <c r="C84" t="s">
        <v>90</v>
      </c>
      <c r="D84" t="s">
        <v>91</v>
      </c>
      <c r="E84">
        <v>18</v>
      </c>
      <c r="F84" s="2">
        <v>0.29863013698630136</v>
      </c>
      <c r="I84" s="33">
        <v>1</v>
      </c>
      <c r="K84" t="s">
        <v>42</v>
      </c>
      <c r="L84">
        <v>5</v>
      </c>
      <c r="M84" s="34">
        <v>1.4E-2</v>
      </c>
    </row>
    <row r="85" spans="2:13" x14ac:dyDescent="0.25">
      <c r="B85" s="33">
        <v>1</v>
      </c>
      <c r="C85" t="s">
        <v>0</v>
      </c>
      <c r="D85" t="s">
        <v>95</v>
      </c>
      <c r="E85">
        <v>17</v>
      </c>
      <c r="F85" s="2">
        <v>0.25205479452054796</v>
      </c>
      <c r="I85" s="33">
        <v>1</v>
      </c>
      <c r="K85" t="s">
        <v>42</v>
      </c>
      <c r="L85">
        <v>6</v>
      </c>
      <c r="M85" s="34">
        <v>2.7E-2</v>
      </c>
    </row>
    <row r="86" spans="2:13" x14ac:dyDescent="0.25">
      <c r="B86" s="33">
        <v>1</v>
      </c>
      <c r="C86" t="s">
        <v>66</v>
      </c>
      <c r="D86" t="s">
        <v>80</v>
      </c>
      <c r="E86">
        <v>16</v>
      </c>
      <c r="F86" s="2">
        <v>0.26027397260273971</v>
      </c>
      <c r="I86" s="33">
        <v>1</v>
      </c>
      <c r="K86" t="s">
        <v>42</v>
      </c>
      <c r="L86">
        <v>7</v>
      </c>
      <c r="M86" s="34">
        <v>2.7E-2</v>
      </c>
    </row>
    <row r="87" spans="2:13" x14ac:dyDescent="0.25">
      <c r="B87" s="33">
        <v>1</v>
      </c>
      <c r="C87" t="s">
        <v>74</v>
      </c>
      <c r="D87" t="s">
        <v>105</v>
      </c>
      <c r="E87">
        <v>16</v>
      </c>
      <c r="F87" s="2">
        <v>0.23835616438356164</v>
      </c>
      <c r="I87" s="33">
        <v>1</v>
      </c>
      <c r="K87" t="s">
        <v>42</v>
      </c>
      <c r="L87">
        <v>8</v>
      </c>
      <c r="M87" s="34">
        <v>7.0999999999999994E-2</v>
      </c>
    </row>
    <row r="88" spans="2:13" x14ac:dyDescent="0.25">
      <c r="B88" s="33">
        <v>1</v>
      </c>
      <c r="C88" t="s">
        <v>88</v>
      </c>
      <c r="D88" t="s">
        <v>89</v>
      </c>
      <c r="E88">
        <v>19</v>
      </c>
      <c r="F88" s="2">
        <v>0.24931506849315069</v>
      </c>
      <c r="I88" s="33">
        <v>1</v>
      </c>
      <c r="K88" t="s">
        <v>42</v>
      </c>
      <c r="L88">
        <v>9</v>
      </c>
      <c r="M88" s="34">
        <v>9.2999999999999999E-2</v>
      </c>
    </row>
    <row r="89" spans="2:13" x14ac:dyDescent="0.25">
      <c r="B89" s="33">
        <v>1</v>
      </c>
      <c r="C89" t="s">
        <v>74</v>
      </c>
      <c r="D89" t="s">
        <v>75</v>
      </c>
      <c r="E89">
        <v>17</v>
      </c>
      <c r="F89" s="2">
        <v>0.23561643835616439</v>
      </c>
      <c r="I89" s="33">
        <v>1</v>
      </c>
      <c r="K89" t="s">
        <v>42</v>
      </c>
      <c r="L89">
        <v>10</v>
      </c>
      <c r="M89" s="34">
        <v>8.5000000000000006E-2</v>
      </c>
    </row>
    <row r="90" spans="2:13" x14ac:dyDescent="0.25">
      <c r="B90" s="33">
        <v>1</v>
      </c>
      <c r="C90" t="s">
        <v>3</v>
      </c>
      <c r="D90" t="s">
        <v>79</v>
      </c>
      <c r="E90">
        <v>17</v>
      </c>
      <c r="F90" s="2">
        <v>0.12328767123287671</v>
      </c>
      <c r="I90" s="33">
        <v>1</v>
      </c>
      <c r="K90" t="s">
        <v>42</v>
      </c>
      <c r="L90">
        <v>11</v>
      </c>
      <c r="M90" s="34">
        <v>8.2000000000000003E-2</v>
      </c>
    </row>
    <row r="91" spans="2:13" x14ac:dyDescent="0.25">
      <c r="B91" s="33">
        <v>1</v>
      </c>
      <c r="C91" t="s">
        <v>4</v>
      </c>
      <c r="D91" t="s">
        <v>106</v>
      </c>
      <c r="E91">
        <v>17</v>
      </c>
      <c r="F91" s="2">
        <v>0.12876712328767123</v>
      </c>
      <c r="I91" s="33">
        <v>1</v>
      </c>
      <c r="K91" t="s">
        <v>42</v>
      </c>
      <c r="L91">
        <v>12</v>
      </c>
      <c r="M91" s="34">
        <v>6.6000000000000003E-2</v>
      </c>
    </row>
    <row r="92" spans="2:13" x14ac:dyDescent="0.25">
      <c r="B92" s="33">
        <v>1</v>
      </c>
      <c r="C92" t="s">
        <v>74</v>
      </c>
      <c r="D92" t="s">
        <v>75</v>
      </c>
      <c r="E92">
        <v>16</v>
      </c>
      <c r="F92" s="2">
        <v>0.21095890410958903</v>
      </c>
      <c r="I92" s="33">
        <v>1</v>
      </c>
      <c r="K92" t="s">
        <v>42</v>
      </c>
      <c r="L92">
        <v>13</v>
      </c>
      <c r="M92" s="34">
        <v>8.7999999999999995E-2</v>
      </c>
    </row>
    <row r="93" spans="2:13" x14ac:dyDescent="0.25">
      <c r="B93" s="33">
        <v>1</v>
      </c>
      <c r="C93" t="s">
        <v>6</v>
      </c>
      <c r="D93" t="s">
        <v>28</v>
      </c>
      <c r="E93">
        <v>9</v>
      </c>
      <c r="F93" s="2">
        <v>0.20821917808219179</v>
      </c>
      <c r="I93" s="33">
        <v>1</v>
      </c>
      <c r="K93" t="s">
        <v>42</v>
      </c>
      <c r="L93">
        <v>14</v>
      </c>
      <c r="M93" s="34">
        <v>0.107</v>
      </c>
    </row>
    <row r="94" spans="2:13" x14ac:dyDescent="0.25">
      <c r="B94" s="33">
        <v>1</v>
      </c>
      <c r="C94" t="s">
        <v>66</v>
      </c>
      <c r="D94" t="s">
        <v>107</v>
      </c>
      <c r="E94">
        <v>18</v>
      </c>
      <c r="F94" s="2">
        <v>0.22191780821917809</v>
      </c>
      <c r="I94" s="33">
        <v>1</v>
      </c>
      <c r="K94" t="s">
        <v>42</v>
      </c>
      <c r="L94">
        <v>15</v>
      </c>
      <c r="M94" s="34">
        <v>7.6999999999999999E-2</v>
      </c>
    </row>
    <row r="95" spans="2:13" x14ac:dyDescent="0.25">
      <c r="B95" s="33">
        <v>1</v>
      </c>
      <c r="C95" t="s">
        <v>1</v>
      </c>
      <c r="D95" t="s">
        <v>82</v>
      </c>
      <c r="E95">
        <v>16</v>
      </c>
      <c r="F95" s="2">
        <v>0.24383561643835616</v>
      </c>
      <c r="I95" s="33">
        <v>1</v>
      </c>
      <c r="K95" t="s">
        <v>42</v>
      </c>
      <c r="L95">
        <v>16</v>
      </c>
      <c r="M95" s="34">
        <v>9.6000000000000002E-2</v>
      </c>
    </row>
    <row r="96" spans="2:13" x14ac:dyDescent="0.25">
      <c r="B96" s="33">
        <v>1</v>
      </c>
      <c r="C96" t="s">
        <v>72</v>
      </c>
      <c r="D96" t="s">
        <v>73</v>
      </c>
      <c r="E96">
        <v>18</v>
      </c>
      <c r="F96" s="2">
        <v>0.42465753424657532</v>
      </c>
      <c r="I96" s="33">
        <v>1</v>
      </c>
      <c r="K96" t="s">
        <v>42</v>
      </c>
      <c r="L96">
        <v>17</v>
      </c>
      <c r="M96" s="34">
        <v>0.11799999999999999</v>
      </c>
    </row>
    <row r="97" spans="2:13" x14ac:dyDescent="0.25">
      <c r="B97" s="33">
        <v>1</v>
      </c>
      <c r="C97" t="s">
        <v>3</v>
      </c>
      <c r="D97" t="s">
        <v>108</v>
      </c>
      <c r="E97">
        <v>17</v>
      </c>
      <c r="F97" s="2">
        <v>0.1095890410958904</v>
      </c>
      <c r="I97" s="33">
        <v>1</v>
      </c>
      <c r="K97" t="s">
        <v>42</v>
      </c>
      <c r="L97">
        <v>18</v>
      </c>
      <c r="M97" s="34">
        <v>0.13400000000000001</v>
      </c>
    </row>
    <row r="98" spans="2:13" x14ac:dyDescent="0.25">
      <c r="B98" s="33">
        <v>1</v>
      </c>
      <c r="C98" t="s">
        <v>66</v>
      </c>
      <c r="D98" t="s">
        <v>93</v>
      </c>
      <c r="E98">
        <v>18</v>
      </c>
      <c r="F98" s="2">
        <v>0.21643835616438356</v>
      </c>
      <c r="I98" s="33">
        <v>1</v>
      </c>
      <c r="K98" t="s">
        <v>42</v>
      </c>
      <c r="L98">
        <v>19</v>
      </c>
      <c r="M98" s="34">
        <v>0.115</v>
      </c>
    </row>
    <row r="99" spans="2:13" x14ac:dyDescent="0.25">
      <c r="B99" s="33">
        <v>1</v>
      </c>
      <c r="C99" t="s">
        <v>90</v>
      </c>
      <c r="D99" t="s">
        <v>109</v>
      </c>
      <c r="E99">
        <v>17</v>
      </c>
      <c r="F99" s="2">
        <v>0.25753424657534246</v>
      </c>
      <c r="I99" s="33">
        <v>1</v>
      </c>
      <c r="K99" t="s">
        <v>42</v>
      </c>
      <c r="L99">
        <v>20</v>
      </c>
      <c r="M99" s="34">
        <v>7.3999999999999996E-2</v>
      </c>
    </row>
    <row r="100" spans="2:13" x14ac:dyDescent="0.25">
      <c r="B100" s="33">
        <v>1</v>
      </c>
      <c r="C100" t="s">
        <v>1</v>
      </c>
      <c r="D100" t="s">
        <v>82</v>
      </c>
      <c r="E100">
        <v>18</v>
      </c>
      <c r="F100" s="2">
        <v>0.24109589041095891</v>
      </c>
      <c r="I100" s="33">
        <v>1</v>
      </c>
      <c r="K100" t="s">
        <v>42</v>
      </c>
      <c r="L100">
        <v>21</v>
      </c>
      <c r="M100" s="34">
        <v>4.9000000000000002E-2</v>
      </c>
    </row>
    <row r="101" spans="2:13" x14ac:dyDescent="0.25">
      <c r="B101" s="33">
        <v>1</v>
      </c>
      <c r="C101" t="s">
        <v>1</v>
      </c>
      <c r="D101" t="s">
        <v>82</v>
      </c>
      <c r="E101">
        <v>17</v>
      </c>
      <c r="F101" s="2">
        <v>0.23287671232876711</v>
      </c>
      <c r="I101" s="33">
        <v>1</v>
      </c>
      <c r="K101" t="s">
        <v>42</v>
      </c>
      <c r="L101">
        <v>22</v>
      </c>
      <c r="M101" s="34">
        <v>6.6000000000000003E-2</v>
      </c>
    </row>
    <row r="102" spans="2:13" x14ac:dyDescent="0.25">
      <c r="B102" s="33">
        <v>1</v>
      </c>
      <c r="C102" t="s">
        <v>103</v>
      </c>
      <c r="D102" t="s">
        <v>104</v>
      </c>
      <c r="E102">
        <v>17</v>
      </c>
      <c r="F102" s="2">
        <v>0.16164383561643836</v>
      </c>
      <c r="I102" s="33">
        <v>1</v>
      </c>
      <c r="K102" t="s">
        <v>42</v>
      </c>
      <c r="L102">
        <v>23</v>
      </c>
      <c r="M102" s="34">
        <v>2.1999999999999999E-2</v>
      </c>
    </row>
    <row r="103" spans="2:13" x14ac:dyDescent="0.25">
      <c r="B103" s="33">
        <v>1</v>
      </c>
      <c r="C103" t="s">
        <v>1</v>
      </c>
      <c r="D103" t="s">
        <v>110</v>
      </c>
      <c r="E103">
        <v>18</v>
      </c>
      <c r="F103" s="2">
        <v>0.22465753424657534</v>
      </c>
      <c r="I103" s="33">
        <v>1</v>
      </c>
      <c r="K103" t="s">
        <v>28</v>
      </c>
      <c r="L103">
        <v>0</v>
      </c>
      <c r="M103" s="34">
        <v>4.7E-2</v>
      </c>
    </row>
    <row r="104" spans="2:13" x14ac:dyDescent="0.25">
      <c r="B104" s="33">
        <v>1</v>
      </c>
      <c r="C104" t="s">
        <v>88</v>
      </c>
      <c r="D104" t="s">
        <v>89</v>
      </c>
      <c r="E104">
        <v>18</v>
      </c>
      <c r="F104" s="2">
        <v>0.23561643835616439</v>
      </c>
      <c r="I104" s="33">
        <v>1</v>
      </c>
      <c r="K104" t="s">
        <v>28</v>
      </c>
      <c r="L104">
        <v>1</v>
      </c>
      <c r="M104" s="34">
        <v>2.7E-2</v>
      </c>
    </row>
    <row r="105" spans="2:13" x14ac:dyDescent="0.25">
      <c r="B105" s="33">
        <v>1</v>
      </c>
      <c r="C105" t="s">
        <v>0</v>
      </c>
      <c r="D105" t="s">
        <v>111</v>
      </c>
      <c r="E105">
        <v>19</v>
      </c>
      <c r="F105" s="2">
        <v>0.11506849315068493</v>
      </c>
      <c r="I105" s="33">
        <v>1</v>
      </c>
      <c r="K105" t="s">
        <v>28</v>
      </c>
      <c r="L105">
        <v>2</v>
      </c>
      <c r="M105" s="34">
        <v>3.5999999999999997E-2</v>
      </c>
    </row>
    <row r="106" spans="2:13" x14ac:dyDescent="0.25">
      <c r="B106" s="33">
        <v>1</v>
      </c>
      <c r="C106" t="s">
        <v>1</v>
      </c>
      <c r="D106" t="s">
        <v>112</v>
      </c>
      <c r="E106">
        <v>16</v>
      </c>
      <c r="F106" s="2">
        <v>0.22191780821917809</v>
      </c>
      <c r="I106" s="33">
        <v>1</v>
      </c>
      <c r="K106" t="s">
        <v>28</v>
      </c>
      <c r="L106">
        <v>3</v>
      </c>
      <c r="M106" s="34">
        <v>8.0000000000000002E-3</v>
      </c>
    </row>
    <row r="107" spans="2:13" x14ac:dyDescent="0.25">
      <c r="B107" s="33">
        <v>1</v>
      </c>
      <c r="C107" t="s">
        <v>3</v>
      </c>
      <c r="D107" t="s">
        <v>84</v>
      </c>
      <c r="E107">
        <v>16</v>
      </c>
      <c r="F107" s="2">
        <v>8.2191780821917804E-2</v>
      </c>
      <c r="I107" s="33">
        <v>1</v>
      </c>
      <c r="K107" t="s">
        <v>28</v>
      </c>
      <c r="L107">
        <v>4</v>
      </c>
      <c r="M107" s="34">
        <v>1.4E-2</v>
      </c>
    </row>
    <row r="108" spans="2:13" x14ac:dyDescent="0.25">
      <c r="B108" s="33">
        <v>1</v>
      </c>
      <c r="C108" t="s">
        <v>66</v>
      </c>
      <c r="D108" t="s">
        <v>107</v>
      </c>
      <c r="E108">
        <v>19</v>
      </c>
      <c r="F108" s="2">
        <v>0.20821917808219179</v>
      </c>
      <c r="I108" s="33">
        <v>1</v>
      </c>
      <c r="K108" t="s">
        <v>28</v>
      </c>
      <c r="L108">
        <v>5</v>
      </c>
      <c r="M108" s="34">
        <v>1.6E-2</v>
      </c>
    </row>
    <row r="109" spans="2:13" x14ac:dyDescent="0.25">
      <c r="B109" s="33">
        <v>1</v>
      </c>
      <c r="C109" t="s">
        <v>69</v>
      </c>
      <c r="D109" t="s">
        <v>113</v>
      </c>
      <c r="E109">
        <v>19</v>
      </c>
      <c r="F109" s="2">
        <v>9.3150684931506855E-2</v>
      </c>
      <c r="I109" s="33">
        <v>1</v>
      </c>
      <c r="K109" t="s">
        <v>28</v>
      </c>
      <c r="L109">
        <v>6</v>
      </c>
      <c r="M109" s="34">
        <v>3.3000000000000002E-2</v>
      </c>
    </row>
    <row r="110" spans="2:13" x14ac:dyDescent="0.25">
      <c r="B110" s="33">
        <v>1</v>
      </c>
      <c r="C110" t="s">
        <v>88</v>
      </c>
      <c r="D110" t="s">
        <v>114</v>
      </c>
      <c r="E110">
        <v>18</v>
      </c>
      <c r="F110" s="2">
        <v>0.23287671232876711</v>
      </c>
      <c r="I110" s="33">
        <v>1</v>
      </c>
      <c r="K110" t="s">
        <v>28</v>
      </c>
      <c r="L110">
        <v>7</v>
      </c>
      <c r="M110" s="34">
        <v>6.3E-2</v>
      </c>
    </row>
    <row r="111" spans="2:13" x14ac:dyDescent="0.25">
      <c r="B111" s="33">
        <v>1</v>
      </c>
      <c r="C111" t="s">
        <v>64</v>
      </c>
      <c r="D111" t="s">
        <v>115</v>
      </c>
      <c r="E111">
        <v>20</v>
      </c>
      <c r="F111" s="2">
        <v>8.2191780821917804E-2</v>
      </c>
      <c r="I111" s="33">
        <v>1</v>
      </c>
      <c r="K111" t="s">
        <v>28</v>
      </c>
      <c r="L111">
        <v>8</v>
      </c>
      <c r="M111" s="34">
        <v>0.104</v>
      </c>
    </row>
    <row r="112" spans="2:13" x14ac:dyDescent="0.25">
      <c r="B112" s="33">
        <v>1</v>
      </c>
      <c r="C112" t="s">
        <v>90</v>
      </c>
      <c r="D112" t="s">
        <v>91</v>
      </c>
      <c r="E112">
        <v>16</v>
      </c>
      <c r="F112" s="2">
        <v>0.25479452054794521</v>
      </c>
      <c r="I112" s="33">
        <v>1</v>
      </c>
      <c r="K112" t="s">
        <v>28</v>
      </c>
      <c r="L112">
        <v>9</v>
      </c>
      <c r="M112" s="34">
        <v>0.20799999999999999</v>
      </c>
    </row>
    <row r="113" spans="2:13" x14ac:dyDescent="0.25">
      <c r="B113" s="33">
        <v>1</v>
      </c>
      <c r="C113" t="s">
        <v>103</v>
      </c>
      <c r="D113" t="s">
        <v>104</v>
      </c>
      <c r="E113">
        <v>16</v>
      </c>
      <c r="F113" s="2">
        <v>0.15342465753424658</v>
      </c>
      <c r="I113" s="33">
        <v>1</v>
      </c>
      <c r="K113" t="s">
        <v>28</v>
      </c>
      <c r="L113">
        <v>10</v>
      </c>
      <c r="M113" s="34">
        <v>0.189</v>
      </c>
    </row>
    <row r="114" spans="2:13" x14ac:dyDescent="0.25">
      <c r="B114" s="33">
        <v>1</v>
      </c>
      <c r="C114" t="s">
        <v>64</v>
      </c>
      <c r="D114" t="s">
        <v>116</v>
      </c>
      <c r="E114">
        <v>20</v>
      </c>
      <c r="F114" s="2">
        <v>4.9315068493150684E-2</v>
      </c>
      <c r="I114" s="33">
        <v>1</v>
      </c>
      <c r="K114" t="s">
        <v>28</v>
      </c>
      <c r="L114">
        <v>11</v>
      </c>
      <c r="M114" s="34">
        <v>0.153</v>
      </c>
    </row>
    <row r="115" spans="2:13" x14ac:dyDescent="0.25">
      <c r="B115" s="33">
        <v>1</v>
      </c>
      <c r="C115" t="s">
        <v>3</v>
      </c>
      <c r="D115" t="s">
        <v>79</v>
      </c>
      <c r="E115">
        <v>19</v>
      </c>
      <c r="F115" s="2">
        <v>7.9452054794520555E-2</v>
      </c>
      <c r="I115" s="33">
        <v>1</v>
      </c>
      <c r="K115" t="s">
        <v>28</v>
      </c>
      <c r="L115">
        <v>12</v>
      </c>
      <c r="M115" s="34">
        <v>0.09</v>
      </c>
    </row>
    <row r="116" spans="2:13" x14ac:dyDescent="0.25">
      <c r="B116" s="33">
        <v>1</v>
      </c>
      <c r="C116" t="s">
        <v>1</v>
      </c>
      <c r="D116" t="s">
        <v>82</v>
      </c>
      <c r="E116">
        <v>19</v>
      </c>
      <c r="F116" s="2">
        <v>0.21369863013698631</v>
      </c>
      <c r="I116" s="33">
        <v>1</v>
      </c>
      <c r="K116" t="s">
        <v>28</v>
      </c>
      <c r="L116">
        <v>13</v>
      </c>
      <c r="M116" s="34">
        <v>9.2999999999999999E-2</v>
      </c>
    </row>
    <row r="117" spans="2:13" x14ac:dyDescent="0.25">
      <c r="B117" s="33">
        <v>1</v>
      </c>
      <c r="C117" t="s">
        <v>1</v>
      </c>
      <c r="D117" t="s">
        <v>94</v>
      </c>
      <c r="E117">
        <v>19</v>
      </c>
      <c r="F117" s="2">
        <v>0.21095890410958903</v>
      </c>
      <c r="I117" s="33">
        <v>1</v>
      </c>
      <c r="K117" t="s">
        <v>28</v>
      </c>
      <c r="L117">
        <v>14</v>
      </c>
      <c r="M117" s="34">
        <v>7.9000000000000001E-2</v>
      </c>
    </row>
    <row r="118" spans="2:13" x14ac:dyDescent="0.25">
      <c r="B118" s="33">
        <v>1</v>
      </c>
      <c r="C118" t="s">
        <v>77</v>
      </c>
      <c r="D118" t="s">
        <v>101</v>
      </c>
      <c r="E118">
        <v>16</v>
      </c>
      <c r="F118" s="2">
        <v>7.3972602739726029E-2</v>
      </c>
      <c r="I118" s="33">
        <v>1</v>
      </c>
      <c r="K118" t="s">
        <v>28</v>
      </c>
      <c r="L118">
        <v>15</v>
      </c>
      <c r="M118" s="34">
        <v>0.123</v>
      </c>
    </row>
    <row r="119" spans="2:13" x14ac:dyDescent="0.25">
      <c r="B119" s="33">
        <v>1</v>
      </c>
      <c r="C119" t="s">
        <v>2</v>
      </c>
      <c r="D119" t="s">
        <v>96</v>
      </c>
      <c r="E119">
        <v>16</v>
      </c>
      <c r="F119" s="2">
        <v>7.1232876712328766E-2</v>
      </c>
      <c r="I119" s="33">
        <v>1</v>
      </c>
      <c r="K119" t="s">
        <v>28</v>
      </c>
      <c r="L119">
        <v>16</v>
      </c>
      <c r="M119" s="34">
        <v>9.2999999999999999E-2</v>
      </c>
    </row>
    <row r="120" spans="2:13" x14ac:dyDescent="0.25">
      <c r="B120" s="33">
        <v>1</v>
      </c>
      <c r="C120" t="s">
        <v>3</v>
      </c>
      <c r="D120" t="s">
        <v>84</v>
      </c>
      <c r="E120">
        <v>18</v>
      </c>
      <c r="F120" s="2">
        <v>7.9452054794520555E-2</v>
      </c>
      <c r="I120" s="33">
        <v>1</v>
      </c>
      <c r="K120" t="s">
        <v>28</v>
      </c>
      <c r="L120">
        <v>17</v>
      </c>
      <c r="M120" s="34">
        <v>0.22500000000000001</v>
      </c>
    </row>
    <row r="121" spans="2:13" x14ac:dyDescent="0.25">
      <c r="B121" s="33">
        <v>1</v>
      </c>
      <c r="C121" t="s">
        <v>1</v>
      </c>
      <c r="D121" t="s">
        <v>94</v>
      </c>
      <c r="E121">
        <v>18</v>
      </c>
      <c r="F121" s="2">
        <v>0.20821917808219179</v>
      </c>
      <c r="I121" s="33">
        <v>1</v>
      </c>
      <c r="K121" t="s">
        <v>28</v>
      </c>
      <c r="L121">
        <v>18</v>
      </c>
      <c r="M121" s="34">
        <v>0.151</v>
      </c>
    </row>
    <row r="122" spans="2:13" x14ac:dyDescent="0.25">
      <c r="B122" s="33">
        <v>1</v>
      </c>
      <c r="C122" t="s">
        <v>103</v>
      </c>
      <c r="D122" t="s">
        <v>104</v>
      </c>
      <c r="E122">
        <v>18</v>
      </c>
      <c r="F122" s="2">
        <v>0.10684931506849316</v>
      </c>
      <c r="I122" s="33">
        <v>1</v>
      </c>
      <c r="K122" t="s">
        <v>28</v>
      </c>
      <c r="L122">
        <v>19</v>
      </c>
      <c r="M122" s="34">
        <v>0.16400000000000001</v>
      </c>
    </row>
    <row r="123" spans="2:13" x14ac:dyDescent="0.25">
      <c r="B123" s="33">
        <v>1</v>
      </c>
      <c r="C123" t="s">
        <v>88</v>
      </c>
      <c r="D123" t="s">
        <v>114</v>
      </c>
      <c r="E123">
        <v>16</v>
      </c>
      <c r="F123" s="2">
        <v>0.20821917808219179</v>
      </c>
      <c r="I123" s="33">
        <v>1</v>
      </c>
      <c r="K123" t="s">
        <v>28</v>
      </c>
      <c r="L123">
        <v>20</v>
      </c>
      <c r="M123" s="34">
        <v>9.9000000000000005E-2</v>
      </c>
    </row>
    <row r="124" spans="2:13" x14ac:dyDescent="0.25">
      <c r="B124" s="33">
        <v>1</v>
      </c>
      <c r="C124" t="s">
        <v>64</v>
      </c>
      <c r="D124" t="s">
        <v>65</v>
      </c>
      <c r="E124">
        <v>22</v>
      </c>
      <c r="F124" s="2">
        <v>4.9315068493150684E-2</v>
      </c>
      <c r="I124" s="33">
        <v>1</v>
      </c>
      <c r="K124" t="s">
        <v>28</v>
      </c>
      <c r="L124">
        <v>21</v>
      </c>
      <c r="M124" s="34">
        <v>7.0999999999999994E-2</v>
      </c>
    </row>
    <row r="125" spans="2:13" x14ac:dyDescent="0.25">
      <c r="B125" s="33">
        <v>1</v>
      </c>
      <c r="C125" t="s">
        <v>1</v>
      </c>
      <c r="D125" t="s">
        <v>92</v>
      </c>
      <c r="E125">
        <v>17</v>
      </c>
      <c r="F125" s="2">
        <v>0.20547945205479451</v>
      </c>
      <c r="I125" s="33">
        <v>1</v>
      </c>
      <c r="K125" t="s">
        <v>28</v>
      </c>
      <c r="L125">
        <v>22</v>
      </c>
      <c r="M125" s="34">
        <v>4.3999999999999997E-2</v>
      </c>
    </row>
    <row r="126" spans="2:13" x14ac:dyDescent="0.25">
      <c r="B126" s="33">
        <v>1</v>
      </c>
      <c r="C126" t="s">
        <v>72</v>
      </c>
      <c r="D126" t="s">
        <v>73</v>
      </c>
      <c r="E126">
        <v>21</v>
      </c>
      <c r="F126" s="2">
        <v>0.24657534246575341</v>
      </c>
      <c r="I126" s="33">
        <v>1</v>
      </c>
      <c r="K126" t="s">
        <v>28</v>
      </c>
      <c r="L126">
        <v>23</v>
      </c>
      <c r="M126" s="34">
        <v>5.8000000000000003E-2</v>
      </c>
    </row>
    <row r="127" spans="2:13" x14ac:dyDescent="0.25">
      <c r="B127" s="33">
        <v>1</v>
      </c>
      <c r="C127" t="s">
        <v>66</v>
      </c>
      <c r="D127" t="s">
        <v>67</v>
      </c>
      <c r="E127">
        <v>17</v>
      </c>
      <c r="F127" s="2">
        <v>0.18904109589041096</v>
      </c>
      <c r="I127" s="33">
        <v>1</v>
      </c>
      <c r="K127" t="s">
        <v>284</v>
      </c>
      <c r="L127">
        <v>7</v>
      </c>
      <c r="M127" s="34">
        <v>3.3000000000000002E-2</v>
      </c>
    </row>
    <row r="128" spans="2:13" x14ac:dyDescent="0.25">
      <c r="B128" s="33">
        <v>1</v>
      </c>
      <c r="C128" t="s">
        <v>1</v>
      </c>
      <c r="D128" t="s">
        <v>94</v>
      </c>
      <c r="E128">
        <v>16</v>
      </c>
      <c r="F128" s="2">
        <v>0.19452054794520549</v>
      </c>
      <c r="I128" s="33">
        <v>1</v>
      </c>
      <c r="K128" t="s">
        <v>284</v>
      </c>
      <c r="L128">
        <v>8</v>
      </c>
      <c r="M128" s="34">
        <v>3.3000000000000002E-2</v>
      </c>
    </row>
    <row r="129" spans="2:13" x14ac:dyDescent="0.25">
      <c r="B129" s="33">
        <v>1</v>
      </c>
      <c r="C129" t="s">
        <v>6</v>
      </c>
      <c r="D129" t="s">
        <v>23</v>
      </c>
      <c r="E129">
        <v>19</v>
      </c>
      <c r="F129" s="2">
        <v>0.2</v>
      </c>
      <c r="I129" s="33">
        <v>1</v>
      </c>
      <c r="K129" t="s">
        <v>284</v>
      </c>
      <c r="L129">
        <v>9</v>
      </c>
      <c r="M129" s="34">
        <v>3.5999999999999997E-2</v>
      </c>
    </row>
    <row r="130" spans="2:13" x14ac:dyDescent="0.25">
      <c r="B130" s="33">
        <v>1</v>
      </c>
      <c r="C130" t="s">
        <v>69</v>
      </c>
      <c r="D130" t="s">
        <v>86</v>
      </c>
      <c r="E130">
        <v>16</v>
      </c>
      <c r="F130" s="2">
        <v>9.0410958904109592E-2</v>
      </c>
      <c r="I130" s="33">
        <v>1</v>
      </c>
      <c r="K130" t="s">
        <v>284</v>
      </c>
      <c r="L130">
        <v>10</v>
      </c>
      <c r="M130" s="34">
        <v>4.9000000000000002E-2</v>
      </c>
    </row>
    <row r="131" spans="2:13" x14ac:dyDescent="0.25">
      <c r="B131" s="33">
        <v>1</v>
      </c>
      <c r="C131" t="s">
        <v>64</v>
      </c>
      <c r="D131" t="s">
        <v>68</v>
      </c>
      <c r="E131">
        <v>23</v>
      </c>
      <c r="F131" s="2">
        <v>6.3013698630136991E-2</v>
      </c>
      <c r="I131" s="33">
        <v>1</v>
      </c>
      <c r="K131" t="s">
        <v>284</v>
      </c>
      <c r="L131">
        <v>11</v>
      </c>
      <c r="M131" s="34">
        <v>4.3999999999999997E-2</v>
      </c>
    </row>
    <row r="132" spans="2:13" x14ac:dyDescent="0.25">
      <c r="B132" s="33">
        <v>1</v>
      </c>
      <c r="C132" t="s">
        <v>2</v>
      </c>
      <c r="D132" t="s">
        <v>102</v>
      </c>
      <c r="E132">
        <v>0</v>
      </c>
      <c r="F132" s="2">
        <v>2.1917808219178082E-2</v>
      </c>
      <c r="I132" s="33">
        <v>1</v>
      </c>
      <c r="K132" t="s">
        <v>284</v>
      </c>
      <c r="L132">
        <v>12</v>
      </c>
      <c r="M132" s="34">
        <v>1.6E-2</v>
      </c>
    </row>
    <row r="133" spans="2:13" x14ac:dyDescent="0.25">
      <c r="B133" s="33">
        <v>1</v>
      </c>
      <c r="C133" t="s">
        <v>88</v>
      </c>
      <c r="D133" t="s">
        <v>117</v>
      </c>
      <c r="E133">
        <v>7</v>
      </c>
      <c r="F133" s="2">
        <v>9.3150684931506855E-2</v>
      </c>
      <c r="I133" s="33">
        <v>1</v>
      </c>
      <c r="K133" t="s">
        <v>284</v>
      </c>
      <c r="L133">
        <v>13</v>
      </c>
      <c r="M133" s="34">
        <v>5.8000000000000003E-2</v>
      </c>
    </row>
    <row r="134" spans="2:13" x14ac:dyDescent="0.25">
      <c r="B134" s="33">
        <v>1</v>
      </c>
      <c r="C134" t="s">
        <v>2</v>
      </c>
      <c r="D134" t="s">
        <v>118</v>
      </c>
      <c r="E134">
        <v>1</v>
      </c>
      <c r="F134" s="2">
        <v>2.7397260273972603E-3</v>
      </c>
      <c r="I134" s="33">
        <v>1</v>
      </c>
      <c r="K134" t="s">
        <v>43</v>
      </c>
      <c r="L134">
        <v>0</v>
      </c>
      <c r="M134" s="34">
        <v>1.0999999999999999E-2</v>
      </c>
    </row>
    <row r="135" spans="2:13" x14ac:dyDescent="0.25">
      <c r="B135" s="33">
        <v>1</v>
      </c>
      <c r="C135" t="s">
        <v>66</v>
      </c>
      <c r="D135" t="s">
        <v>80</v>
      </c>
      <c r="E135">
        <v>6</v>
      </c>
      <c r="F135" s="2">
        <v>0.1095890410958904</v>
      </c>
      <c r="I135" s="33">
        <v>1</v>
      </c>
      <c r="K135" t="s">
        <v>43</v>
      </c>
      <c r="L135">
        <v>1</v>
      </c>
      <c r="M135" s="34">
        <v>2.7E-2</v>
      </c>
    </row>
    <row r="136" spans="2:13" x14ac:dyDescent="0.25">
      <c r="B136" s="33">
        <v>1</v>
      </c>
      <c r="C136" t="s">
        <v>3</v>
      </c>
      <c r="D136" t="s">
        <v>119</v>
      </c>
      <c r="E136">
        <v>0</v>
      </c>
      <c r="F136" s="2">
        <v>3.0136986301369864E-2</v>
      </c>
      <c r="I136" s="33">
        <v>1</v>
      </c>
      <c r="K136" t="s">
        <v>43</v>
      </c>
      <c r="L136">
        <v>2</v>
      </c>
      <c r="M136" s="34">
        <v>3.0000000000000001E-3</v>
      </c>
    </row>
    <row r="137" spans="2:13" x14ac:dyDescent="0.25">
      <c r="B137" s="33">
        <v>1</v>
      </c>
      <c r="C137" t="s">
        <v>69</v>
      </c>
      <c r="D137" t="s">
        <v>86</v>
      </c>
      <c r="E137">
        <v>4</v>
      </c>
      <c r="F137" s="2">
        <v>3.287671232876712E-2</v>
      </c>
      <c r="I137" s="33">
        <v>1</v>
      </c>
      <c r="K137" t="s">
        <v>43</v>
      </c>
      <c r="L137">
        <v>4</v>
      </c>
      <c r="M137" s="34">
        <v>5.0000000000000001E-3</v>
      </c>
    </row>
    <row r="138" spans="2:13" x14ac:dyDescent="0.25">
      <c r="B138" s="33">
        <v>1</v>
      </c>
      <c r="C138" t="s">
        <v>90</v>
      </c>
      <c r="D138" t="s">
        <v>120</v>
      </c>
      <c r="E138">
        <v>7</v>
      </c>
      <c r="F138" s="2">
        <v>8.4931506849315067E-2</v>
      </c>
      <c r="I138" s="33">
        <v>1</v>
      </c>
      <c r="K138" t="s">
        <v>43</v>
      </c>
      <c r="L138">
        <v>5</v>
      </c>
      <c r="M138" s="34">
        <v>3.0000000000000001E-3</v>
      </c>
    </row>
    <row r="139" spans="2:13" x14ac:dyDescent="0.25">
      <c r="B139" s="33">
        <v>1</v>
      </c>
      <c r="C139" t="s">
        <v>1</v>
      </c>
      <c r="D139" t="s">
        <v>94</v>
      </c>
      <c r="E139">
        <v>0</v>
      </c>
      <c r="F139" s="2">
        <v>9.8630136986301367E-2</v>
      </c>
      <c r="I139" s="33">
        <v>1</v>
      </c>
      <c r="K139" t="s">
        <v>43</v>
      </c>
      <c r="L139">
        <v>6</v>
      </c>
      <c r="M139" s="34">
        <v>5.0000000000000001E-3</v>
      </c>
    </row>
    <row r="140" spans="2:13" x14ac:dyDescent="0.25">
      <c r="B140" s="33">
        <v>1</v>
      </c>
      <c r="C140" t="s">
        <v>74</v>
      </c>
      <c r="D140" t="s">
        <v>75</v>
      </c>
      <c r="E140">
        <v>7</v>
      </c>
      <c r="F140" s="2">
        <v>6.575342465753424E-2</v>
      </c>
      <c r="I140" s="33">
        <v>1</v>
      </c>
      <c r="K140" t="s">
        <v>43</v>
      </c>
      <c r="L140">
        <v>14</v>
      </c>
      <c r="M140" s="34">
        <v>3.3000000000000002E-2</v>
      </c>
    </row>
    <row r="141" spans="2:13" x14ac:dyDescent="0.25">
      <c r="B141" s="33">
        <v>1</v>
      </c>
      <c r="C141" t="s">
        <v>90</v>
      </c>
      <c r="D141" t="s">
        <v>109</v>
      </c>
      <c r="E141">
        <v>7</v>
      </c>
      <c r="F141" s="2">
        <v>7.3972602739726029E-2</v>
      </c>
      <c r="I141" s="33">
        <v>1</v>
      </c>
      <c r="K141" t="s">
        <v>43</v>
      </c>
      <c r="L141">
        <v>15</v>
      </c>
      <c r="M141" s="34">
        <v>6.6000000000000003E-2</v>
      </c>
    </row>
    <row r="142" spans="2:13" x14ac:dyDescent="0.25">
      <c r="B142" s="33">
        <v>1</v>
      </c>
      <c r="C142" t="s">
        <v>90</v>
      </c>
      <c r="D142" t="s">
        <v>91</v>
      </c>
      <c r="E142">
        <v>1</v>
      </c>
      <c r="F142" s="2">
        <v>6.3013698630136991E-2</v>
      </c>
      <c r="I142" s="33">
        <v>1</v>
      </c>
      <c r="K142" t="s">
        <v>43</v>
      </c>
      <c r="L142">
        <v>16</v>
      </c>
      <c r="M142" s="34">
        <v>2.7E-2</v>
      </c>
    </row>
    <row r="143" spans="2:13" x14ac:dyDescent="0.25">
      <c r="B143" s="33">
        <v>1</v>
      </c>
      <c r="C143" t="s">
        <v>64</v>
      </c>
      <c r="D143" t="s">
        <v>121</v>
      </c>
      <c r="E143">
        <v>7</v>
      </c>
      <c r="F143" s="2">
        <v>7.3972602739726029E-2</v>
      </c>
      <c r="I143" s="33">
        <v>1</v>
      </c>
      <c r="K143" t="s">
        <v>43</v>
      </c>
      <c r="L143">
        <v>17</v>
      </c>
      <c r="M143" s="34">
        <v>0.06</v>
      </c>
    </row>
    <row r="144" spans="2:13" x14ac:dyDescent="0.25">
      <c r="B144" s="33">
        <v>1</v>
      </c>
      <c r="C144" t="s">
        <v>66</v>
      </c>
      <c r="D144" t="s">
        <v>122</v>
      </c>
      <c r="E144">
        <v>7</v>
      </c>
      <c r="F144" s="2">
        <v>0.10410958904109589</v>
      </c>
      <c r="I144" s="33">
        <v>1</v>
      </c>
      <c r="K144" t="s">
        <v>43</v>
      </c>
      <c r="L144">
        <v>18</v>
      </c>
      <c r="M144" s="34">
        <v>0.09</v>
      </c>
    </row>
    <row r="145" spans="2:13" x14ac:dyDescent="0.25">
      <c r="B145" s="33">
        <v>1</v>
      </c>
      <c r="C145" t="s">
        <v>1</v>
      </c>
      <c r="D145" t="s">
        <v>112</v>
      </c>
      <c r="E145">
        <v>7</v>
      </c>
      <c r="F145" s="2">
        <v>9.3150684931506855E-2</v>
      </c>
      <c r="I145" s="33">
        <v>1</v>
      </c>
      <c r="K145" t="s">
        <v>43</v>
      </c>
      <c r="L145">
        <v>19</v>
      </c>
      <c r="M145" s="34">
        <v>2.5000000000000001E-2</v>
      </c>
    </row>
    <row r="146" spans="2:13" x14ac:dyDescent="0.25">
      <c r="B146" s="33">
        <v>1</v>
      </c>
      <c r="C146" t="s">
        <v>90</v>
      </c>
      <c r="D146" t="s">
        <v>109</v>
      </c>
      <c r="E146">
        <v>6</v>
      </c>
      <c r="F146" s="2">
        <v>6.3013698630136991E-2</v>
      </c>
      <c r="I146" s="33">
        <v>1</v>
      </c>
      <c r="K146" t="s">
        <v>43</v>
      </c>
      <c r="L146">
        <v>20</v>
      </c>
      <c r="M146" s="34">
        <v>4.1000000000000002E-2</v>
      </c>
    </row>
    <row r="147" spans="2:13" x14ac:dyDescent="0.25">
      <c r="B147" s="33">
        <v>1</v>
      </c>
      <c r="C147" t="s">
        <v>66</v>
      </c>
      <c r="D147" t="s">
        <v>107</v>
      </c>
      <c r="E147">
        <v>7</v>
      </c>
      <c r="F147" s="2">
        <v>0.10136986301369863</v>
      </c>
      <c r="I147" s="33">
        <v>1</v>
      </c>
      <c r="K147" t="s">
        <v>43</v>
      </c>
      <c r="L147">
        <v>21</v>
      </c>
      <c r="M147" s="34">
        <v>3.3000000000000002E-2</v>
      </c>
    </row>
    <row r="148" spans="2:13" x14ac:dyDescent="0.25">
      <c r="B148" s="33">
        <v>1</v>
      </c>
      <c r="C148" t="s">
        <v>6</v>
      </c>
      <c r="D148" t="s">
        <v>21</v>
      </c>
      <c r="E148">
        <v>9</v>
      </c>
      <c r="F148" s="2">
        <v>0.19726027397260273</v>
      </c>
      <c r="I148" s="33">
        <v>1</v>
      </c>
      <c r="K148" t="s">
        <v>43</v>
      </c>
      <c r="L148">
        <v>22</v>
      </c>
      <c r="M148" s="34">
        <v>1.4E-2</v>
      </c>
    </row>
    <row r="149" spans="2:13" x14ac:dyDescent="0.25">
      <c r="B149" s="33">
        <v>1</v>
      </c>
      <c r="C149" t="s">
        <v>1</v>
      </c>
      <c r="D149" t="s">
        <v>82</v>
      </c>
      <c r="E149">
        <v>13</v>
      </c>
      <c r="F149" s="2">
        <v>0.2</v>
      </c>
      <c r="I149" s="33">
        <v>1</v>
      </c>
      <c r="K149" t="s">
        <v>43</v>
      </c>
      <c r="L149">
        <v>23</v>
      </c>
      <c r="M149" s="34">
        <v>2.7E-2</v>
      </c>
    </row>
    <row r="150" spans="2:13" x14ac:dyDescent="0.25">
      <c r="B150" s="33">
        <v>1</v>
      </c>
      <c r="C150" t="s">
        <v>64</v>
      </c>
      <c r="D150" t="s">
        <v>71</v>
      </c>
      <c r="E150">
        <v>15</v>
      </c>
      <c r="F150" s="2">
        <v>0.13150684931506848</v>
      </c>
      <c r="I150" s="33">
        <v>1</v>
      </c>
      <c r="K150" t="s">
        <v>30</v>
      </c>
      <c r="L150">
        <v>0</v>
      </c>
      <c r="M150" s="34">
        <v>5.1999999999999998E-2</v>
      </c>
    </row>
    <row r="151" spans="2:13" x14ac:dyDescent="0.25">
      <c r="B151" s="33">
        <v>1</v>
      </c>
      <c r="C151" t="s">
        <v>6</v>
      </c>
      <c r="D151" t="s">
        <v>32</v>
      </c>
      <c r="E151">
        <v>18</v>
      </c>
      <c r="F151" s="2">
        <v>0.18904109589041096</v>
      </c>
      <c r="I151" s="33">
        <v>1</v>
      </c>
      <c r="K151" t="s">
        <v>30</v>
      </c>
      <c r="L151">
        <v>1</v>
      </c>
      <c r="M151" s="34">
        <v>4.1000000000000002E-2</v>
      </c>
    </row>
    <row r="152" spans="2:13" x14ac:dyDescent="0.25">
      <c r="B152" s="33">
        <v>1</v>
      </c>
      <c r="C152" t="s">
        <v>66</v>
      </c>
      <c r="D152" t="s">
        <v>67</v>
      </c>
      <c r="E152">
        <v>9</v>
      </c>
      <c r="F152" s="2">
        <v>0.18630136986301371</v>
      </c>
      <c r="I152" s="33">
        <v>1</v>
      </c>
      <c r="K152" t="s">
        <v>30</v>
      </c>
      <c r="L152">
        <v>2</v>
      </c>
      <c r="M152" s="34">
        <v>4.3999999999999997E-2</v>
      </c>
    </row>
    <row r="153" spans="2:13" x14ac:dyDescent="0.25">
      <c r="B153" s="33">
        <v>1</v>
      </c>
      <c r="C153" t="s">
        <v>66</v>
      </c>
      <c r="D153" t="s">
        <v>67</v>
      </c>
      <c r="E153">
        <v>13</v>
      </c>
      <c r="F153" s="2">
        <v>0.18356164383561643</v>
      </c>
      <c r="I153" s="33">
        <v>1</v>
      </c>
      <c r="K153" t="s">
        <v>30</v>
      </c>
      <c r="L153">
        <v>3</v>
      </c>
      <c r="M153" s="34">
        <v>1.9E-2</v>
      </c>
    </row>
    <row r="154" spans="2:13" x14ac:dyDescent="0.25">
      <c r="B154" s="33">
        <v>1</v>
      </c>
      <c r="C154" t="s">
        <v>74</v>
      </c>
      <c r="D154" t="s">
        <v>75</v>
      </c>
      <c r="E154">
        <v>9</v>
      </c>
      <c r="F154" s="2">
        <v>0.19452054794520549</v>
      </c>
      <c r="I154" s="33">
        <v>1</v>
      </c>
      <c r="K154" t="s">
        <v>30</v>
      </c>
      <c r="L154">
        <v>4</v>
      </c>
      <c r="M154" s="34">
        <v>2.7E-2</v>
      </c>
    </row>
    <row r="155" spans="2:13" x14ac:dyDescent="0.25">
      <c r="B155" s="33">
        <v>1</v>
      </c>
      <c r="C155" t="s">
        <v>6</v>
      </c>
      <c r="D155" t="s">
        <v>28</v>
      </c>
      <c r="E155">
        <v>10</v>
      </c>
      <c r="F155" s="2">
        <v>0.18904109589041096</v>
      </c>
      <c r="I155" s="33">
        <v>1</v>
      </c>
      <c r="K155" t="s">
        <v>30</v>
      </c>
      <c r="L155">
        <v>5</v>
      </c>
      <c r="M155" s="34">
        <v>1.9E-2</v>
      </c>
    </row>
    <row r="156" spans="2:13" x14ac:dyDescent="0.25">
      <c r="B156" s="33">
        <v>1</v>
      </c>
      <c r="C156" t="s">
        <v>77</v>
      </c>
      <c r="D156" t="s">
        <v>123</v>
      </c>
      <c r="E156">
        <v>11</v>
      </c>
      <c r="F156" s="2">
        <v>6.8493150684931503E-2</v>
      </c>
      <c r="I156" s="33">
        <v>1</v>
      </c>
      <c r="K156" t="s">
        <v>30</v>
      </c>
      <c r="L156">
        <v>6</v>
      </c>
      <c r="M156" s="34">
        <v>0.03</v>
      </c>
    </row>
    <row r="157" spans="2:13" x14ac:dyDescent="0.25">
      <c r="B157" s="33">
        <v>1</v>
      </c>
      <c r="C157" t="s">
        <v>66</v>
      </c>
      <c r="D157" t="s">
        <v>67</v>
      </c>
      <c r="E157">
        <v>15</v>
      </c>
      <c r="F157" s="2">
        <v>0.18082191780821918</v>
      </c>
      <c r="I157" s="33">
        <v>1</v>
      </c>
      <c r="K157" t="s">
        <v>30</v>
      </c>
      <c r="L157">
        <v>7</v>
      </c>
      <c r="M157" s="34">
        <v>9.9000000000000005E-2</v>
      </c>
    </row>
    <row r="158" spans="2:13" x14ac:dyDescent="0.25">
      <c r="B158" s="33">
        <v>1</v>
      </c>
      <c r="C158" t="s">
        <v>69</v>
      </c>
      <c r="D158" t="s">
        <v>124</v>
      </c>
      <c r="E158">
        <v>8</v>
      </c>
      <c r="F158" s="2">
        <v>7.1232876712328766E-2</v>
      </c>
      <c r="I158" s="33">
        <v>1</v>
      </c>
      <c r="K158" t="s">
        <v>30</v>
      </c>
      <c r="L158">
        <v>8</v>
      </c>
      <c r="M158" s="34">
        <v>0.16400000000000001</v>
      </c>
    </row>
    <row r="159" spans="2:13" x14ac:dyDescent="0.25">
      <c r="B159" s="33">
        <v>1</v>
      </c>
      <c r="C159" t="s">
        <v>1</v>
      </c>
      <c r="D159" t="s">
        <v>110</v>
      </c>
      <c r="E159">
        <v>10</v>
      </c>
      <c r="F159" s="2">
        <v>0.18904109589041096</v>
      </c>
      <c r="I159" s="33">
        <v>1</v>
      </c>
      <c r="K159" t="s">
        <v>30</v>
      </c>
      <c r="L159">
        <v>9</v>
      </c>
      <c r="M159" s="34">
        <v>0.26</v>
      </c>
    </row>
    <row r="160" spans="2:13" x14ac:dyDescent="0.25">
      <c r="B160" s="33">
        <v>1</v>
      </c>
      <c r="C160" t="s">
        <v>69</v>
      </c>
      <c r="D160" t="s">
        <v>113</v>
      </c>
      <c r="E160">
        <v>11</v>
      </c>
      <c r="F160" s="2">
        <v>6.8493150684931503E-2</v>
      </c>
      <c r="I160" s="33">
        <v>1</v>
      </c>
      <c r="K160" t="s">
        <v>30</v>
      </c>
      <c r="L160">
        <v>10</v>
      </c>
      <c r="M160" s="34">
        <v>0.115</v>
      </c>
    </row>
    <row r="161" spans="2:13" x14ac:dyDescent="0.25">
      <c r="B161" s="33">
        <v>1</v>
      </c>
      <c r="C161" t="s">
        <v>1</v>
      </c>
      <c r="D161" t="s">
        <v>110</v>
      </c>
      <c r="E161">
        <v>13</v>
      </c>
      <c r="F161" s="2">
        <v>0.18630136986301371</v>
      </c>
      <c r="I161" s="33">
        <v>1</v>
      </c>
      <c r="K161" t="s">
        <v>30</v>
      </c>
      <c r="L161">
        <v>11</v>
      </c>
      <c r="M161" s="34">
        <v>0.112</v>
      </c>
    </row>
    <row r="162" spans="2:13" x14ac:dyDescent="0.25">
      <c r="B162" s="33">
        <v>1</v>
      </c>
      <c r="C162" t="s">
        <v>103</v>
      </c>
      <c r="D162" t="s">
        <v>104</v>
      </c>
      <c r="E162">
        <v>8</v>
      </c>
      <c r="F162" s="2">
        <v>0.16438356164383561</v>
      </c>
      <c r="I162" s="33">
        <v>1</v>
      </c>
      <c r="K162" t="s">
        <v>30</v>
      </c>
      <c r="L162">
        <v>12</v>
      </c>
      <c r="M162" s="34">
        <v>8.5000000000000006E-2</v>
      </c>
    </row>
    <row r="163" spans="2:13" x14ac:dyDescent="0.25">
      <c r="B163" s="33">
        <v>1</v>
      </c>
      <c r="C163" t="s">
        <v>72</v>
      </c>
      <c r="D163" t="s">
        <v>81</v>
      </c>
      <c r="E163">
        <v>13</v>
      </c>
      <c r="F163" s="2">
        <v>0.18082191780821918</v>
      </c>
      <c r="I163" s="33">
        <v>1</v>
      </c>
      <c r="K163" t="s">
        <v>30</v>
      </c>
      <c r="L163">
        <v>13</v>
      </c>
      <c r="M163" s="34">
        <v>0.104</v>
      </c>
    </row>
    <row r="164" spans="2:13" x14ac:dyDescent="0.25">
      <c r="B164" s="33">
        <v>1</v>
      </c>
      <c r="C164" t="s">
        <v>90</v>
      </c>
      <c r="D164" t="s">
        <v>91</v>
      </c>
      <c r="E164">
        <v>10</v>
      </c>
      <c r="F164" s="2">
        <v>0.26301369863013696</v>
      </c>
      <c r="I164" s="33">
        <v>1</v>
      </c>
      <c r="K164" t="s">
        <v>30</v>
      </c>
      <c r="L164">
        <v>14</v>
      </c>
      <c r="M164" s="34">
        <v>0.129</v>
      </c>
    </row>
    <row r="165" spans="2:13" x14ac:dyDescent="0.25">
      <c r="B165" s="33">
        <v>1</v>
      </c>
      <c r="C165" t="s">
        <v>88</v>
      </c>
      <c r="D165" t="s">
        <v>89</v>
      </c>
      <c r="E165">
        <v>11</v>
      </c>
      <c r="F165" s="2">
        <v>0.27123287671232876</v>
      </c>
      <c r="I165" s="33">
        <v>1</v>
      </c>
      <c r="K165" t="s">
        <v>30</v>
      </c>
      <c r="L165">
        <v>15</v>
      </c>
      <c r="M165" s="34">
        <v>0.11</v>
      </c>
    </row>
    <row r="166" spans="2:13" x14ac:dyDescent="0.25">
      <c r="B166" s="33">
        <v>1</v>
      </c>
      <c r="C166" t="s">
        <v>103</v>
      </c>
      <c r="D166" t="s">
        <v>104</v>
      </c>
      <c r="E166">
        <v>9</v>
      </c>
      <c r="F166" s="2">
        <v>0.16164383561643836</v>
      </c>
      <c r="I166" s="33">
        <v>1</v>
      </c>
      <c r="K166" t="s">
        <v>30</v>
      </c>
      <c r="L166">
        <v>16</v>
      </c>
      <c r="M166" s="34">
        <v>0.11799999999999999</v>
      </c>
    </row>
    <row r="167" spans="2:13" x14ac:dyDescent="0.25">
      <c r="B167" s="33">
        <v>1</v>
      </c>
      <c r="C167" t="s">
        <v>64</v>
      </c>
      <c r="D167" t="s">
        <v>99</v>
      </c>
      <c r="E167">
        <v>9</v>
      </c>
      <c r="F167" s="2">
        <v>0.12876712328767123</v>
      </c>
      <c r="I167" s="33">
        <v>1</v>
      </c>
      <c r="K167" t="s">
        <v>30</v>
      </c>
      <c r="L167">
        <v>17</v>
      </c>
      <c r="M167" s="34">
        <v>0.104</v>
      </c>
    </row>
    <row r="168" spans="2:13" x14ac:dyDescent="0.25">
      <c r="B168" s="33">
        <v>1</v>
      </c>
      <c r="C168" t="s">
        <v>6</v>
      </c>
      <c r="D168" t="s">
        <v>21</v>
      </c>
      <c r="E168">
        <v>19</v>
      </c>
      <c r="F168" s="2">
        <v>0.18904109589041096</v>
      </c>
      <c r="I168" s="33">
        <v>1</v>
      </c>
      <c r="K168" t="s">
        <v>30</v>
      </c>
      <c r="L168">
        <v>18</v>
      </c>
      <c r="M168" s="34">
        <v>9.2999999999999999E-2</v>
      </c>
    </row>
    <row r="169" spans="2:13" x14ac:dyDescent="0.25">
      <c r="B169" s="33">
        <v>1</v>
      </c>
      <c r="C169" t="s">
        <v>90</v>
      </c>
      <c r="D169" t="s">
        <v>91</v>
      </c>
      <c r="E169">
        <v>8</v>
      </c>
      <c r="F169" s="2">
        <v>0.24657534246575341</v>
      </c>
      <c r="I169" s="33">
        <v>1</v>
      </c>
      <c r="K169" t="s">
        <v>30</v>
      </c>
      <c r="L169">
        <v>19</v>
      </c>
      <c r="M169" s="34">
        <v>0.126</v>
      </c>
    </row>
    <row r="170" spans="2:13" x14ac:dyDescent="0.25">
      <c r="B170" s="33">
        <v>1</v>
      </c>
      <c r="C170" t="s">
        <v>77</v>
      </c>
      <c r="D170" t="s">
        <v>83</v>
      </c>
      <c r="E170">
        <v>15</v>
      </c>
      <c r="F170" s="2">
        <v>6.8493150684931503E-2</v>
      </c>
      <c r="I170" s="33">
        <v>1</v>
      </c>
      <c r="K170" t="s">
        <v>30</v>
      </c>
      <c r="L170">
        <v>20</v>
      </c>
      <c r="M170" s="34">
        <v>0.09</v>
      </c>
    </row>
    <row r="171" spans="2:13" x14ac:dyDescent="0.25">
      <c r="B171" s="33">
        <v>1</v>
      </c>
      <c r="C171" t="s">
        <v>88</v>
      </c>
      <c r="D171" t="s">
        <v>114</v>
      </c>
      <c r="E171">
        <v>10</v>
      </c>
      <c r="F171" s="2">
        <v>0.25205479452054796</v>
      </c>
      <c r="I171" s="33">
        <v>1</v>
      </c>
      <c r="K171" t="s">
        <v>30</v>
      </c>
      <c r="L171">
        <v>21</v>
      </c>
      <c r="M171" s="34">
        <v>5.5E-2</v>
      </c>
    </row>
    <row r="172" spans="2:13" x14ac:dyDescent="0.25">
      <c r="B172" s="33">
        <v>1</v>
      </c>
      <c r="C172" t="s">
        <v>72</v>
      </c>
      <c r="D172" t="s">
        <v>125</v>
      </c>
      <c r="E172">
        <v>15</v>
      </c>
      <c r="F172" s="2">
        <v>0.17260273972602741</v>
      </c>
      <c r="I172" s="33">
        <v>1</v>
      </c>
      <c r="K172" t="s">
        <v>30</v>
      </c>
      <c r="L172">
        <v>22</v>
      </c>
      <c r="M172" s="34">
        <v>8.2000000000000003E-2</v>
      </c>
    </row>
    <row r="173" spans="2:13" x14ac:dyDescent="0.25">
      <c r="B173" s="33">
        <v>1</v>
      </c>
      <c r="C173" t="s">
        <v>6</v>
      </c>
      <c r="D173" t="s">
        <v>21</v>
      </c>
      <c r="E173">
        <v>18</v>
      </c>
      <c r="F173" s="2">
        <v>0.18630136986301371</v>
      </c>
      <c r="I173" s="33">
        <v>1</v>
      </c>
      <c r="K173" t="s">
        <v>30</v>
      </c>
      <c r="L173">
        <v>23</v>
      </c>
      <c r="M173" s="34">
        <v>0.06</v>
      </c>
    </row>
    <row r="174" spans="2:13" x14ac:dyDescent="0.25">
      <c r="B174" s="33">
        <v>1</v>
      </c>
      <c r="C174" t="s">
        <v>77</v>
      </c>
      <c r="D174" t="s">
        <v>123</v>
      </c>
      <c r="E174">
        <v>10</v>
      </c>
      <c r="F174" s="2">
        <v>6.8493150684931503E-2</v>
      </c>
      <c r="I174" s="33">
        <v>1</v>
      </c>
      <c r="K174" t="s">
        <v>23</v>
      </c>
      <c r="L174">
        <v>0</v>
      </c>
      <c r="M174" s="34">
        <v>4.1000000000000002E-2</v>
      </c>
    </row>
    <row r="175" spans="2:13" x14ac:dyDescent="0.25">
      <c r="B175" s="33">
        <v>1</v>
      </c>
      <c r="C175" t="s">
        <v>126</v>
      </c>
      <c r="D175" t="s">
        <v>127</v>
      </c>
      <c r="E175">
        <v>10</v>
      </c>
      <c r="F175" s="2">
        <v>6.575342465753424E-2</v>
      </c>
      <c r="I175" s="33">
        <v>1</v>
      </c>
      <c r="K175" t="s">
        <v>23</v>
      </c>
      <c r="L175">
        <v>1</v>
      </c>
      <c r="M175" s="34">
        <v>1.4E-2</v>
      </c>
    </row>
    <row r="176" spans="2:13" x14ac:dyDescent="0.25">
      <c r="B176" s="33">
        <v>1</v>
      </c>
      <c r="C176" t="s">
        <v>0</v>
      </c>
      <c r="D176" t="s">
        <v>95</v>
      </c>
      <c r="E176">
        <v>12</v>
      </c>
      <c r="F176" s="2">
        <v>0.18630136986301371</v>
      </c>
      <c r="I176" s="33">
        <v>1</v>
      </c>
      <c r="K176" t="s">
        <v>23</v>
      </c>
      <c r="L176">
        <v>2</v>
      </c>
      <c r="M176" s="34">
        <v>3.7999999999999999E-2</v>
      </c>
    </row>
    <row r="177" spans="2:13" x14ac:dyDescent="0.25">
      <c r="B177" s="33">
        <v>1</v>
      </c>
      <c r="C177" t="s">
        <v>90</v>
      </c>
      <c r="D177" t="s">
        <v>91</v>
      </c>
      <c r="E177">
        <v>15</v>
      </c>
      <c r="F177" s="2">
        <v>0.24109589041095891</v>
      </c>
      <c r="I177" s="33">
        <v>1</v>
      </c>
      <c r="K177" t="s">
        <v>23</v>
      </c>
      <c r="L177">
        <v>3</v>
      </c>
      <c r="M177" s="34">
        <v>1.0999999999999999E-2</v>
      </c>
    </row>
    <row r="178" spans="2:13" x14ac:dyDescent="0.25">
      <c r="B178" s="33">
        <v>1</v>
      </c>
      <c r="C178" t="s">
        <v>66</v>
      </c>
      <c r="D178" t="s">
        <v>93</v>
      </c>
      <c r="E178">
        <v>15</v>
      </c>
      <c r="F178" s="2">
        <v>0.17808219178082191</v>
      </c>
      <c r="I178" s="33">
        <v>1</v>
      </c>
      <c r="K178" t="s">
        <v>23</v>
      </c>
      <c r="L178">
        <v>4</v>
      </c>
      <c r="M178" s="34">
        <v>1.4E-2</v>
      </c>
    </row>
    <row r="179" spans="2:13" x14ac:dyDescent="0.25">
      <c r="B179" s="33">
        <v>1</v>
      </c>
      <c r="C179" t="s">
        <v>6</v>
      </c>
      <c r="D179" t="s">
        <v>32</v>
      </c>
      <c r="E179">
        <v>15</v>
      </c>
      <c r="F179" s="2">
        <v>0.17534246575342466</v>
      </c>
      <c r="I179" s="33">
        <v>1</v>
      </c>
      <c r="K179" t="s">
        <v>23</v>
      </c>
      <c r="L179">
        <v>5</v>
      </c>
      <c r="M179" s="34">
        <v>1.0999999999999999E-2</v>
      </c>
    </row>
    <row r="180" spans="2:13" x14ac:dyDescent="0.25">
      <c r="B180" s="33">
        <v>1</v>
      </c>
      <c r="C180" t="s">
        <v>69</v>
      </c>
      <c r="D180" t="s">
        <v>128</v>
      </c>
      <c r="E180">
        <v>9</v>
      </c>
      <c r="F180" s="2">
        <v>6.3013698630136991E-2</v>
      </c>
      <c r="I180" s="33">
        <v>1</v>
      </c>
      <c r="K180" t="s">
        <v>23</v>
      </c>
      <c r="L180">
        <v>6</v>
      </c>
      <c r="M180" s="34">
        <v>1.0999999999999999E-2</v>
      </c>
    </row>
    <row r="181" spans="2:13" x14ac:dyDescent="0.25">
      <c r="B181" s="33">
        <v>1</v>
      </c>
      <c r="C181" t="s">
        <v>88</v>
      </c>
      <c r="D181" t="s">
        <v>89</v>
      </c>
      <c r="E181">
        <v>12</v>
      </c>
      <c r="F181" s="2">
        <v>0.23013698630136986</v>
      </c>
      <c r="I181" s="33">
        <v>1</v>
      </c>
      <c r="K181" t="s">
        <v>23</v>
      </c>
      <c r="L181">
        <v>7</v>
      </c>
      <c r="M181" s="34">
        <v>7.3999999999999996E-2</v>
      </c>
    </row>
    <row r="182" spans="2:13" x14ac:dyDescent="0.25">
      <c r="B182" s="33">
        <v>1</v>
      </c>
      <c r="C182" t="s">
        <v>66</v>
      </c>
      <c r="D182" t="s">
        <v>107</v>
      </c>
      <c r="E182">
        <v>10</v>
      </c>
      <c r="F182" s="2">
        <v>0.17534246575342466</v>
      </c>
      <c r="I182" s="33">
        <v>1</v>
      </c>
      <c r="K182" t="s">
        <v>23</v>
      </c>
      <c r="L182">
        <v>8</v>
      </c>
      <c r="M182" s="34">
        <v>6.8000000000000005E-2</v>
      </c>
    </row>
    <row r="183" spans="2:13" x14ac:dyDescent="0.25">
      <c r="B183" s="33">
        <v>1</v>
      </c>
      <c r="C183" t="s">
        <v>88</v>
      </c>
      <c r="D183" t="s">
        <v>89</v>
      </c>
      <c r="E183">
        <v>9</v>
      </c>
      <c r="F183" s="2">
        <v>0.21369863013698631</v>
      </c>
      <c r="I183" s="33">
        <v>1</v>
      </c>
      <c r="K183" t="s">
        <v>23</v>
      </c>
      <c r="L183">
        <v>9</v>
      </c>
      <c r="M183" s="34">
        <v>0.153</v>
      </c>
    </row>
    <row r="184" spans="2:13" x14ac:dyDescent="0.25">
      <c r="B184" s="33">
        <v>1</v>
      </c>
      <c r="C184" t="s">
        <v>74</v>
      </c>
      <c r="D184" t="s">
        <v>75</v>
      </c>
      <c r="E184">
        <v>12</v>
      </c>
      <c r="F184" s="2">
        <v>0.19178082191780821</v>
      </c>
      <c r="I184" s="33">
        <v>1</v>
      </c>
      <c r="K184" t="s">
        <v>23</v>
      </c>
      <c r="L184">
        <v>10</v>
      </c>
      <c r="M184" s="34">
        <v>0.126</v>
      </c>
    </row>
    <row r="185" spans="2:13" x14ac:dyDescent="0.25">
      <c r="B185" s="33">
        <v>1</v>
      </c>
      <c r="C185" t="s">
        <v>90</v>
      </c>
      <c r="D185" t="s">
        <v>109</v>
      </c>
      <c r="E185">
        <v>9</v>
      </c>
      <c r="F185" s="2">
        <v>0.24109589041095891</v>
      </c>
      <c r="I185" s="33">
        <v>1</v>
      </c>
      <c r="K185" t="s">
        <v>23</v>
      </c>
      <c r="L185">
        <v>11</v>
      </c>
      <c r="M185" s="34">
        <v>9.9000000000000005E-2</v>
      </c>
    </row>
    <row r="186" spans="2:13" x14ac:dyDescent="0.25">
      <c r="B186" s="33">
        <v>1</v>
      </c>
      <c r="C186" t="s">
        <v>77</v>
      </c>
      <c r="D186" t="s">
        <v>123</v>
      </c>
      <c r="E186">
        <v>14</v>
      </c>
      <c r="F186" s="2">
        <v>6.8493150684931503E-2</v>
      </c>
      <c r="I186" s="33">
        <v>1</v>
      </c>
      <c r="K186" t="s">
        <v>23</v>
      </c>
      <c r="L186">
        <v>12</v>
      </c>
      <c r="M186" s="34">
        <v>5.8000000000000003E-2</v>
      </c>
    </row>
    <row r="187" spans="2:13" x14ac:dyDescent="0.25">
      <c r="B187" s="33">
        <v>1</v>
      </c>
      <c r="C187" t="s">
        <v>3</v>
      </c>
      <c r="D187" t="s">
        <v>84</v>
      </c>
      <c r="E187">
        <v>11</v>
      </c>
      <c r="F187" s="2">
        <v>7.6712328767123292E-2</v>
      </c>
      <c r="I187" s="33">
        <v>1</v>
      </c>
      <c r="K187" t="s">
        <v>23</v>
      </c>
      <c r="L187">
        <v>13</v>
      </c>
      <c r="M187" s="34">
        <v>8.2000000000000003E-2</v>
      </c>
    </row>
    <row r="188" spans="2:13" x14ac:dyDescent="0.25">
      <c r="B188" s="33">
        <v>1</v>
      </c>
      <c r="C188" t="s">
        <v>66</v>
      </c>
      <c r="D188" t="s">
        <v>129</v>
      </c>
      <c r="E188">
        <v>11</v>
      </c>
      <c r="F188" s="2">
        <v>0.17260273972602741</v>
      </c>
      <c r="I188" s="33">
        <v>1</v>
      </c>
      <c r="K188" t="s">
        <v>23</v>
      </c>
      <c r="L188">
        <v>14</v>
      </c>
      <c r="M188" s="34">
        <v>7.3999999999999996E-2</v>
      </c>
    </row>
    <row r="189" spans="2:13" x14ac:dyDescent="0.25">
      <c r="B189" s="33">
        <v>1</v>
      </c>
      <c r="C189" t="s">
        <v>90</v>
      </c>
      <c r="D189" t="s">
        <v>91</v>
      </c>
      <c r="E189">
        <v>11</v>
      </c>
      <c r="F189" s="2">
        <v>0.23835616438356164</v>
      </c>
      <c r="I189" s="33">
        <v>1</v>
      </c>
      <c r="K189" t="s">
        <v>23</v>
      </c>
      <c r="L189">
        <v>15</v>
      </c>
      <c r="M189" s="34">
        <v>8.7999999999999995E-2</v>
      </c>
    </row>
    <row r="190" spans="2:13" x14ac:dyDescent="0.25">
      <c r="B190" s="33">
        <v>1</v>
      </c>
      <c r="C190" t="s">
        <v>66</v>
      </c>
      <c r="D190" t="s">
        <v>80</v>
      </c>
      <c r="E190">
        <v>13</v>
      </c>
      <c r="F190" s="2">
        <v>0.16438356164383561</v>
      </c>
      <c r="I190" s="33">
        <v>1</v>
      </c>
      <c r="K190" t="s">
        <v>23</v>
      </c>
      <c r="L190">
        <v>16</v>
      </c>
      <c r="M190" s="34">
        <v>0.14499999999999999</v>
      </c>
    </row>
    <row r="191" spans="2:13" x14ac:dyDescent="0.25">
      <c r="B191" s="33">
        <v>1</v>
      </c>
      <c r="C191" t="s">
        <v>72</v>
      </c>
      <c r="D191" t="s">
        <v>125</v>
      </c>
      <c r="E191">
        <v>11</v>
      </c>
      <c r="F191" s="2">
        <v>0.16712328767123288</v>
      </c>
      <c r="I191" s="33">
        <v>1</v>
      </c>
      <c r="K191" t="s">
        <v>23</v>
      </c>
      <c r="L191">
        <v>17</v>
      </c>
      <c r="M191" s="34">
        <v>0.17299999999999999</v>
      </c>
    </row>
    <row r="192" spans="2:13" x14ac:dyDescent="0.25">
      <c r="B192" s="33">
        <v>1</v>
      </c>
      <c r="C192" t="s">
        <v>2</v>
      </c>
      <c r="D192" t="s">
        <v>96</v>
      </c>
      <c r="E192">
        <v>14</v>
      </c>
      <c r="F192" s="2">
        <v>5.7534246575342465E-2</v>
      </c>
      <c r="I192" s="33">
        <v>1</v>
      </c>
      <c r="K192" t="s">
        <v>23</v>
      </c>
      <c r="L192">
        <v>18</v>
      </c>
      <c r="M192" s="34">
        <v>0.16200000000000001</v>
      </c>
    </row>
    <row r="193" spans="2:13" x14ac:dyDescent="0.25">
      <c r="B193" s="33">
        <v>1</v>
      </c>
      <c r="C193" t="s">
        <v>88</v>
      </c>
      <c r="D193" t="s">
        <v>89</v>
      </c>
      <c r="E193">
        <v>14</v>
      </c>
      <c r="F193" s="2">
        <v>0.20821917808219179</v>
      </c>
      <c r="I193" s="33">
        <v>1</v>
      </c>
      <c r="K193" t="s">
        <v>23</v>
      </c>
      <c r="L193">
        <v>19</v>
      </c>
      <c r="M193" s="34">
        <v>0.2</v>
      </c>
    </row>
    <row r="194" spans="2:13" x14ac:dyDescent="0.25">
      <c r="B194" s="33">
        <v>1</v>
      </c>
      <c r="C194" t="s">
        <v>90</v>
      </c>
      <c r="D194" t="s">
        <v>91</v>
      </c>
      <c r="E194">
        <v>14</v>
      </c>
      <c r="F194" s="2">
        <v>0.18630136986301371</v>
      </c>
      <c r="I194" s="33">
        <v>1</v>
      </c>
      <c r="K194" t="s">
        <v>23</v>
      </c>
      <c r="L194">
        <v>20</v>
      </c>
      <c r="M194" s="34">
        <v>0.104</v>
      </c>
    </row>
    <row r="195" spans="2:13" x14ac:dyDescent="0.25">
      <c r="B195" s="33">
        <v>1</v>
      </c>
      <c r="C195" t="s">
        <v>66</v>
      </c>
      <c r="D195" t="s">
        <v>93</v>
      </c>
      <c r="E195">
        <v>10</v>
      </c>
      <c r="F195" s="2">
        <v>0.15616438356164383</v>
      </c>
      <c r="I195" s="33">
        <v>1</v>
      </c>
      <c r="K195" t="s">
        <v>23</v>
      </c>
      <c r="L195">
        <v>21</v>
      </c>
      <c r="M195" s="34">
        <v>6.3E-2</v>
      </c>
    </row>
    <row r="196" spans="2:13" x14ac:dyDescent="0.25">
      <c r="B196" s="33">
        <v>1</v>
      </c>
      <c r="C196" t="s">
        <v>1</v>
      </c>
      <c r="D196" t="s">
        <v>112</v>
      </c>
      <c r="E196">
        <v>13</v>
      </c>
      <c r="F196" s="2">
        <v>0.17808219178082191</v>
      </c>
      <c r="I196" s="33">
        <v>1</v>
      </c>
      <c r="K196" t="s">
        <v>23</v>
      </c>
      <c r="L196">
        <v>22</v>
      </c>
      <c r="M196" s="34">
        <v>5.5E-2</v>
      </c>
    </row>
    <row r="197" spans="2:13" x14ac:dyDescent="0.25">
      <c r="B197" s="33">
        <v>1</v>
      </c>
      <c r="C197" t="s">
        <v>6</v>
      </c>
      <c r="D197" t="s">
        <v>23</v>
      </c>
      <c r="E197">
        <v>17</v>
      </c>
      <c r="F197" s="2">
        <v>0.17260273972602741</v>
      </c>
      <c r="I197" s="33">
        <v>1</v>
      </c>
      <c r="K197" t="s">
        <v>23</v>
      </c>
      <c r="L197">
        <v>23</v>
      </c>
      <c r="M197" s="34">
        <v>3.5999999999999997E-2</v>
      </c>
    </row>
    <row r="198" spans="2:13" x14ac:dyDescent="0.25">
      <c r="B198" s="33">
        <v>1</v>
      </c>
      <c r="C198" t="s">
        <v>90</v>
      </c>
      <c r="D198" t="s">
        <v>91</v>
      </c>
      <c r="E198">
        <v>9</v>
      </c>
      <c r="F198" s="2">
        <v>0.17534246575342466</v>
      </c>
      <c r="I198" s="33">
        <v>1</v>
      </c>
      <c r="K198" t="s">
        <v>34</v>
      </c>
      <c r="L198">
        <v>0</v>
      </c>
      <c r="M198" s="34">
        <v>4.1000000000000002E-2</v>
      </c>
    </row>
    <row r="199" spans="2:13" x14ac:dyDescent="0.25">
      <c r="B199" s="33">
        <v>1</v>
      </c>
      <c r="C199" t="s">
        <v>4</v>
      </c>
      <c r="D199" t="s">
        <v>106</v>
      </c>
      <c r="E199">
        <v>11</v>
      </c>
      <c r="F199" s="2">
        <v>0.1095890410958904</v>
      </c>
      <c r="I199" s="33">
        <v>1</v>
      </c>
      <c r="K199" t="s">
        <v>34</v>
      </c>
      <c r="L199">
        <v>1</v>
      </c>
      <c r="M199" s="34">
        <v>1.6E-2</v>
      </c>
    </row>
    <row r="200" spans="2:13" x14ac:dyDescent="0.25">
      <c r="B200" s="33">
        <v>1</v>
      </c>
      <c r="C200" t="s">
        <v>74</v>
      </c>
      <c r="D200" t="s">
        <v>130</v>
      </c>
      <c r="E200">
        <v>14</v>
      </c>
      <c r="F200" s="2">
        <v>0.17808219178082191</v>
      </c>
      <c r="I200" s="33">
        <v>1</v>
      </c>
      <c r="K200" t="s">
        <v>34</v>
      </c>
      <c r="L200">
        <v>2</v>
      </c>
      <c r="M200" s="34">
        <v>1.9E-2</v>
      </c>
    </row>
    <row r="201" spans="2:13" x14ac:dyDescent="0.25">
      <c r="B201" s="33">
        <v>1</v>
      </c>
      <c r="C201" t="s">
        <v>64</v>
      </c>
      <c r="D201" t="s">
        <v>99</v>
      </c>
      <c r="E201">
        <v>13</v>
      </c>
      <c r="F201" s="2">
        <v>0.12876712328767123</v>
      </c>
      <c r="I201" s="33">
        <v>1</v>
      </c>
      <c r="K201" t="s">
        <v>34</v>
      </c>
      <c r="L201">
        <v>4</v>
      </c>
      <c r="M201" s="34">
        <v>2.1999999999999999E-2</v>
      </c>
    </row>
    <row r="202" spans="2:13" x14ac:dyDescent="0.25">
      <c r="B202" s="33">
        <v>1</v>
      </c>
      <c r="C202" t="s">
        <v>6</v>
      </c>
      <c r="D202" t="s">
        <v>34</v>
      </c>
      <c r="E202">
        <v>13</v>
      </c>
      <c r="F202" s="2">
        <v>0.17260273972602741</v>
      </c>
      <c r="I202" s="33">
        <v>1</v>
      </c>
      <c r="K202" t="s">
        <v>34</v>
      </c>
      <c r="L202">
        <v>5</v>
      </c>
      <c r="M202" s="34">
        <v>8.0000000000000002E-3</v>
      </c>
    </row>
    <row r="203" spans="2:13" x14ac:dyDescent="0.25">
      <c r="B203" s="33">
        <v>1</v>
      </c>
      <c r="C203" t="s">
        <v>72</v>
      </c>
      <c r="D203" t="s">
        <v>81</v>
      </c>
      <c r="E203">
        <v>10</v>
      </c>
      <c r="F203" s="2">
        <v>0.16438356164383561</v>
      </c>
      <c r="I203" s="33">
        <v>1</v>
      </c>
      <c r="K203" t="s">
        <v>34</v>
      </c>
      <c r="L203">
        <v>6</v>
      </c>
      <c r="M203" s="34">
        <v>1.9E-2</v>
      </c>
    </row>
    <row r="204" spans="2:13" x14ac:dyDescent="0.25">
      <c r="B204" s="33">
        <v>1</v>
      </c>
      <c r="C204" t="s">
        <v>69</v>
      </c>
      <c r="D204" t="s">
        <v>70</v>
      </c>
      <c r="E204">
        <v>11</v>
      </c>
      <c r="F204" s="2">
        <v>6.0273972602739728E-2</v>
      </c>
      <c r="I204" s="33">
        <v>1</v>
      </c>
      <c r="K204" t="s">
        <v>34</v>
      </c>
      <c r="L204">
        <v>7</v>
      </c>
      <c r="M204" s="34">
        <v>8.2000000000000003E-2</v>
      </c>
    </row>
    <row r="205" spans="2:13" x14ac:dyDescent="0.25">
      <c r="B205" s="33">
        <v>1</v>
      </c>
      <c r="C205" t="s">
        <v>1</v>
      </c>
      <c r="D205" t="s">
        <v>94</v>
      </c>
      <c r="E205">
        <v>8</v>
      </c>
      <c r="F205" s="2">
        <v>0.17534246575342466</v>
      </c>
      <c r="I205" s="33">
        <v>1</v>
      </c>
      <c r="K205" t="s">
        <v>34</v>
      </c>
      <c r="L205">
        <v>8</v>
      </c>
      <c r="M205" s="34">
        <v>7.9000000000000001E-2</v>
      </c>
    </row>
    <row r="206" spans="2:13" x14ac:dyDescent="0.25">
      <c r="B206" s="33">
        <v>1</v>
      </c>
      <c r="C206" t="s">
        <v>88</v>
      </c>
      <c r="D206" t="s">
        <v>117</v>
      </c>
      <c r="E206">
        <v>11</v>
      </c>
      <c r="F206" s="2">
        <v>0.20547945205479451</v>
      </c>
      <c r="I206" s="33">
        <v>1</v>
      </c>
      <c r="K206" t="s">
        <v>34</v>
      </c>
      <c r="L206">
        <v>9</v>
      </c>
      <c r="M206" s="34">
        <v>5.8000000000000003E-2</v>
      </c>
    </row>
    <row r="207" spans="2:13" x14ac:dyDescent="0.25">
      <c r="B207" s="33">
        <v>1</v>
      </c>
      <c r="C207" t="s">
        <v>74</v>
      </c>
      <c r="D207" t="s">
        <v>75</v>
      </c>
      <c r="E207">
        <v>15</v>
      </c>
      <c r="F207" s="2">
        <v>0.16986301369863013</v>
      </c>
      <c r="I207" s="33">
        <v>1</v>
      </c>
      <c r="K207" t="s">
        <v>34</v>
      </c>
      <c r="L207">
        <v>10</v>
      </c>
      <c r="M207" s="34">
        <v>0.14000000000000001</v>
      </c>
    </row>
    <row r="208" spans="2:13" x14ac:dyDescent="0.25">
      <c r="B208" s="33">
        <v>1</v>
      </c>
      <c r="C208" t="s">
        <v>64</v>
      </c>
      <c r="D208" t="s">
        <v>99</v>
      </c>
      <c r="E208">
        <v>16</v>
      </c>
      <c r="F208" s="2">
        <v>0.10410958904109589</v>
      </c>
      <c r="I208" s="33">
        <v>1</v>
      </c>
      <c r="K208" t="s">
        <v>34</v>
      </c>
      <c r="L208">
        <v>11</v>
      </c>
      <c r="M208" s="34">
        <v>7.3999999999999996E-2</v>
      </c>
    </row>
    <row r="209" spans="2:13" x14ac:dyDescent="0.25">
      <c r="B209" s="33">
        <v>1</v>
      </c>
      <c r="C209" t="s">
        <v>77</v>
      </c>
      <c r="D209" t="s">
        <v>87</v>
      </c>
      <c r="E209">
        <v>18</v>
      </c>
      <c r="F209" s="2">
        <v>7.1232876712328766E-2</v>
      </c>
      <c r="I209" s="33">
        <v>1</v>
      </c>
      <c r="K209" t="s">
        <v>34</v>
      </c>
      <c r="L209">
        <v>12</v>
      </c>
      <c r="M209" s="34">
        <v>6.6000000000000003E-2</v>
      </c>
    </row>
    <row r="210" spans="2:13" x14ac:dyDescent="0.25">
      <c r="B210" s="33">
        <v>1</v>
      </c>
      <c r="C210" t="s">
        <v>66</v>
      </c>
      <c r="D210" t="s">
        <v>129</v>
      </c>
      <c r="E210">
        <v>16</v>
      </c>
      <c r="F210" s="2">
        <v>0.18356164383561643</v>
      </c>
      <c r="I210" s="33">
        <v>1</v>
      </c>
      <c r="K210" t="s">
        <v>34</v>
      </c>
      <c r="L210">
        <v>13</v>
      </c>
      <c r="M210" s="34">
        <v>0.17299999999999999</v>
      </c>
    </row>
    <row r="211" spans="2:13" x14ac:dyDescent="0.25">
      <c r="B211" s="33">
        <v>1</v>
      </c>
      <c r="C211" t="s">
        <v>88</v>
      </c>
      <c r="D211" t="s">
        <v>89</v>
      </c>
      <c r="E211">
        <v>20</v>
      </c>
      <c r="F211" s="2">
        <v>0.18082191780821918</v>
      </c>
      <c r="I211" s="33">
        <v>1</v>
      </c>
      <c r="K211" t="s">
        <v>34</v>
      </c>
      <c r="L211">
        <v>14</v>
      </c>
      <c r="M211" s="34">
        <v>0.06</v>
      </c>
    </row>
    <row r="212" spans="2:13" x14ac:dyDescent="0.25">
      <c r="B212" s="33">
        <v>1</v>
      </c>
      <c r="C212" t="s">
        <v>88</v>
      </c>
      <c r="D212" t="s">
        <v>117</v>
      </c>
      <c r="E212">
        <v>17</v>
      </c>
      <c r="F212" s="2">
        <v>0.18082191780821918</v>
      </c>
      <c r="I212" s="33">
        <v>1</v>
      </c>
      <c r="K212" t="s">
        <v>34</v>
      </c>
      <c r="L212">
        <v>15</v>
      </c>
      <c r="M212" s="34">
        <v>0.13400000000000001</v>
      </c>
    </row>
    <row r="213" spans="2:13" x14ac:dyDescent="0.25">
      <c r="B213" s="33">
        <v>1</v>
      </c>
      <c r="C213" t="s">
        <v>74</v>
      </c>
      <c r="D213" t="s">
        <v>105</v>
      </c>
      <c r="E213">
        <v>18</v>
      </c>
      <c r="F213" s="2">
        <v>0.18630136986301371</v>
      </c>
      <c r="I213" s="33">
        <v>1</v>
      </c>
      <c r="K213" t="s">
        <v>34</v>
      </c>
      <c r="L213">
        <v>16</v>
      </c>
      <c r="M213" s="34">
        <v>0.10100000000000001</v>
      </c>
    </row>
    <row r="214" spans="2:13" x14ac:dyDescent="0.25">
      <c r="B214" s="33">
        <v>1</v>
      </c>
      <c r="C214" t="s">
        <v>1</v>
      </c>
      <c r="D214" t="s">
        <v>92</v>
      </c>
      <c r="E214">
        <v>16</v>
      </c>
      <c r="F214" s="2">
        <v>0.18356164383561643</v>
      </c>
      <c r="I214" s="33">
        <v>1</v>
      </c>
      <c r="K214" t="s">
        <v>34</v>
      </c>
      <c r="L214">
        <v>17</v>
      </c>
      <c r="M214" s="34">
        <v>0.10100000000000001</v>
      </c>
    </row>
    <row r="215" spans="2:13" x14ac:dyDescent="0.25">
      <c r="B215" s="33">
        <v>1</v>
      </c>
      <c r="C215" t="s">
        <v>6</v>
      </c>
      <c r="D215" t="s">
        <v>32</v>
      </c>
      <c r="E215">
        <v>16</v>
      </c>
      <c r="F215" s="2">
        <v>0.16986301369863013</v>
      </c>
      <c r="I215" s="33">
        <v>1</v>
      </c>
      <c r="K215" t="s">
        <v>34</v>
      </c>
      <c r="L215">
        <v>18</v>
      </c>
      <c r="M215" s="34">
        <v>0.121</v>
      </c>
    </row>
    <row r="216" spans="2:13" x14ac:dyDescent="0.25">
      <c r="B216" s="33">
        <v>1</v>
      </c>
      <c r="C216" t="s">
        <v>126</v>
      </c>
      <c r="D216" t="s">
        <v>131</v>
      </c>
      <c r="E216">
        <v>16</v>
      </c>
      <c r="F216" s="2">
        <v>7.3972602739726029E-2</v>
      </c>
      <c r="I216" s="33">
        <v>1</v>
      </c>
      <c r="K216" t="s">
        <v>34</v>
      </c>
      <c r="L216">
        <v>19</v>
      </c>
      <c r="M216" s="34">
        <v>7.0999999999999994E-2</v>
      </c>
    </row>
    <row r="217" spans="2:13" x14ac:dyDescent="0.25">
      <c r="B217" s="33">
        <v>1</v>
      </c>
      <c r="C217" t="s">
        <v>6</v>
      </c>
      <c r="D217" t="s">
        <v>21</v>
      </c>
      <c r="E217">
        <v>10</v>
      </c>
      <c r="F217" s="2">
        <v>0.16712328767123288</v>
      </c>
      <c r="I217" s="33">
        <v>1</v>
      </c>
      <c r="K217" t="s">
        <v>34</v>
      </c>
      <c r="L217">
        <v>20</v>
      </c>
      <c r="M217" s="34">
        <v>7.6999999999999999E-2</v>
      </c>
    </row>
    <row r="218" spans="2:13" x14ac:dyDescent="0.25">
      <c r="B218" s="33">
        <v>1</v>
      </c>
      <c r="C218" t="s">
        <v>77</v>
      </c>
      <c r="D218" t="s">
        <v>78</v>
      </c>
      <c r="E218">
        <v>19</v>
      </c>
      <c r="F218" s="2">
        <v>6.575342465753424E-2</v>
      </c>
      <c r="I218" s="33">
        <v>1</v>
      </c>
      <c r="K218" t="s">
        <v>34</v>
      </c>
      <c r="L218">
        <v>21</v>
      </c>
      <c r="M218" s="34">
        <v>5.5E-2</v>
      </c>
    </row>
    <row r="219" spans="2:13" x14ac:dyDescent="0.25">
      <c r="B219" s="33">
        <v>1</v>
      </c>
      <c r="C219" t="s">
        <v>64</v>
      </c>
      <c r="D219" t="s">
        <v>65</v>
      </c>
      <c r="E219">
        <v>16</v>
      </c>
      <c r="F219" s="2">
        <v>0.15342465753424658</v>
      </c>
      <c r="I219" s="33">
        <v>1</v>
      </c>
      <c r="K219" t="s">
        <v>34</v>
      </c>
      <c r="L219">
        <v>22</v>
      </c>
      <c r="M219" s="34">
        <v>2.1999999999999999E-2</v>
      </c>
    </row>
    <row r="220" spans="2:13" x14ac:dyDescent="0.25">
      <c r="B220" s="33">
        <v>1</v>
      </c>
      <c r="C220" t="s">
        <v>1</v>
      </c>
      <c r="D220" t="s">
        <v>82</v>
      </c>
      <c r="E220">
        <v>20</v>
      </c>
      <c r="F220" s="2">
        <v>0.18356164383561643</v>
      </c>
      <c r="I220" s="33">
        <v>1</v>
      </c>
      <c r="K220" t="s">
        <v>34</v>
      </c>
      <c r="L220">
        <v>23</v>
      </c>
      <c r="M220" s="34">
        <v>6.3E-2</v>
      </c>
    </row>
    <row r="221" spans="2:13" x14ac:dyDescent="0.25">
      <c r="B221" s="33">
        <v>1</v>
      </c>
      <c r="C221" t="s">
        <v>3</v>
      </c>
      <c r="D221" t="s">
        <v>100</v>
      </c>
      <c r="E221">
        <v>17</v>
      </c>
      <c r="F221" s="2">
        <v>7.6712328767123292E-2</v>
      </c>
      <c r="I221" s="33">
        <v>1</v>
      </c>
      <c r="K221" t="s">
        <v>38</v>
      </c>
      <c r="L221">
        <v>1</v>
      </c>
      <c r="M221" s="34">
        <v>8.0000000000000002E-3</v>
      </c>
    </row>
    <row r="222" spans="2:13" x14ac:dyDescent="0.25">
      <c r="B222" s="33">
        <v>1</v>
      </c>
      <c r="C222" t="s">
        <v>66</v>
      </c>
      <c r="D222" t="s">
        <v>80</v>
      </c>
      <c r="E222">
        <v>22</v>
      </c>
      <c r="F222" s="2">
        <v>0.16986301369863013</v>
      </c>
      <c r="I222" s="33">
        <v>1</v>
      </c>
      <c r="K222" t="s">
        <v>38</v>
      </c>
      <c r="L222">
        <v>2</v>
      </c>
      <c r="M222" s="34">
        <v>5.0000000000000001E-3</v>
      </c>
    </row>
    <row r="223" spans="2:13" x14ac:dyDescent="0.25">
      <c r="B223" s="33">
        <v>1</v>
      </c>
      <c r="C223" t="s">
        <v>69</v>
      </c>
      <c r="D223" t="s">
        <v>132</v>
      </c>
      <c r="E223">
        <v>17</v>
      </c>
      <c r="F223" s="2">
        <v>8.4931506849315067E-2</v>
      </c>
      <c r="I223" s="33">
        <v>1</v>
      </c>
      <c r="K223" t="s">
        <v>38</v>
      </c>
      <c r="L223">
        <v>3</v>
      </c>
      <c r="M223" s="34">
        <v>3.0000000000000001E-3</v>
      </c>
    </row>
    <row r="224" spans="2:13" x14ac:dyDescent="0.25">
      <c r="B224" s="33">
        <v>1</v>
      </c>
      <c r="C224" t="s">
        <v>64</v>
      </c>
      <c r="D224" t="s">
        <v>99</v>
      </c>
      <c r="E224">
        <v>17</v>
      </c>
      <c r="F224" s="2">
        <v>0.10136986301369863</v>
      </c>
      <c r="I224" s="33">
        <v>1</v>
      </c>
      <c r="K224" t="s">
        <v>38</v>
      </c>
      <c r="L224">
        <v>4</v>
      </c>
      <c r="M224" s="34">
        <v>5.0000000000000001E-3</v>
      </c>
    </row>
    <row r="225" spans="2:13" x14ac:dyDescent="0.25">
      <c r="B225" s="33">
        <v>1</v>
      </c>
      <c r="C225" t="s">
        <v>1</v>
      </c>
      <c r="D225" t="s">
        <v>112</v>
      </c>
      <c r="E225">
        <v>18</v>
      </c>
      <c r="F225" s="2">
        <v>0.17808219178082191</v>
      </c>
      <c r="I225" s="33">
        <v>1</v>
      </c>
      <c r="K225" t="s">
        <v>38</v>
      </c>
      <c r="L225">
        <v>7</v>
      </c>
      <c r="M225" s="34">
        <v>5.0000000000000001E-3</v>
      </c>
    </row>
    <row r="226" spans="2:13" x14ac:dyDescent="0.25">
      <c r="B226" s="33">
        <v>1</v>
      </c>
      <c r="C226" t="s">
        <v>0</v>
      </c>
      <c r="D226" t="s">
        <v>133</v>
      </c>
      <c r="E226">
        <v>17</v>
      </c>
      <c r="F226" s="2">
        <v>0.11780821917808219</v>
      </c>
      <c r="I226" s="33">
        <v>1</v>
      </c>
      <c r="K226" t="s">
        <v>38</v>
      </c>
      <c r="L226">
        <v>8</v>
      </c>
      <c r="M226" s="34">
        <v>1.0999999999999999E-2</v>
      </c>
    </row>
    <row r="227" spans="2:13" x14ac:dyDescent="0.25">
      <c r="B227" s="33">
        <v>1</v>
      </c>
      <c r="C227" t="s">
        <v>64</v>
      </c>
      <c r="D227" t="s">
        <v>65</v>
      </c>
      <c r="E227">
        <v>17</v>
      </c>
      <c r="F227" s="2">
        <v>0.13698630136986301</v>
      </c>
      <c r="I227" s="33">
        <v>1</v>
      </c>
      <c r="K227" t="s">
        <v>38</v>
      </c>
      <c r="L227">
        <v>9</v>
      </c>
      <c r="M227" s="34">
        <v>2.7E-2</v>
      </c>
    </row>
    <row r="228" spans="2:13" x14ac:dyDescent="0.25">
      <c r="B228" s="33">
        <v>1</v>
      </c>
      <c r="C228" t="s">
        <v>69</v>
      </c>
      <c r="D228" t="s">
        <v>113</v>
      </c>
      <c r="E228">
        <v>16</v>
      </c>
      <c r="F228" s="2">
        <v>7.3972602739726029E-2</v>
      </c>
      <c r="I228" s="33">
        <v>1</v>
      </c>
      <c r="K228" t="s">
        <v>38</v>
      </c>
      <c r="L228">
        <v>10</v>
      </c>
      <c r="M228" s="34">
        <v>3.5999999999999997E-2</v>
      </c>
    </row>
    <row r="229" spans="2:13" x14ac:dyDescent="0.25">
      <c r="B229" s="33">
        <v>1</v>
      </c>
      <c r="C229" t="s">
        <v>88</v>
      </c>
      <c r="D229" t="s">
        <v>117</v>
      </c>
      <c r="E229">
        <v>16</v>
      </c>
      <c r="F229" s="2">
        <v>0.17260273972602741</v>
      </c>
      <c r="I229" s="33">
        <v>1</v>
      </c>
      <c r="K229" t="s">
        <v>38</v>
      </c>
      <c r="L229">
        <v>11</v>
      </c>
      <c r="M229" s="34">
        <v>5.0000000000000001E-3</v>
      </c>
    </row>
    <row r="230" spans="2:13" x14ac:dyDescent="0.25">
      <c r="B230" s="33">
        <v>1</v>
      </c>
      <c r="C230" t="s">
        <v>1</v>
      </c>
      <c r="D230" t="s">
        <v>92</v>
      </c>
      <c r="E230">
        <v>18</v>
      </c>
      <c r="F230" s="2">
        <v>0.17808219178082191</v>
      </c>
      <c r="I230" s="33">
        <v>1</v>
      </c>
      <c r="K230" t="s">
        <v>38</v>
      </c>
      <c r="L230">
        <v>12</v>
      </c>
      <c r="M230" s="34">
        <v>1.4E-2</v>
      </c>
    </row>
    <row r="231" spans="2:13" x14ac:dyDescent="0.25">
      <c r="B231" s="33">
        <v>1</v>
      </c>
      <c r="C231" t="s">
        <v>72</v>
      </c>
      <c r="D231" t="s">
        <v>81</v>
      </c>
      <c r="E231">
        <v>16</v>
      </c>
      <c r="F231" s="2">
        <v>0.21369863013698631</v>
      </c>
      <c r="I231" s="33">
        <v>1</v>
      </c>
      <c r="K231" t="s">
        <v>38</v>
      </c>
      <c r="L231">
        <v>13</v>
      </c>
      <c r="M231" s="34">
        <v>3.5999999999999997E-2</v>
      </c>
    </row>
    <row r="232" spans="2:13" x14ac:dyDescent="0.25">
      <c r="B232" s="33">
        <v>1</v>
      </c>
      <c r="C232" t="s">
        <v>72</v>
      </c>
      <c r="D232" t="s">
        <v>73</v>
      </c>
      <c r="E232">
        <v>16</v>
      </c>
      <c r="F232" s="2">
        <v>0.21095890410958903</v>
      </c>
      <c r="I232" s="33">
        <v>1</v>
      </c>
      <c r="K232" t="s">
        <v>38</v>
      </c>
      <c r="L232">
        <v>14</v>
      </c>
      <c r="M232" s="34">
        <v>1.4E-2</v>
      </c>
    </row>
    <row r="233" spans="2:13" x14ac:dyDescent="0.25">
      <c r="B233" s="33">
        <v>1</v>
      </c>
      <c r="C233" t="s">
        <v>6</v>
      </c>
      <c r="D233" t="s">
        <v>30</v>
      </c>
      <c r="E233">
        <v>8</v>
      </c>
      <c r="F233" s="2">
        <v>0.16438356164383561</v>
      </c>
      <c r="I233" s="33">
        <v>1</v>
      </c>
      <c r="K233" t="s">
        <v>38</v>
      </c>
      <c r="L233">
        <v>15</v>
      </c>
      <c r="M233" s="34">
        <v>3.7999999999999999E-2</v>
      </c>
    </row>
    <row r="234" spans="2:13" x14ac:dyDescent="0.25">
      <c r="B234" s="33">
        <v>1</v>
      </c>
      <c r="C234" t="s">
        <v>6</v>
      </c>
      <c r="D234" t="s">
        <v>28</v>
      </c>
      <c r="E234">
        <v>19</v>
      </c>
      <c r="F234" s="2">
        <v>0.16438356164383561</v>
      </c>
      <c r="I234" s="33">
        <v>1</v>
      </c>
      <c r="K234" t="s">
        <v>38</v>
      </c>
      <c r="L234">
        <v>16</v>
      </c>
      <c r="M234" s="34">
        <v>1.6E-2</v>
      </c>
    </row>
    <row r="235" spans="2:13" x14ac:dyDescent="0.25">
      <c r="B235" s="33">
        <v>1</v>
      </c>
      <c r="C235" t="s">
        <v>88</v>
      </c>
      <c r="D235" t="s">
        <v>134</v>
      </c>
      <c r="E235">
        <v>19</v>
      </c>
      <c r="F235" s="2">
        <v>0.16986301369863013</v>
      </c>
      <c r="I235" s="33">
        <v>1</v>
      </c>
      <c r="K235" t="s">
        <v>38</v>
      </c>
      <c r="L235">
        <v>17</v>
      </c>
      <c r="M235" s="34">
        <v>1.9E-2</v>
      </c>
    </row>
    <row r="236" spans="2:13" x14ac:dyDescent="0.25">
      <c r="B236" s="33">
        <v>1</v>
      </c>
      <c r="C236" t="s">
        <v>64</v>
      </c>
      <c r="D236" t="s">
        <v>115</v>
      </c>
      <c r="E236">
        <v>18</v>
      </c>
      <c r="F236" s="2">
        <v>0.17260273972602741</v>
      </c>
      <c r="I236" s="33">
        <v>1</v>
      </c>
      <c r="K236" t="s">
        <v>38</v>
      </c>
      <c r="L236">
        <v>18</v>
      </c>
      <c r="M236" s="34">
        <v>3.3000000000000002E-2</v>
      </c>
    </row>
    <row r="237" spans="2:13" x14ac:dyDescent="0.25">
      <c r="B237" s="33">
        <v>1</v>
      </c>
      <c r="C237" t="s">
        <v>66</v>
      </c>
      <c r="D237" t="s">
        <v>135</v>
      </c>
      <c r="E237">
        <v>18</v>
      </c>
      <c r="F237" s="2">
        <v>0.16712328767123288</v>
      </c>
      <c r="I237" s="33">
        <v>1</v>
      </c>
      <c r="K237" t="s">
        <v>38</v>
      </c>
      <c r="L237">
        <v>19</v>
      </c>
      <c r="M237" s="34">
        <v>8.0000000000000002E-3</v>
      </c>
    </row>
    <row r="238" spans="2:13" x14ac:dyDescent="0.25">
      <c r="B238" s="33">
        <v>1</v>
      </c>
      <c r="C238" t="s">
        <v>74</v>
      </c>
      <c r="D238" t="s">
        <v>130</v>
      </c>
      <c r="E238">
        <v>17</v>
      </c>
      <c r="F238" s="2">
        <v>0.18356164383561643</v>
      </c>
      <c r="I238" s="33">
        <v>1</v>
      </c>
      <c r="K238" t="s">
        <v>38</v>
      </c>
      <c r="L238">
        <v>20</v>
      </c>
      <c r="M238" s="34">
        <v>8.0000000000000002E-3</v>
      </c>
    </row>
    <row r="239" spans="2:13" x14ac:dyDescent="0.25">
      <c r="B239" s="33">
        <v>1</v>
      </c>
      <c r="C239" t="s">
        <v>66</v>
      </c>
      <c r="D239" t="s">
        <v>80</v>
      </c>
      <c r="E239">
        <v>20</v>
      </c>
      <c r="F239" s="2">
        <v>0.16164383561643836</v>
      </c>
      <c r="I239" s="33">
        <v>1</v>
      </c>
      <c r="K239" t="s">
        <v>38</v>
      </c>
      <c r="L239">
        <v>21</v>
      </c>
      <c r="M239" s="34">
        <v>1.0999999999999999E-2</v>
      </c>
    </row>
    <row r="240" spans="2:13" x14ac:dyDescent="0.25">
      <c r="B240" s="33">
        <v>1</v>
      </c>
      <c r="C240" t="s">
        <v>1</v>
      </c>
      <c r="D240" t="s">
        <v>112</v>
      </c>
      <c r="E240">
        <v>19</v>
      </c>
      <c r="F240" s="2">
        <v>0.15616438356164383</v>
      </c>
      <c r="I240" s="33">
        <v>1</v>
      </c>
      <c r="K240" t="s">
        <v>38</v>
      </c>
      <c r="L240">
        <v>23</v>
      </c>
      <c r="M240" s="34">
        <v>1.4E-2</v>
      </c>
    </row>
    <row r="241" spans="2:13" x14ac:dyDescent="0.25">
      <c r="B241" s="33">
        <v>1</v>
      </c>
      <c r="C241" t="s">
        <v>0</v>
      </c>
      <c r="D241" t="s">
        <v>95</v>
      </c>
      <c r="E241">
        <v>18</v>
      </c>
      <c r="F241" s="2">
        <v>0.18082191780821918</v>
      </c>
      <c r="I241" s="33">
        <v>1</v>
      </c>
      <c r="K241" t="s">
        <v>44</v>
      </c>
      <c r="L241">
        <v>2</v>
      </c>
      <c r="M241" s="34">
        <v>3.0000000000000001E-3</v>
      </c>
    </row>
    <row r="242" spans="2:13" x14ac:dyDescent="0.25">
      <c r="B242" s="33">
        <v>1</v>
      </c>
      <c r="C242" t="s">
        <v>77</v>
      </c>
      <c r="D242" t="s">
        <v>136</v>
      </c>
      <c r="E242">
        <v>19</v>
      </c>
      <c r="F242" s="2">
        <v>6.0273972602739728E-2</v>
      </c>
      <c r="I242" s="33">
        <v>1</v>
      </c>
      <c r="K242" t="s">
        <v>44</v>
      </c>
      <c r="L242">
        <v>3</v>
      </c>
      <c r="M242" s="34">
        <v>3.0000000000000001E-3</v>
      </c>
    </row>
    <row r="243" spans="2:13" x14ac:dyDescent="0.25">
      <c r="B243" s="33">
        <v>1</v>
      </c>
      <c r="C243" t="s">
        <v>1</v>
      </c>
      <c r="D243" t="s">
        <v>110</v>
      </c>
      <c r="E243">
        <v>19</v>
      </c>
      <c r="F243" s="2">
        <v>0.15068493150684931</v>
      </c>
      <c r="I243" s="33">
        <v>1</v>
      </c>
      <c r="K243" t="s">
        <v>44</v>
      </c>
      <c r="L243">
        <v>8</v>
      </c>
      <c r="M243" s="34">
        <v>1.0999999999999999E-2</v>
      </c>
    </row>
    <row r="244" spans="2:13" x14ac:dyDescent="0.25">
      <c r="B244" s="33">
        <v>1</v>
      </c>
      <c r="C244" t="s">
        <v>0</v>
      </c>
      <c r="D244" t="s">
        <v>111</v>
      </c>
      <c r="E244">
        <v>18</v>
      </c>
      <c r="F244" s="2">
        <v>0.14794520547945206</v>
      </c>
      <c r="I244" s="33">
        <v>1</v>
      </c>
      <c r="K244" t="s">
        <v>44</v>
      </c>
      <c r="L244">
        <v>9</v>
      </c>
      <c r="M244" s="34">
        <v>8.0000000000000002E-3</v>
      </c>
    </row>
    <row r="245" spans="2:13" x14ac:dyDescent="0.25">
      <c r="B245" s="33">
        <v>1</v>
      </c>
      <c r="C245" t="s">
        <v>6</v>
      </c>
      <c r="D245" t="s">
        <v>23</v>
      </c>
      <c r="E245">
        <v>18</v>
      </c>
      <c r="F245" s="2">
        <v>0.16164383561643836</v>
      </c>
      <c r="I245" s="33">
        <v>1</v>
      </c>
      <c r="K245" t="s">
        <v>44</v>
      </c>
      <c r="L245">
        <v>10</v>
      </c>
      <c r="M245" s="34">
        <v>3.3000000000000002E-2</v>
      </c>
    </row>
    <row r="246" spans="2:13" x14ac:dyDescent="0.25">
      <c r="B246" s="33">
        <v>1</v>
      </c>
      <c r="C246" t="s">
        <v>103</v>
      </c>
      <c r="D246" t="s">
        <v>137</v>
      </c>
      <c r="E246">
        <v>18</v>
      </c>
      <c r="F246" s="2">
        <v>9.8630136986301367E-2</v>
      </c>
      <c r="I246" s="33">
        <v>1</v>
      </c>
      <c r="K246" t="s">
        <v>44</v>
      </c>
      <c r="L246">
        <v>11</v>
      </c>
      <c r="M246" s="34">
        <v>1.0999999999999999E-2</v>
      </c>
    </row>
    <row r="247" spans="2:13" x14ac:dyDescent="0.25">
      <c r="B247" s="33">
        <v>1</v>
      </c>
      <c r="C247" t="s">
        <v>90</v>
      </c>
      <c r="D247" t="s">
        <v>91</v>
      </c>
      <c r="E247">
        <v>19</v>
      </c>
      <c r="F247" s="2">
        <v>0.24383561643835616</v>
      </c>
      <c r="I247" s="33">
        <v>1</v>
      </c>
      <c r="K247" t="s">
        <v>44</v>
      </c>
      <c r="L247">
        <v>13</v>
      </c>
      <c r="M247" s="34">
        <v>1.4E-2</v>
      </c>
    </row>
    <row r="248" spans="2:13" x14ac:dyDescent="0.25">
      <c r="B248" s="33">
        <v>1</v>
      </c>
      <c r="C248" t="s">
        <v>6</v>
      </c>
      <c r="D248" t="s">
        <v>32</v>
      </c>
      <c r="E248">
        <v>19</v>
      </c>
      <c r="F248" s="2">
        <v>0.15342465753424658</v>
      </c>
      <c r="I248" s="33">
        <v>1</v>
      </c>
      <c r="K248" t="s">
        <v>44</v>
      </c>
      <c r="L248">
        <v>14</v>
      </c>
      <c r="M248" s="34">
        <v>8.0000000000000002E-3</v>
      </c>
    </row>
    <row r="249" spans="2:13" x14ac:dyDescent="0.25">
      <c r="B249" s="33">
        <v>1</v>
      </c>
      <c r="C249" t="s">
        <v>72</v>
      </c>
      <c r="D249" t="s">
        <v>81</v>
      </c>
      <c r="E249">
        <v>18</v>
      </c>
      <c r="F249" s="2">
        <v>0.2</v>
      </c>
      <c r="I249" s="33">
        <v>1</v>
      </c>
      <c r="K249" t="s">
        <v>44</v>
      </c>
      <c r="L249">
        <v>15</v>
      </c>
      <c r="M249" s="34">
        <v>1.0999999999999999E-2</v>
      </c>
    </row>
    <row r="250" spans="2:13" x14ac:dyDescent="0.25">
      <c r="B250" s="33">
        <v>1</v>
      </c>
      <c r="C250" t="s">
        <v>72</v>
      </c>
      <c r="D250" t="s">
        <v>73</v>
      </c>
      <c r="E250">
        <v>23</v>
      </c>
      <c r="F250" s="2">
        <v>0.19452054794520549</v>
      </c>
      <c r="I250" s="33">
        <v>1</v>
      </c>
      <c r="K250" t="s">
        <v>44</v>
      </c>
      <c r="L250">
        <v>16</v>
      </c>
      <c r="M250" s="34">
        <v>8.0000000000000002E-3</v>
      </c>
    </row>
    <row r="251" spans="2:13" x14ac:dyDescent="0.25">
      <c r="B251" s="33">
        <v>1</v>
      </c>
      <c r="C251" t="s">
        <v>90</v>
      </c>
      <c r="D251" t="s">
        <v>91</v>
      </c>
      <c r="E251">
        <v>20</v>
      </c>
      <c r="F251" s="2">
        <v>0.19726027397260273</v>
      </c>
      <c r="I251" s="33">
        <v>1</v>
      </c>
      <c r="K251" t="s">
        <v>44</v>
      </c>
      <c r="L251">
        <v>17</v>
      </c>
      <c r="M251" s="34">
        <v>1.4E-2</v>
      </c>
    </row>
    <row r="252" spans="2:13" x14ac:dyDescent="0.25">
      <c r="B252" s="33">
        <v>1</v>
      </c>
      <c r="C252" t="s">
        <v>3</v>
      </c>
      <c r="D252" t="s">
        <v>138</v>
      </c>
      <c r="E252">
        <v>18</v>
      </c>
      <c r="F252" s="2">
        <v>7.1232876712328766E-2</v>
      </c>
      <c r="I252" s="33">
        <v>1</v>
      </c>
      <c r="K252" t="s">
        <v>44</v>
      </c>
      <c r="L252">
        <v>18</v>
      </c>
      <c r="M252" s="34">
        <v>2.1999999999999999E-2</v>
      </c>
    </row>
    <row r="253" spans="2:13" x14ac:dyDescent="0.25">
      <c r="B253" s="33">
        <v>1</v>
      </c>
      <c r="C253" t="s">
        <v>77</v>
      </c>
      <c r="D253" t="s">
        <v>83</v>
      </c>
      <c r="E253">
        <v>19</v>
      </c>
      <c r="F253" s="2">
        <v>6.0273972602739728E-2</v>
      </c>
      <c r="I253" s="33">
        <v>1</v>
      </c>
      <c r="K253" t="s">
        <v>44</v>
      </c>
      <c r="L253">
        <v>19</v>
      </c>
      <c r="M253" s="34">
        <v>3.0000000000000001E-3</v>
      </c>
    </row>
    <row r="254" spans="2:13" x14ac:dyDescent="0.25">
      <c r="B254" s="33">
        <v>1</v>
      </c>
      <c r="C254" t="s">
        <v>1</v>
      </c>
      <c r="D254" t="s">
        <v>110</v>
      </c>
      <c r="E254">
        <v>16</v>
      </c>
      <c r="F254" s="2">
        <v>0.15068493150684931</v>
      </c>
      <c r="I254" s="33">
        <v>1</v>
      </c>
      <c r="K254" t="s">
        <v>44</v>
      </c>
      <c r="L254">
        <v>20</v>
      </c>
      <c r="M254" s="34">
        <v>3.0000000000000001E-3</v>
      </c>
    </row>
    <row r="255" spans="2:13" x14ac:dyDescent="0.25">
      <c r="B255" s="33">
        <v>1</v>
      </c>
      <c r="C255" t="s">
        <v>90</v>
      </c>
      <c r="D255" t="s">
        <v>109</v>
      </c>
      <c r="E255">
        <v>19</v>
      </c>
      <c r="F255" s="2">
        <v>0.18630136986301371</v>
      </c>
      <c r="I255" s="33">
        <v>1</v>
      </c>
      <c r="K255" t="s">
        <v>44</v>
      </c>
      <c r="L255">
        <v>21</v>
      </c>
      <c r="M255" s="34">
        <v>3.0000000000000001E-3</v>
      </c>
    </row>
    <row r="256" spans="2:13" x14ac:dyDescent="0.25">
      <c r="B256" s="33">
        <v>1</v>
      </c>
      <c r="C256" t="s">
        <v>66</v>
      </c>
      <c r="D256" t="s">
        <v>67</v>
      </c>
      <c r="E256">
        <v>18</v>
      </c>
      <c r="F256" s="2">
        <v>0.16164383561643836</v>
      </c>
      <c r="I256" s="33">
        <v>1</v>
      </c>
      <c r="K256" t="s">
        <v>44</v>
      </c>
      <c r="L256">
        <v>22</v>
      </c>
      <c r="M256" s="34">
        <v>3.0000000000000001E-3</v>
      </c>
    </row>
    <row r="257" spans="2:13" x14ac:dyDescent="0.25">
      <c r="B257" s="33">
        <v>1</v>
      </c>
      <c r="C257" t="s">
        <v>69</v>
      </c>
      <c r="D257" t="s">
        <v>124</v>
      </c>
      <c r="E257">
        <v>16</v>
      </c>
      <c r="F257" s="2">
        <v>7.3972602739726029E-2</v>
      </c>
      <c r="I257" s="33">
        <v>1</v>
      </c>
      <c r="K257" t="s">
        <v>44</v>
      </c>
      <c r="L257">
        <v>23</v>
      </c>
      <c r="M257" s="34">
        <v>3.0000000000000001E-3</v>
      </c>
    </row>
    <row r="258" spans="2:13" x14ac:dyDescent="0.25">
      <c r="B258" s="33">
        <v>1</v>
      </c>
      <c r="C258" t="s">
        <v>88</v>
      </c>
      <c r="D258" t="s">
        <v>114</v>
      </c>
      <c r="E258">
        <v>17</v>
      </c>
      <c r="F258" s="2">
        <v>0.15342465753424658</v>
      </c>
    </row>
    <row r="259" spans="2:13" x14ac:dyDescent="0.25">
      <c r="B259" s="33">
        <v>1</v>
      </c>
      <c r="C259" t="s">
        <v>103</v>
      </c>
      <c r="D259" t="s">
        <v>139</v>
      </c>
      <c r="E259">
        <v>19</v>
      </c>
      <c r="F259" s="2">
        <v>8.2191780821917804E-2</v>
      </c>
    </row>
    <row r="260" spans="2:13" x14ac:dyDescent="0.25">
      <c r="B260" s="33">
        <v>1</v>
      </c>
      <c r="C260" t="s">
        <v>3</v>
      </c>
      <c r="D260" t="s">
        <v>108</v>
      </c>
      <c r="E260">
        <v>19</v>
      </c>
      <c r="F260" s="2">
        <v>6.8493150684931503E-2</v>
      </c>
    </row>
    <row r="261" spans="2:13" x14ac:dyDescent="0.25">
      <c r="B261" s="33">
        <v>1</v>
      </c>
      <c r="C261" t="s">
        <v>6</v>
      </c>
      <c r="D261" t="s">
        <v>28</v>
      </c>
      <c r="E261">
        <v>11</v>
      </c>
      <c r="F261" s="2">
        <v>0.15342465753424658</v>
      </c>
    </row>
    <row r="262" spans="2:13" x14ac:dyDescent="0.25">
      <c r="B262" s="33">
        <v>1</v>
      </c>
      <c r="C262" t="s">
        <v>88</v>
      </c>
      <c r="D262" t="s">
        <v>117</v>
      </c>
      <c r="E262">
        <v>19</v>
      </c>
      <c r="F262" s="2">
        <v>0.15068493150684931</v>
      </c>
    </row>
    <row r="263" spans="2:13" x14ac:dyDescent="0.25">
      <c r="B263" s="33">
        <v>1</v>
      </c>
      <c r="C263" t="s">
        <v>66</v>
      </c>
      <c r="D263" t="s">
        <v>129</v>
      </c>
      <c r="E263">
        <v>19</v>
      </c>
      <c r="F263" s="2">
        <v>0.15068493150684931</v>
      </c>
    </row>
    <row r="264" spans="2:13" x14ac:dyDescent="0.25">
      <c r="B264" s="33">
        <v>1</v>
      </c>
      <c r="C264" t="s">
        <v>88</v>
      </c>
      <c r="D264" t="s">
        <v>134</v>
      </c>
      <c r="E264">
        <v>16</v>
      </c>
      <c r="F264" s="2">
        <v>0.14794520547945206</v>
      </c>
    </row>
    <row r="265" spans="2:13" x14ac:dyDescent="0.25">
      <c r="B265" s="33">
        <v>1</v>
      </c>
      <c r="C265" t="s">
        <v>69</v>
      </c>
      <c r="D265" t="s">
        <v>140</v>
      </c>
      <c r="E265">
        <v>19</v>
      </c>
      <c r="F265" s="2">
        <v>7.1232876712328766E-2</v>
      </c>
    </row>
    <row r="266" spans="2:13" x14ac:dyDescent="0.25">
      <c r="B266" s="33">
        <v>1</v>
      </c>
      <c r="C266" t="s">
        <v>88</v>
      </c>
      <c r="D266" t="s">
        <v>117</v>
      </c>
      <c r="E266">
        <v>20</v>
      </c>
      <c r="F266" s="2">
        <v>0.14794520547945206</v>
      </c>
    </row>
    <row r="267" spans="2:13" x14ac:dyDescent="0.25">
      <c r="B267" s="33">
        <v>1</v>
      </c>
      <c r="C267" t="s">
        <v>1</v>
      </c>
      <c r="D267" t="s">
        <v>92</v>
      </c>
      <c r="E267">
        <v>19</v>
      </c>
      <c r="F267" s="2">
        <v>0.14794520547945206</v>
      </c>
    </row>
    <row r="268" spans="2:13" x14ac:dyDescent="0.25">
      <c r="B268" s="33">
        <v>1</v>
      </c>
      <c r="C268" t="s">
        <v>72</v>
      </c>
      <c r="D268" t="s">
        <v>125</v>
      </c>
      <c r="E268">
        <v>17</v>
      </c>
      <c r="F268" s="2">
        <v>0.18630136986301371</v>
      </c>
    </row>
    <row r="269" spans="2:13" x14ac:dyDescent="0.25">
      <c r="B269" s="33">
        <v>1</v>
      </c>
      <c r="C269" t="s">
        <v>2</v>
      </c>
      <c r="D269" t="s">
        <v>96</v>
      </c>
      <c r="E269">
        <v>18</v>
      </c>
      <c r="F269" s="2">
        <v>6.8493150684931503E-2</v>
      </c>
    </row>
    <row r="270" spans="2:13" x14ac:dyDescent="0.25">
      <c r="B270" s="33">
        <v>1</v>
      </c>
      <c r="C270" t="s">
        <v>74</v>
      </c>
      <c r="D270" t="s">
        <v>105</v>
      </c>
      <c r="E270">
        <v>19</v>
      </c>
      <c r="F270" s="2">
        <v>0.17808219178082191</v>
      </c>
    </row>
    <row r="271" spans="2:13" x14ac:dyDescent="0.25">
      <c r="B271" s="33">
        <v>1</v>
      </c>
      <c r="C271" t="s">
        <v>74</v>
      </c>
      <c r="D271" t="s">
        <v>130</v>
      </c>
      <c r="E271">
        <v>19</v>
      </c>
      <c r="F271" s="2">
        <v>0.16164383561643836</v>
      </c>
    </row>
    <row r="272" spans="2:13" x14ac:dyDescent="0.25">
      <c r="B272" s="33">
        <v>1</v>
      </c>
      <c r="C272" t="s">
        <v>126</v>
      </c>
      <c r="D272" t="s">
        <v>127</v>
      </c>
      <c r="E272">
        <v>18</v>
      </c>
      <c r="F272" s="2">
        <v>6.8493150684931503E-2</v>
      </c>
    </row>
    <row r="273" spans="2:6" x14ac:dyDescent="0.25">
      <c r="B273" s="33">
        <v>1</v>
      </c>
      <c r="C273" t="s">
        <v>90</v>
      </c>
      <c r="D273" t="s">
        <v>120</v>
      </c>
      <c r="E273">
        <v>18</v>
      </c>
      <c r="F273" s="2">
        <v>0.18082191780821918</v>
      </c>
    </row>
    <row r="274" spans="2:6" x14ac:dyDescent="0.25">
      <c r="B274" s="33">
        <v>1</v>
      </c>
      <c r="C274" t="s">
        <v>103</v>
      </c>
      <c r="D274" t="s">
        <v>141</v>
      </c>
      <c r="E274">
        <v>18</v>
      </c>
      <c r="F274" s="2">
        <v>7.1232876712328766E-2</v>
      </c>
    </row>
    <row r="275" spans="2:6" x14ac:dyDescent="0.25">
      <c r="B275" s="33">
        <v>1</v>
      </c>
      <c r="C275" t="s">
        <v>88</v>
      </c>
      <c r="D275" t="s">
        <v>89</v>
      </c>
      <c r="E275">
        <v>1</v>
      </c>
      <c r="F275" s="2">
        <v>9.3150684931506855E-2</v>
      </c>
    </row>
    <row r="276" spans="2:6" x14ac:dyDescent="0.25">
      <c r="B276" s="33">
        <v>1</v>
      </c>
      <c r="C276" t="s">
        <v>88</v>
      </c>
      <c r="D276" t="s">
        <v>89</v>
      </c>
      <c r="E276">
        <v>6</v>
      </c>
      <c r="F276" s="2">
        <v>8.4931506849315067E-2</v>
      </c>
    </row>
    <row r="277" spans="2:6" x14ac:dyDescent="0.25">
      <c r="B277" s="33">
        <v>1</v>
      </c>
      <c r="C277" t="s">
        <v>88</v>
      </c>
      <c r="D277" t="s">
        <v>89</v>
      </c>
      <c r="E277">
        <v>0</v>
      </c>
      <c r="F277" s="2">
        <v>7.9452054794520555E-2</v>
      </c>
    </row>
    <row r="278" spans="2:6" x14ac:dyDescent="0.25">
      <c r="B278" s="33">
        <v>1</v>
      </c>
      <c r="C278" t="s">
        <v>64</v>
      </c>
      <c r="D278" t="s">
        <v>99</v>
      </c>
      <c r="E278">
        <v>7</v>
      </c>
      <c r="F278" s="2">
        <v>6.0273972602739728E-2</v>
      </c>
    </row>
    <row r="279" spans="2:6" x14ac:dyDescent="0.25">
      <c r="B279" s="33">
        <v>1</v>
      </c>
      <c r="C279" t="s">
        <v>77</v>
      </c>
      <c r="D279" t="s">
        <v>142</v>
      </c>
      <c r="E279">
        <v>1</v>
      </c>
      <c r="F279" s="2">
        <v>2.7397260273972601E-2</v>
      </c>
    </row>
    <row r="280" spans="2:6" x14ac:dyDescent="0.25">
      <c r="B280" s="33">
        <v>1</v>
      </c>
      <c r="C280" t="s">
        <v>1</v>
      </c>
      <c r="D280" t="s">
        <v>110</v>
      </c>
      <c r="E280">
        <v>7</v>
      </c>
      <c r="F280" s="2">
        <v>9.0410958904109592E-2</v>
      </c>
    </row>
    <row r="281" spans="2:6" x14ac:dyDescent="0.25">
      <c r="B281" s="33">
        <v>1</v>
      </c>
      <c r="C281" t="s">
        <v>66</v>
      </c>
      <c r="D281" t="s">
        <v>135</v>
      </c>
      <c r="E281">
        <v>7</v>
      </c>
      <c r="F281" s="2">
        <v>9.3150684931506855E-2</v>
      </c>
    </row>
    <row r="282" spans="2:6" x14ac:dyDescent="0.25">
      <c r="B282" s="33">
        <v>1</v>
      </c>
      <c r="C282" t="s">
        <v>1</v>
      </c>
      <c r="D282" t="s">
        <v>82</v>
      </c>
      <c r="E282">
        <v>6</v>
      </c>
      <c r="F282" s="2">
        <v>8.2191780821917804E-2</v>
      </c>
    </row>
    <row r="283" spans="2:6" x14ac:dyDescent="0.25">
      <c r="B283" s="33">
        <v>1</v>
      </c>
      <c r="C283" t="s">
        <v>6</v>
      </c>
      <c r="D283" t="s">
        <v>23</v>
      </c>
      <c r="E283">
        <v>9</v>
      </c>
      <c r="F283" s="2">
        <v>0.15342465753424658</v>
      </c>
    </row>
    <row r="284" spans="2:6" x14ac:dyDescent="0.25">
      <c r="B284" s="33">
        <v>1</v>
      </c>
      <c r="C284" t="s">
        <v>72</v>
      </c>
      <c r="D284" t="s">
        <v>73</v>
      </c>
      <c r="E284">
        <v>1</v>
      </c>
      <c r="F284" s="2">
        <v>9.0410958904109592E-2</v>
      </c>
    </row>
    <row r="285" spans="2:6" x14ac:dyDescent="0.25">
      <c r="B285" s="33">
        <v>1</v>
      </c>
      <c r="C285" t="s">
        <v>66</v>
      </c>
      <c r="D285" t="s">
        <v>80</v>
      </c>
      <c r="E285">
        <v>1</v>
      </c>
      <c r="F285" s="2">
        <v>6.0273972602739728E-2</v>
      </c>
    </row>
    <row r="286" spans="2:6" x14ac:dyDescent="0.25">
      <c r="B286" s="33">
        <v>1</v>
      </c>
      <c r="C286" t="s">
        <v>1</v>
      </c>
      <c r="D286" t="s">
        <v>143</v>
      </c>
      <c r="E286">
        <v>7</v>
      </c>
      <c r="F286" s="2">
        <v>7.6712328767123292E-2</v>
      </c>
    </row>
    <row r="287" spans="2:6" x14ac:dyDescent="0.25">
      <c r="B287" s="33">
        <v>1</v>
      </c>
      <c r="C287" t="s">
        <v>1</v>
      </c>
      <c r="D287" t="s">
        <v>144</v>
      </c>
      <c r="E287">
        <v>7</v>
      </c>
      <c r="F287" s="2">
        <v>7.1232876712328766E-2</v>
      </c>
    </row>
    <row r="288" spans="2:6" x14ac:dyDescent="0.25">
      <c r="B288" s="33">
        <v>1</v>
      </c>
      <c r="C288" t="s">
        <v>77</v>
      </c>
      <c r="D288" t="s">
        <v>145</v>
      </c>
      <c r="E288">
        <v>10</v>
      </c>
      <c r="F288" s="2">
        <v>6.575342465753424E-2</v>
      </c>
    </row>
    <row r="289" spans="2:6" x14ac:dyDescent="0.25">
      <c r="B289" s="33">
        <v>1</v>
      </c>
      <c r="C289" t="s">
        <v>72</v>
      </c>
      <c r="D289" t="s">
        <v>81</v>
      </c>
      <c r="E289">
        <v>11</v>
      </c>
      <c r="F289" s="2">
        <v>0.16164383561643836</v>
      </c>
    </row>
    <row r="290" spans="2:6" x14ac:dyDescent="0.25">
      <c r="B290" s="33">
        <v>1</v>
      </c>
      <c r="C290" t="s">
        <v>103</v>
      </c>
      <c r="D290" t="s">
        <v>104</v>
      </c>
      <c r="E290">
        <v>11</v>
      </c>
      <c r="F290" s="2">
        <v>0.13150684931506848</v>
      </c>
    </row>
    <row r="291" spans="2:6" x14ac:dyDescent="0.25">
      <c r="B291" s="33">
        <v>1</v>
      </c>
      <c r="C291" t="s">
        <v>103</v>
      </c>
      <c r="D291" t="s">
        <v>104</v>
      </c>
      <c r="E291">
        <v>14</v>
      </c>
      <c r="F291" s="2">
        <v>0.12328767123287671</v>
      </c>
    </row>
    <row r="292" spans="2:6" x14ac:dyDescent="0.25">
      <c r="B292" s="33">
        <v>1</v>
      </c>
      <c r="C292" t="s">
        <v>88</v>
      </c>
      <c r="D292" t="s">
        <v>117</v>
      </c>
      <c r="E292">
        <v>14</v>
      </c>
      <c r="F292" s="2">
        <v>0.19726027397260273</v>
      </c>
    </row>
    <row r="293" spans="2:6" x14ac:dyDescent="0.25">
      <c r="B293" s="33">
        <v>1</v>
      </c>
      <c r="C293" t="s">
        <v>90</v>
      </c>
      <c r="D293" t="s">
        <v>109</v>
      </c>
      <c r="E293">
        <v>14</v>
      </c>
      <c r="F293" s="2">
        <v>0.17534246575342466</v>
      </c>
    </row>
    <row r="294" spans="2:6" x14ac:dyDescent="0.25">
      <c r="B294" s="33">
        <v>1</v>
      </c>
      <c r="C294" t="s">
        <v>1</v>
      </c>
      <c r="D294" t="s">
        <v>94</v>
      </c>
      <c r="E294">
        <v>13</v>
      </c>
      <c r="F294" s="2">
        <v>0.17260273972602741</v>
      </c>
    </row>
    <row r="295" spans="2:6" x14ac:dyDescent="0.25">
      <c r="B295" s="33">
        <v>1</v>
      </c>
      <c r="C295" t="s">
        <v>1</v>
      </c>
      <c r="D295" t="s">
        <v>112</v>
      </c>
      <c r="E295">
        <v>8</v>
      </c>
      <c r="F295" s="2">
        <v>0.16986301369863013</v>
      </c>
    </row>
    <row r="296" spans="2:6" x14ac:dyDescent="0.25">
      <c r="B296" s="33">
        <v>1</v>
      </c>
      <c r="C296" t="s">
        <v>66</v>
      </c>
      <c r="D296" t="s">
        <v>129</v>
      </c>
      <c r="E296">
        <v>14</v>
      </c>
      <c r="F296" s="2">
        <v>0.15342465753424658</v>
      </c>
    </row>
    <row r="297" spans="2:6" x14ac:dyDescent="0.25">
      <c r="B297" s="33">
        <v>1</v>
      </c>
      <c r="C297" t="s">
        <v>66</v>
      </c>
      <c r="D297" t="s">
        <v>122</v>
      </c>
      <c r="E297">
        <v>13</v>
      </c>
      <c r="F297" s="2">
        <v>0.15068493150684931</v>
      </c>
    </row>
    <row r="298" spans="2:6" x14ac:dyDescent="0.25">
      <c r="B298" s="33">
        <v>1</v>
      </c>
      <c r="C298" t="s">
        <v>64</v>
      </c>
      <c r="D298" t="s">
        <v>121</v>
      </c>
      <c r="E298">
        <v>11</v>
      </c>
      <c r="F298" s="2">
        <v>0.12876712328767123</v>
      </c>
    </row>
    <row r="299" spans="2:6" x14ac:dyDescent="0.25">
      <c r="B299" s="33">
        <v>1</v>
      </c>
      <c r="C299" t="s">
        <v>66</v>
      </c>
      <c r="D299" t="s">
        <v>107</v>
      </c>
      <c r="E299">
        <v>9</v>
      </c>
      <c r="F299" s="2">
        <v>0.14520547945205478</v>
      </c>
    </row>
    <row r="300" spans="2:6" x14ac:dyDescent="0.25">
      <c r="B300" s="33">
        <v>1</v>
      </c>
      <c r="C300" t="s">
        <v>6</v>
      </c>
      <c r="D300" t="s">
        <v>28</v>
      </c>
      <c r="E300">
        <v>18</v>
      </c>
      <c r="F300" s="2">
        <v>0.15068493150684931</v>
      </c>
    </row>
    <row r="301" spans="2:6" x14ac:dyDescent="0.25">
      <c r="B301" s="33">
        <v>1</v>
      </c>
      <c r="C301" t="s">
        <v>6</v>
      </c>
      <c r="D301" t="s">
        <v>21</v>
      </c>
      <c r="E301">
        <v>16</v>
      </c>
      <c r="F301" s="2">
        <v>0.14794520547945206</v>
      </c>
    </row>
    <row r="302" spans="2:6" x14ac:dyDescent="0.25">
      <c r="B302" s="33">
        <v>1</v>
      </c>
      <c r="C302" t="s">
        <v>88</v>
      </c>
      <c r="D302" t="s">
        <v>89</v>
      </c>
      <c r="E302">
        <v>8</v>
      </c>
      <c r="F302" s="2">
        <v>0.18356164383561643</v>
      </c>
    </row>
    <row r="303" spans="2:6" x14ac:dyDescent="0.25">
      <c r="B303" s="33">
        <v>1</v>
      </c>
      <c r="C303" t="s">
        <v>6</v>
      </c>
      <c r="D303" t="s">
        <v>32</v>
      </c>
      <c r="E303">
        <v>12</v>
      </c>
      <c r="F303" s="2">
        <v>0.14794520547945206</v>
      </c>
    </row>
    <row r="304" spans="2:6" x14ac:dyDescent="0.25">
      <c r="B304" s="33">
        <v>1</v>
      </c>
      <c r="C304" t="s">
        <v>88</v>
      </c>
      <c r="D304" t="s">
        <v>117</v>
      </c>
      <c r="E304">
        <v>15</v>
      </c>
      <c r="F304" s="2">
        <v>0.17260273972602741</v>
      </c>
    </row>
    <row r="305" spans="2:6" x14ac:dyDescent="0.25">
      <c r="B305" s="33">
        <v>1</v>
      </c>
      <c r="C305" t="s">
        <v>64</v>
      </c>
      <c r="D305" t="s">
        <v>68</v>
      </c>
      <c r="E305">
        <v>10</v>
      </c>
      <c r="F305" s="2">
        <v>0.12602739726027398</v>
      </c>
    </row>
    <row r="306" spans="2:6" x14ac:dyDescent="0.25">
      <c r="B306" s="33">
        <v>1</v>
      </c>
      <c r="C306" t="s">
        <v>0</v>
      </c>
      <c r="D306" t="s">
        <v>95</v>
      </c>
      <c r="E306">
        <v>15</v>
      </c>
      <c r="F306" s="2">
        <v>0.17534246575342466</v>
      </c>
    </row>
    <row r="307" spans="2:6" x14ac:dyDescent="0.25">
      <c r="B307" s="33">
        <v>1</v>
      </c>
      <c r="C307" t="s">
        <v>66</v>
      </c>
      <c r="D307" t="s">
        <v>122</v>
      </c>
      <c r="E307">
        <v>15</v>
      </c>
      <c r="F307" s="2">
        <v>0.14520547945205478</v>
      </c>
    </row>
    <row r="308" spans="2:6" x14ac:dyDescent="0.25">
      <c r="B308" s="33">
        <v>1</v>
      </c>
      <c r="C308" t="s">
        <v>1</v>
      </c>
      <c r="D308" t="s">
        <v>82</v>
      </c>
      <c r="E308">
        <v>8</v>
      </c>
      <c r="F308" s="2">
        <v>0.16986301369863013</v>
      </c>
    </row>
    <row r="309" spans="2:6" x14ac:dyDescent="0.25">
      <c r="B309" s="33">
        <v>1</v>
      </c>
      <c r="C309" t="s">
        <v>66</v>
      </c>
      <c r="D309" t="s">
        <v>67</v>
      </c>
      <c r="E309">
        <v>10</v>
      </c>
      <c r="F309" s="2">
        <v>0.13972602739726028</v>
      </c>
    </row>
    <row r="310" spans="2:6" x14ac:dyDescent="0.25">
      <c r="B310" s="33">
        <v>1</v>
      </c>
      <c r="C310" t="s">
        <v>66</v>
      </c>
      <c r="D310" t="s">
        <v>67</v>
      </c>
      <c r="E310">
        <v>14</v>
      </c>
      <c r="F310" s="2">
        <v>0.13150684931506848</v>
      </c>
    </row>
    <row r="311" spans="2:6" x14ac:dyDescent="0.25">
      <c r="B311" s="33">
        <v>1</v>
      </c>
      <c r="C311" t="s">
        <v>72</v>
      </c>
      <c r="D311" t="s">
        <v>73</v>
      </c>
      <c r="E311">
        <v>8</v>
      </c>
      <c r="F311" s="2">
        <v>0.15342465753424658</v>
      </c>
    </row>
    <row r="312" spans="2:6" x14ac:dyDescent="0.25">
      <c r="B312" s="33">
        <v>1</v>
      </c>
      <c r="C312" t="s">
        <v>1</v>
      </c>
      <c r="D312" t="s">
        <v>92</v>
      </c>
      <c r="E312">
        <v>15</v>
      </c>
      <c r="F312" s="2">
        <v>0.16986301369863013</v>
      </c>
    </row>
    <row r="313" spans="2:6" x14ac:dyDescent="0.25">
      <c r="B313" s="33">
        <v>1</v>
      </c>
      <c r="C313" t="s">
        <v>64</v>
      </c>
      <c r="D313" t="s">
        <v>65</v>
      </c>
      <c r="E313">
        <v>13</v>
      </c>
      <c r="F313" s="2">
        <v>0.12602739726027398</v>
      </c>
    </row>
    <row r="314" spans="2:6" x14ac:dyDescent="0.25">
      <c r="B314" s="33">
        <v>1</v>
      </c>
      <c r="C314" t="s">
        <v>6</v>
      </c>
      <c r="D314" t="s">
        <v>23</v>
      </c>
      <c r="E314">
        <v>16</v>
      </c>
      <c r="F314" s="2">
        <v>0.14520547945205478</v>
      </c>
    </row>
    <row r="315" spans="2:6" x14ac:dyDescent="0.25">
      <c r="B315" s="33">
        <v>1</v>
      </c>
      <c r="C315" t="s">
        <v>66</v>
      </c>
      <c r="D315" t="s">
        <v>67</v>
      </c>
      <c r="E315">
        <v>12</v>
      </c>
      <c r="F315" s="2">
        <v>0.13150684931506848</v>
      </c>
    </row>
    <row r="316" spans="2:6" x14ac:dyDescent="0.25">
      <c r="B316" s="33">
        <v>1</v>
      </c>
      <c r="C316" t="s">
        <v>0</v>
      </c>
      <c r="D316" t="s">
        <v>95</v>
      </c>
      <c r="E316">
        <v>9</v>
      </c>
      <c r="F316" s="2">
        <v>0.17260273972602741</v>
      </c>
    </row>
    <row r="317" spans="2:6" x14ac:dyDescent="0.25">
      <c r="B317" s="33">
        <v>1</v>
      </c>
      <c r="C317" t="s">
        <v>3</v>
      </c>
      <c r="D317" t="s">
        <v>108</v>
      </c>
      <c r="E317">
        <v>9</v>
      </c>
      <c r="F317" s="2">
        <v>7.6712328767123292E-2</v>
      </c>
    </row>
    <row r="318" spans="2:6" x14ac:dyDescent="0.25">
      <c r="B318" s="33">
        <v>1</v>
      </c>
      <c r="C318" t="s">
        <v>69</v>
      </c>
      <c r="D318" t="s">
        <v>132</v>
      </c>
      <c r="E318">
        <v>9</v>
      </c>
      <c r="F318" s="2">
        <v>6.0273972602739728E-2</v>
      </c>
    </row>
    <row r="319" spans="2:6" x14ac:dyDescent="0.25">
      <c r="B319" s="33">
        <v>1</v>
      </c>
      <c r="C319" t="s">
        <v>66</v>
      </c>
      <c r="D319" t="s">
        <v>129</v>
      </c>
      <c r="E319">
        <v>8</v>
      </c>
      <c r="F319" s="2">
        <v>0.12876712328767123</v>
      </c>
    </row>
    <row r="320" spans="2:6" x14ac:dyDescent="0.25">
      <c r="B320" s="33">
        <v>1</v>
      </c>
      <c r="C320" t="s">
        <v>1</v>
      </c>
      <c r="D320" t="s">
        <v>92</v>
      </c>
      <c r="E320">
        <v>9</v>
      </c>
      <c r="F320" s="2">
        <v>0.16712328767123288</v>
      </c>
    </row>
    <row r="321" spans="2:6" x14ac:dyDescent="0.25">
      <c r="B321" s="33">
        <v>1</v>
      </c>
      <c r="C321" t="s">
        <v>77</v>
      </c>
      <c r="D321" t="s">
        <v>78</v>
      </c>
      <c r="E321">
        <v>15</v>
      </c>
      <c r="F321" s="2">
        <v>6.3013698630136991E-2</v>
      </c>
    </row>
    <row r="322" spans="2:6" x14ac:dyDescent="0.25">
      <c r="B322" s="33">
        <v>1</v>
      </c>
      <c r="C322" t="s">
        <v>72</v>
      </c>
      <c r="D322" t="s">
        <v>76</v>
      </c>
      <c r="E322">
        <v>10</v>
      </c>
      <c r="F322" s="2">
        <v>0.15068493150684931</v>
      </c>
    </row>
    <row r="323" spans="2:6" x14ac:dyDescent="0.25">
      <c r="B323" s="33">
        <v>1</v>
      </c>
      <c r="C323" t="s">
        <v>64</v>
      </c>
      <c r="D323" t="s">
        <v>115</v>
      </c>
      <c r="E323">
        <v>10</v>
      </c>
      <c r="F323" s="2">
        <v>0.12054794520547946</v>
      </c>
    </row>
    <row r="324" spans="2:6" x14ac:dyDescent="0.25">
      <c r="B324" s="33">
        <v>1</v>
      </c>
      <c r="C324" t="s">
        <v>77</v>
      </c>
      <c r="D324" t="s">
        <v>146</v>
      </c>
      <c r="E324">
        <v>8</v>
      </c>
      <c r="F324" s="2">
        <v>6.3013698630136991E-2</v>
      </c>
    </row>
    <row r="325" spans="2:6" x14ac:dyDescent="0.25">
      <c r="B325" s="33">
        <v>1</v>
      </c>
      <c r="C325" t="s">
        <v>1</v>
      </c>
      <c r="D325" t="s">
        <v>94</v>
      </c>
      <c r="E325">
        <v>10</v>
      </c>
      <c r="F325" s="2">
        <v>0.16164383561643836</v>
      </c>
    </row>
    <row r="326" spans="2:6" x14ac:dyDescent="0.25">
      <c r="B326" s="33">
        <v>1</v>
      </c>
      <c r="C326" t="s">
        <v>1</v>
      </c>
      <c r="D326" t="s">
        <v>92</v>
      </c>
      <c r="E326">
        <v>13</v>
      </c>
      <c r="F326" s="2">
        <v>0.15890410958904111</v>
      </c>
    </row>
    <row r="327" spans="2:6" x14ac:dyDescent="0.25">
      <c r="B327" s="33">
        <v>1</v>
      </c>
      <c r="C327" t="s">
        <v>6</v>
      </c>
      <c r="D327" t="s">
        <v>34</v>
      </c>
      <c r="E327">
        <v>10</v>
      </c>
      <c r="F327" s="2">
        <v>0.13972602739726028</v>
      </c>
    </row>
    <row r="328" spans="2:6" x14ac:dyDescent="0.25">
      <c r="B328" s="33">
        <v>1</v>
      </c>
      <c r="C328" t="s">
        <v>72</v>
      </c>
      <c r="D328" t="s">
        <v>81</v>
      </c>
      <c r="E328">
        <v>9</v>
      </c>
      <c r="F328" s="2">
        <v>0.15068493150684931</v>
      </c>
    </row>
    <row r="329" spans="2:6" x14ac:dyDescent="0.25">
      <c r="B329" s="33">
        <v>1</v>
      </c>
      <c r="C329" t="s">
        <v>1</v>
      </c>
      <c r="D329" t="s">
        <v>92</v>
      </c>
      <c r="E329">
        <v>10</v>
      </c>
      <c r="F329" s="2">
        <v>0.15342465753424658</v>
      </c>
    </row>
    <row r="330" spans="2:6" x14ac:dyDescent="0.25">
      <c r="B330" s="33">
        <v>1</v>
      </c>
      <c r="C330" t="s">
        <v>72</v>
      </c>
      <c r="D330" t="s">
        <v>73</v>
      </c>
      <c r="E330">
        <v>9</v>
      </c>
      <c r="F330" s="2">
        <v>0.14794520547945206</v>
      </c>
    </row>
    <row r="331" spans="2:6" x14ac:dyDescent="0.25">
      <c r="B331" s="33">
        <v>1</v>
      </c>
      <c r="C331" t="s">
        <v>64</v>
      </c>
      <c r="D331" t="s">
        <v>65</v>
      </c>
      <c r="E331">
        <v>9</v>
      </c>
      <c r="F331" s="2">
        <v>0.12054794520547946</v>
      </c>
    </row>
    <row r="332" spans="2:6" x14ac:dyDescent="0.25">
      <c r="B332" s="33">
        <v>1</v>
      </c>
      <c r="C332" t="s">
        <v>6</v>
      </c>
      <c r="D332" t="s">
        <v>32</v>
      </c>
      <c r="E332">
        <v>14</v>
      </c>
      <c r="F332" s="2">
        <v>0.13972602739726028</v>
      </c>
    </row>
    <row r="333" spans="2:6" x14ac:dyDescent="0.25">
      <c r="B333" s="33">
        <v>1</v>
      </c>
      <c r="C333" t="s">
        <v>1</v>
      </c>
      <c r="D333" t="s">
        <v>112</v>
      </c>
      <c r="E333">
        <v>11</v>
      </c>
      <c r="F333" s="2">
        <v>0.15342465753424658</v>
      </c>
    </row>
    <row r="334" spans="2:6" x14ac:dyDescent="0.25">
      <c r="B334" s="33">
        <v>1</v>
      </c>
      <c r="C334" t="s">
        <v>72</v>
      </c>
      <c r="D334" t="s">
        <v>73</v>
      </c>
      <c r="E334">
        <v>11</v>
      </c>
      <c r="F334" s="2">
        <v>0.14246575342465753</v>
      </c>
    </row>
    <row r="335" spans="2:6" x14ac:dyDescent="0.25">
      <c r="B335" s="33">
        <v>1</v>
      </c>
      <c r="C335" t="s">
        <v>69</v>
      </c>
      <c r="D335" t="s">
        <v>113</v>
      </c>
      <c r="E335">
        <v>15</v>
      </c>
      <c r="F335" s="2">
        <v>5.7534246575342465E-2</v>
      </c>
    </row>
    <row r="336" spans="2:6" x14ac:dyDescent="0.25">
      <c r="B336" s="33">
        <v>1</v>
      </c>
      <c r="C336" t="s">
        <v>66</v>
      </c>
      <c r="D336" t="s">
        <v>135</v>
      </c>
      <c r="E336">
        <v>15</v>
      </c>
      <c r="F336" s="2">
        <v>0.12876712328767123</v>
      </c>
    </row>
    <row r="337" spans="2:6" x14ac:dyDescent="0.25">
      <c r="B337" s="33">
        <v>1</v>
      </c>
      <c r="C337" t="s">
        <v>1</v>
      </c>
      <c r="D337" t="s">
        <v>112</v>
      </c>
      <c r="E337">
        <v>9</v>
      </c>
      <c r="F337" s="2">
        <v>0.15068493150684931</v>
      </c>
    </row>
    <row r="338" spans="2:6" x14ac:dyDescent="0.25">
      <c r="B338" s="33">
        <v>1</v>
      </c>
      <c r="C338" t="s">
        <v>66</v>
      </c>
      <c r="D338" t="s">
        <v>122</v>
      </c>
      <c r="E338">
        <v>10</v>
      </c>
      <c r="F338" s="2">
        <v>0.12328767123287671</v>
      </c>
    </row>
    <row r="339" spans="2:6" x14ac:dyDescent="0.25">
      <c r="B339" s="33">
        <v>1</v>
      </c>
      <c r="C339" t="s">
        <v>3</v>
      </c>
      <c r="D339" t="s">
        <v>119</v>
      </c>
      <c r="E339">
        <v>8</v>
      </c>
      <c r="F339" s="2">
        <v>7.3972602739726029E-2</v>
      </c>
    </row>
    <row r="340" spans="2:6" x14ac:dyDescent="0.25">
      <c r="B340" s="33">
        <v>1</v>
      </c>
      <c r="C340" t="s">
        <v>126</v>
      </c>
      <c r="D340" t="s">
        <v>147</v>
      </c>
      <c r="E340">
        <v>13</v>
      </c>
      <c r="F340" s="2">
        <v>1.643835616438356E-2</v>
      </c>
    </row>
    <row r="341" spans="2:6" x14ac:dyDescent="0.25">
      <c r="B341" s="33">
        <v>1</v>
      </c>
      <c r="C341" t="s">
        <v>64</v>
      </c>
      <c r="D341" t="s">
        <v>71</v>
      </c>
      <c r="E341">
        <v>10</v>
      </c>
      <c r="F341" s="2">
        <v>0.12054794520547946</v>
      </c>
    </row>
    <row r="342" spans="2:6" x14ac:dyDescent="0.25">
      <c r="B342" s="33">
        <v>1</v>
      </c>
      <c r="C342" t="s">
        <v>88</v>
      </c>
      <c r="D342" t="s">
        <v>114</v>
      </c>
      <c r="E342">
        <v>8</v>
      </c>
      <c r="F342" s="2">
        <v>0.17260273972602741</v>
      </c>
    </row>
    <row r="343" spans="2:6" x14ac:dyDescent="0.25">
      <c r="B343" s="33">
        <v>1</v>
      </c>
      <c r="C343" t="s">
        <v>1</v>
      </c>
      <c r="D343" t="s">
        <v>92</v>
      </c>
      <c r="E343">
        <v>11</v>
      </c>
      <c r="F343" s="2">
        <v>0.15068493150684931</v>
      </c>
    </row>
    <row r="344" spans="2:6" x14ac:dyDescent="0.25">
      <c r="B344" s="33">
        <v>1</v>
      </c>
      <c r="C344" t="s">
        <v>69</v>
      </c>
      <c r="D344" t="s">
        <v>86</v>
      </c>
      <c r="E344">
        <v>8</v>
      </c>
      <c r="F344" s="2">
        <v>5.4794520547945202E-2</v>
      </c>
    </row>
    <row r="345" spans="2:6" x14ac:dyDescent="0.25">
      <c r="B345" s="33">
        <v>1</v>
      </c>
      <c r="C345" t="s">
        <v>6</v>
      </c>
      <c r="D345" t="s">
        <v>21</v>
      </c>
      <c r="E345">
        <v>15</v>
      </c>
      <c r="F345" s="2">
        <v>0.13698630136986301</v>
      </c>
    </row>
    <row r="346" spans="2:6" x14ac:dyDescent="0.25">
      <c r="B346" s="33">
        <v>1</v>
      </c>
      <c r="C346" t="s">
        <v>77</v>
      </c>
      <c r="D346" t="s">
        <v>87</v>
      </c>
      <c r="E346">
        <v>10</v>
      </c>
      <c r="F346" s="2">
        <v>6.0273972602739728E-2</v>
      </c>
    </row>
    <row r="347" spans="2:6" x14ac:dyDescent="0.25">
      <c r="B347" s="33">
        <v>1</v>
      </c>
      <c r="C347" t="s">
        <v>88</v>
      </c>
      <c r="D347" t="s">
        <v>89</v>
      </c>
      <c r="E347">
        <v>10</v>
      </c>
      <c r="F347" s="2">
        <v>0.16438356164383561</v>
      </c>
    </row>
    <row r="348" spans="2:6" x14ac:dyDescent="0.25">
      <c r="B348" s="33">
        <v>1</v>
      </c>
      <c r="C348" t="s">
        <v>69</v>
      </c>
      <c r="D348" t="s">
        <v>148</v>
      </c>
      <c r="E348">
        <v>8</v>
      </c>
      <c r="F348" s="2">
        <v>5.2054794520547946E-2</v>
      </c>
    </row>
    <row r="349" spans="2:6" x14ac:dyDescent="0.25">
      <c r="B349" s="33">
        <v>1</v>
      </c>
      <c r="C349" t="s">
        <v>72</v>
      </c>
      <c r="D349" t="s">
        <v>81</v>
      </c>
      <c r="E349">
        <v>15</v>
      </c>
      <c r="F349" s="2">
        <v>0.14246575342465753</v>
      </c>
    </row>
    <row r="350" spans="2:6" x14ac:dyDescent="0.25">
      <c r="B350" s="33">
        <v>1</v>
      </c>
      <c r="C350" t="s">
        <v>6</v>
      </c>
      <c r="D350" t="s">
        <v>42</v>
      </c>
      <c r="E350">
        <v>18</v>
      </c>
      <c r="F350" s="2">
        <v>0.13424657534246576</v>
      </c>
    </row>
    <row r="351" spans="2:6" x14ac:dyDescent="0.25">
      <c r="B351" s="33">
        <v>1</v>
      </c>
      <c r="C351" t="s">
        <v>126</v>
      </c>
      <c r="D351" t="s">
        <v>131</v>
      </c>
      <c r="E351">
        <v>14</v>
      </c>
      <c r="F351" s="2">
        <v>7.9452054794520555E-2</v>
      </c>
    </row>
    <row r="352" spans="2:6" x14ac:dyDescent="0.25">
      <c r="B352" s="33">
        <v>1</v>
      </c>
      <c r="C352" t="s">
        <v>64</v>
      </c>
      <c r="D352" t="s">
        <v>116</v>
      </c>
      <c r="E352">
        <v>10</v>
      </c>
      <c r="F352" s="2">
        <v>0.11780821917808219</v>
      </c>
    </row>
    <row r="353" spans="2:6" x14ac:dyDescent="0.25">
      <c r="B353" s="33">
        <v>1</v>
      </c>
      <c r="C353" t="s">
        <v>4</v>
      </c>
      <c r="D353" t="s">
        <v>106</v>
      </c>
      <c r="E353">
        <v>15</v>
      </c>
      <c r="F353" s="2">
        <v>0.10410958904109589</v>
      </c>
    </row>
    <row r="354" spans="2:6" x14ac:dyDescent="0.25">
      <c r="B354" s="33">
        <v>1</v>
      </c>
      <c r="C354" t="s">
        <v>6</v>
      </c>
      <c r="D354" t="s">
        <v>34</v>
      </c>
      <c r="E354">
        <v>15</v>
      </c>
      <c r="F354" s="2">
        <v>0.13424657534246576</v>
      </c>
    </row>
    <row r="355" spans="2:6" x14ac:dyDescent="0.25">
      <c r="B355" s="33">
        <v>1</v>
      </c>
      <c r="C355" t="s">
        <v>88</v>
      </c>
      <c r="D355" t="s">
        <v>134</v>
      </c>
      <c r="E355">
        <v>18</v>
      </c>
      <c r="F355" s="2">
        <v>0.13424657534246576</v>
      </c>
    </row>
    <row r="356" spans="2:6" x14ac:dyDescent="0.25">
      <c r="B356" s="33">
        <v>1</v>
      </c>
      <c r="C356" t="s">
        <v>72</v>
      </c>
      <c r="D356" t="s">
        <v>73</v>
      </c>
      <c r="E356">
        <v>17</v>
      </c>
      <c r="F356" s="2">
        <v>0.18082191780821918</v>
      </c>
    </row>
    <row r="357" spans="2:6" x14ac:dyDescent="0.25">
      <c r="B357" s="33">
        <v>1</v>
      </c>
      <c r="C357" t="s">
        <v>66</v>
      </c>
      <c r="D357" t="s">
        <v>67</v>
      </c>
      <c r="E357">
        <v>19</v>
      </c>
      <c r="F357" s="2">
        <v>0.15068493150684931</v>
      </c>
    </row>
    <row r="358" spans="2:6" x14ac:dyDescent="0.25">
      <c r="B358" s="33">
        <v>1</v>
      </c>
      <c r="C358" t="s">
        <v>72</v>
      </c>
      <c r="D358" t="s">
        <v>81</v>
      </c>
      <c r="E358">
        <v>19</v>
      </c>
      <c r="F358" s="2">
        <v>0.17534246575342466</v>
      </c>
    </row>
    <row r="359" spans="2:6" x14ac:dyDescent="0.25">
      <c r="B359" s="33">
        <v>1</v>
      </c>
      <c r="C359" t="s">
        <v>72</v>
      </c>
      <c r="D359" t="s">
        <v>76</v>
      </c>
      <c r="E359">
        <v>18</v>
      </c>
      <c r="F359" s="2">
        <v>0.17260273972602741</v>
      </c>
    </row>
    <row r="360" spans="2:6" x14ac:dyDescent="0.25">
      <c r="B360" s="33">
        <v>1</v>
      </c>
      <c r="C360" t="s">
        <v>1</v>
      </c>
      <c r="D360" t="s">
        <v>94</v>
      </c>
      <c r="E360">
        <v>17</v>
      </c>
      <c r="F360" s="2">
        <v>0.14246575342465753</v>
      </c>
    </row>
    <row r="361" spans="2:6" x14ac:dyDescent="0.25">
      <c r="B361" s="33">
        <v>1</v>
      </c>
      <c r="C361" t="s">
        <v>69</v>
      </c>
      <c r="D361" t="s">
        <v>70</v>
      </c>
      <c r="E361">
        <v>19</v>
      </c>
      <c r="F361" s="2">
        <v>6.8493150684931503E-2</v>
      </c>
    </row>
    <row r="362" spans="2:6" x14ac:dyDescent="0.25">
      <c r="B362" s="33">
        <v>1</v>
      </c>
      <c r="C362" t="s">
        <v>74</v>
      </c>
      <c r="D362" t="s">
        <v>130</v>
      </c>
      <c r="E362">
        <v>16</v>
      </c>
      <c r="F362" s="2">
        <v>0.14246575342465753</v>
      </c>
    </row>
    <row r="363" spans="2:6" x14ac:dyDescent="0.25">
      <c r="B363" s="33">
        <v>1</v>
      </c>
      <c r="C363" t="s">
        <v>88</v>
      </c>
      <c r="D363" t="s">
        <v>89</v>
      </c>
      <c r="E363">
        <v>22</v>
      </c>
      <c r="F363" s="2">
        <v>0.12602739726027398</v>
      </c>
    </row>
    <row r="364" spans="2:6" x14ac:dyDescent="0.25">
      <c r="B364" s="33">
        <v>1</v>
      </c>
      <c r="C364" t="s">
        <v>6</v>
      </c>
      <c r="D364" t="s">
        <v>21</v>
      </c>
      <c r="E364">
        <v>14</v>
      </c>
      <c r="F364" s="2">
        <v>0.13424657534246576</v>
      </c>
    </row>
    <row r="365" spans="2:6" x14ac:dyDescent="0.25">
      <c r="B365" s="33">
        <v>1</v>
      </c>
      <c r="C365" t="s">
        <v>72</v>
      </c>
      <c r="D365" t="s">
        <v>76</v>
      </c>
      <c r="E365">
        <v>17</v>
      </c>
      <c r="F365" s="2">
        <v>0.17260273972602741</v>
      </c>
    </row>
    <row r="366" spans="2:6" x14ac:dyDescent="0.25">
      <c r="B366" s="33">
        <v>1</v>
      </c>
      <c r="C366" t="s">
        <v>103</v>
      </c>
      <c r="D366" t="s">
        <v>141</v>
      </c>
      <c r="E366">
        <v>19</v>
      </c>
      <c r="F366" s="2">
        <v>6.8493150684931503E-2</v>
      </c>
    </row>
    <row r="367" spans="2:6" x14ac:dyDescent="0.25">
      <c r="B367" s="33">
        <v>1</v>
      </c>
      <c r="C367" t="s">
        <v>64</v>
      </c>
      <c r="D367" t="s">
        <v>68</v>
      </c>
      <c r="E367">
        <v>18</v>
      </c>
      <c r="F367" s="2">
        <v>0.16164383561643836</v>
      </c>
    </row>
    <row r="368" spans="2:6" x14ac:dyDescent="0.25">
      <c r="B368" s="33">
        <v>1</v>
      </c>
      <c r="C368" t="s">
        <v>66</v>
      </c>
      <c r="D368" t="s">
        <v>122</v>
      </c>
      <c r="E368">
        <v>18</v>
      </c>
      <c r="F368" s="2">
        <v>0.14520547945205478</v>
      </c>
    </row>
    <row r="369" spans="2:6" x14ac:dyDescent="0.25">
      <c r="B369" s="33">
        <v>1</v>
      </c>
      <c r="C369" t="s">
        <v>2</v>
      </c>
      <c r="D369" t="s">
        <v>96</v>
      </c>
      <c r="E369">
        <v>17</v>
      </c>
      <c r="F369" s="2">
        <v>5.7534246575342465E-2</v>
      </c>
    </row>
    <row r="370" spans="2:6" x14ac:dyDescent="0.25">
      <c r="B370" s="33">
        <v>1</v>
      </c>
      <c r="C370" t="s">
        <v>66</v>
      </c>
      <c r="D370" t="s">
        <v>67</v>
      </c>
      <c r="E370">
        <v>16</v>
      </c>
      <c r="F370" s="2">
        <v>0.14246575342465753</v>
      </c>
    </row>
    <row r="371" spans="2:6" x14ac:dyDescent="0.25">
      <c r="B371" s="33">
        <v>1</v>
      </c>
      <c r="C371" t="s">
        <v>74</v>
      </c>
      <c r="D371" t="s">
        <v>75</v>
      </c>
      <c r="E371">
        <v>22</v>
      </c>
      <c r="F371" s="2">
        <v>0.13972602739726028</v>
      </c>
    </row>
    <row r="372" spans="2:6" x14ac:dyDescent="0.25">
      <c r="B372" s="33">
        <v>1</v>
      </c>
      <c r="C372" t="s">
        <v>103</v>
      </c>
      <c r="D372" t="s">
        <v>139</v>
      </c>
      <c r="E372">
        <v>16</v>
      </c>
      <c r="F372" s="2">
        <v>6.575342465753424E-2</v>
      </c>
    </row>
    <row r="373" spans="2:6" x14ac:dyDescent="0.25">
      <c r="B373" s="33">
        <v>1</v>
      </c>
      <c r="C373" t="s">
        <v>77</v>
      </c>
      <c r="D373" t="s">
        <v>97</v>
      </c>
      <c r="E373">
        <v>17</v>
      </c>
      <c r="F373" s="2">
        <v>6.0273972602739728E-2</v>
      </c>
    </row>
    <row r="374" spans="2:6" x14ac:dyDescent="0.25">
      <c r="B374" s="33">
        <v>1</v>
      </c>
      <c r="C374" t="s">
        <v>6</v>
      </c>
      <c r="D374" t="s">
        <v>30</v>
      </c>
      <c r="E374">
        <v>14</v>
      </c>
      <c r="F374" s="2">
        <v>0.12876712328767123</v>
      </c>
    </row>
    <row r="375" spans="2:6" x14ac:dyDescent="0.25">
      <c r="B375" s="33">
        <v>1</v>
      </c>
      <c r="C375" t="s">
        <v>66</v>
      </c>
      <c r="D375" t="s">
        <v>80</v>
      </c>
      <c r="E375">
        <v>21</v>
      </c>
      <c r="F375" s="2">
        <v>0.13150684931506848</v>
      </c>
    </row>
    <row r="376" spans="2:6" x14ac:dyDescent="0.25">
      <c r="B376" s="33">
        <v>1</v>
      </c>
      <c r="C376" t="s">
        <v>72</v>
      </c>
      <c r="D376" t="s">
        <v>149</v>
      </c>
      <c r="E376">
        <v>18</v>
      </c>
      <c r="F376" s="2">
        <v>0.15890410958904111</v>
      </c>
    </row>
    <row r="377" spans="2:6" x14ac:dyDescent="0.25">
      <c r="B377" s="33">
        <v>1</v>
      </c>
      <c r="C377" t="s">
        <v>0</v>
      </c>
      <c r="D377" t="s">
        <v>150</v>
      </c>
      <c r="E377">
        <v>19</v>
      </c>
      <c r="F377" s="2">
        <v>5.4794520547945202E-2</v>
      </c>
    </row>
    <row r="378" spans="2:6" x14ac:dyDescent="0.25">
      <c r="B378" s="33">
        <v>1</v>
      </c>
      <c r="C378" t="s">
        <v>66</v>
      </c>
      <c r="D378" t="s">
        <v>151</v>
      </c>
      <c r="E378">
        <v>17</v>
      </c>
      <c r="F378" s="2">
        <v>0.12054794520547946</v>
      </c>
    </row>
    <row r="379" spans="2:6" x14ac:dyDescent="0.25">
      <c r="B379" s="33">
        <v>1</v>
      </c>
      <c r="C379" t="s">
        <v>1</v>
      </c>
      <c r="D379" t="s">
        <v>143</v>
      </c>
      <c r="E379">
        <v>18</v>
      </c>
      <c r="F379" s="2">
        <v>0.14246575342465753</v>
      </c>
    </row>
    <row r="380" spans="2:6" x14ac:dyDescent="0.25">
      <c r="B380" s="33">
        <v>1</v>
      </c>
      <c r="C380" t="s">
        <v>69</v>
      </c>
      <c r="D380" t="s">
        <v>86</v>
      </c>
      <c r="E380">
        <v>19</v>
      </c>
      <c r="F380" s="2">
        <v>6.0273972602739728E-2</v>
      </c>
    </row>
    <row r="381" spans="2:6" x14ac:dyDescent="0.25">
      <c r="B381" s="33">
        <v>1</v>
      </c>
      <c r="C381" t="s">
        <v>66</v>
      </c>
      <c r="D381" t="s">
        <v>107</v>
      </c>
      <c r="E381">
        <v>16</v>
      </c>
      <c r="F381" s="2">
        <v>0.12054794520547946</v>
      </c>
    </row>
    <row r="382" spans="2:6" x14ac:dyDescent="0.25">
      <c r="B382" s="33">
        <v>1</v>
      </c>
      <c r="C382" t="s">
        <v>6</v>
      </c>
      <c r="D382" t="s">
        <v>32</v>
      </c>
      <c r="E382">
        <v>9</v>
      </c>
      <c r="F382" s="2">
        <v>0.12602739726027398</v>
      </c>
    </row>
    <row r="383" spans="2:6" x14ac:dyDescent="0.25">
      <c r="B383" s="33">
        <v>1</v>
      </c>
      <c r="C383" t="s">
        <v>1</v>
      </c>
      <c r="D383" t="s">
        <v>143</v>
      </c>
      <c r="E383">
        <v>17</v>
      </c>
      <c r="F383" s="2">
        <v>0.14246575342465753</v>
      </c>
    </row>
    <row r="384" spans="2:6" x14ac:dyDescent="0.25">
      <c r="B384" s="33">
        <v>1</v>
      </c>
      <c r="C384" t="s">
        <v>1</v>
      </c>
      <c r="D384" t="s">
        <v>152</v>
      </c>
      <c r="E384">
        <v>16</v>
      </c>
      <c r="F384" s="2">
        <v>0.13150684931506848</v>
      </c>
    </row>
    <row r="385" spans="2:6" x14ac:dyDescent="0.25">
      <c r="B385" s="33">
        <v>1</v>
      </c>
      <c r="C385" t="s">
        <v>1</v>
      </c>
      <c r="D385" t="s">
        <v>82</v>
      </c>
      <c r="E385">
        <v>23</v>
      </c>
      <c r="F385" s="2">
        <v>0.12876712328767123</v>
      </c>
    </row>
    <row r="386" spans="2:6" x14ac:dyDescent="0.25">
      <c r="B386" s="33">
        <v>1</v>
      </c>
      <c r="C386" t="s">
        <v>69</v>
      </c>
      <c r="D386" t="s">
        <v>86</v>
      </c>
      <c r="E386">
        <v>20</v>
      </c>
      <c r="F386" s="2">
        <v>5.2054794520547946E-2</v>
      </c>
    </row>
    <row r="387" spans="2:6" x14ac:dyDescent="0.25">
      <c r="B387" s="33">
        <v>1</v>
      </c>
      <c r="C387" t="s">
        <v>1</v>
      </c>
      <c r="D387" t="s">
        <v>94</v>
      </c>
      <c r="E387">
        <v>21</v>
      </c>
      <c r="F387" s="2">
        <v>0.12328767123287671</v>
      </c>
    </row>
    <row r="388" spans="2:6" x14ac:dyDescent="0.25">
      <c r="B388" s="33">
        <v>1</v>
      </c>
      <c r="C388" t="s">
        <v>74</v>
      </c>
      <c r="D388" t="s">
        <v>75</v>
      </c>
      <c r="E388">
        <v>20</v>
      </c>
      <c r="F388" s="2">
        <v>0.13972602739726028</v>
      </c>
    </row>
    <row r="389" spans="2:6" x14ac:dyDescent="0.25">
      <c r="B389" s="33">
        <v>1</v>
      </c>
      <c r="C389" t="s">
        <v>88</v>
      </c>
      <c r="D389" t="s">
        <v>114</v>
      </c>
      <c r="E389">
        <v>19</v>
      </c>
      <c r="F389" s="2">
        <v>0.12328767123287671</v>
      </c>
    </row>
    <row r="390" spans="2:6" x14ac:dyDescent="0.25">
      <c r="B390" s="33">
        <v>1</v>
      </c>
      <c r="C390" t="s">
        <v>66</v>
      </c>
      <c r="D390" t="s">
        <v>93</v>
      </c>
      <c r="E390">
        <v>17</v>
      </c>
      <c r="F390" s="2">
        <v>0.11506849315068493</v>
      </c>
    </row>
    <row r="391" spans="2:6" x14ac:dyDescent="0.25">
      <c r="B391" s="33">
        <v>1</v>
      </c>
      <c r="C391" t="s">
        <v>1</v>
      </c>
      <c r="D391" t="s">
        <v>112</v>
      </c>
      <c r="E391">
        <v>17</v>
      </c>
      <c r="F391" s="2">
        <v>0.12328767123287671</v>
      </c>
    </row>
    <row r="392" spans="2:6" x14ac:dyDescent="0.25">
      <c r="B392" s="33">
        <v>1</v>
      </c>
      <c r="C392" t="s">
        <v>6</v>
      </c>
      <c r="D392" t="s">
        <v>32</v>
      </c>
      <c r="E392">
        <v>11</v>
      </c>
      <c r="F392" s="2">
        <v>0.12602739726027398</v>
      </c>
    </row>
    <row r="393" spans="2:6" x14ac:dyDescent="0.25">
      <c r="B393" s="33">
        <v>1</v>
      </c>
      <c r="C393" t="s">
        <v>77</v>
      </c>
      <c r="D393" t="s">
        <v>123</v>
      </c>
      <c r="E393">
        <v>19</v>
      </c>
      <c r="F393" s="2">
        <v>5.7534246575342465E-2</v>
      </c>
    </row>
    <row r="394" spans="2:6" x14ac:dyDescent="0.25">
      <c r="B394" s="33">
        <v>1</v>
      </c>
      <c r="C394" t="s">
        <v>6</v>
      </c>
      <c r="D394" t="s">
        <v>30</v>
      </c>
      <c r="E394">
        <v>19</v>
      </c>
      <c r="F394" s="2">
        <v>0.12602739726027398</v>
      </c>
    </row>
    <row r="395" spans="2:6" x14ac:dyDescent="0.25">
      <c r="B395" s="33">
        <v>1</v>
      </c>
      <c r="C395" t="s">
        <v>90</v>
      </c>
      <c r="D395" t="s">
        <v>91</v>
      </c>
      <c r="E395">
        <v>17</v>
      </c>
      <c r="F395" s="2">
        <v>0.15890410958904111</v>
      </c>
    </row>
    <row r="396" spans="2:6" x14ac:dyDescent="0.25">
      <c r="B396" s="33">
        <v>1</v>
      </c>
      <c r="C396" t="s">
        <v>88</v>
      </c>
      <c r="D396" t="s">
        <v>117</v>
      </c>
      <c r="E396">
        <v>18</v>
      </c>
      <c r="F396" s="2">
        <v>0.11506849315068493</v>
      </c>
    </row>
    <row r="397" spans="2:6" x14ac:dyDescent="0.25">
      <c r="B397" s="33">
        <v>1</v>
      </c>
      <c r="C397" t="s">
        <v>1</v>
      </c>
      <c r="D397" t="s">
        <v>152</v>
      </c>
      <c r="E397">
        <v>19</v>
      </c>
      <c r="F397" s="2">
        <v>0.12328767123287671</v>
      </c>
    </row>
    <row r="398" spans="2:6" x14ac:dyDescent="0.25">
      <c r="B398" s="33">
        <v>1</v>
      </c>
      <c r="C398" t="s">
        <v>4</v>
      </c>
      <c r="D398" t="s">
        <v>153</v>
      </c>
      <c r="E398">
        <v>19</v>
      </c>
      <c r="F398" s="2">
        <v>8.7671232876712329E-2</v>
      </c>
    </row>
    <row r="399" spans="2:6" x14ac:dyDescent="0.25">
      <c r="B399" s="33">
        <v>1</v>
      </c>
      <c r="C399" t="s">
        <v>3</v>
      </c>
      <c r="D399" t="s">
        <v>119</v>
      </c>
      <c r="E399">
        <v>16</v>
      </c>
      <c r="F399" s="2">
        <v>6.3013698630136991E-2</v>
      </c>
    </row>
    <row r="400" spans="2:6" x14ac:dyDescent="0.25">
      <c r="B400" s="33">
        <v>1</v>
      </c>
      <c r="C400" t="s">
        <v>90</v>
      </c>
      <c r="D400" t="s">
        <v>91</v>
      </c>
      <c r="E400">
        <v>0</v>
      </c>
      <c r="F400" s="2">
        <v>6.3013698630136991E-2</v>
      </c>
    </row>
    <row r="401" spans="2:6" x14ac:dyDescent="0.25">
      <c r="B401" s="33">
        <v>1</v>
      </c>
      <c r="C401" t="s">
        <v>6</v>
      </c>
      <c r="D401" t="s">
        <v>23</v>
      </c>
      <c r="E401">
        <v>10</v>
      </c>
      <c r="F401" s="2">
        <v>0.12602739726027398</v>
      </c>
    </row>
    <row r="402" spans="2:6" x14ac:dyDescent="0.25">
      <c r="B402" s="33">
        <v>1</v>
      </c>
      <c r="C402" t="s">
        <v>77</v>
      </c>
      <c r="D402" t="s">
        <v>101</v>
      </c>
      <c r="E402">
        <v>2</v>
      </c>
      <c r="F402" s="2">
        <v>2.4657534246575342E-2</v>
      </c>
    </row>
    <row r="403" spans="2:6" x14ac:dyDescent="0.25">
      <c r="B403" s="33">
        <v>1</v>
      </c>
      <c r="C403" t="s">
        <v>64</v>
      </c>
      <c r="D403" t="s">
        <v>116</v>
      </c>
      <c r="E403">
        <v>7</v>
      </c>
      <c r="F403" s="2">
        <v>4.9315068493150684E-2</v>
      </c>
    </row>
    <row r="404" spans="2:6" x14ac:dyDescent="0.25">
      <c r="B404" s="33">
        <v>1</v>
      </c>
      <c r="C404" t="s">
        <v>88</v>
      </c>
      <c r="D404" t="s">
        <v>114</v>
      </c>
      <c r="E404">
        <v>0</v>
      </c>
      <c r="F404" s="2">
        <v>7.6712328767123292E-2</v>
      </c>
    </row>
    <row r="405" spans="2:6" x14ac:dyDescent="0.25">
      <c r="B405" s="33">
        <v>1</v>
      </c>
      <c r="C405" t="s">
        <v>88</v>
      </c>
      <c r="D405" t="s">
        <v>117</v>
      </c>
      <c r="E405">
        <v>0</v>
      </c>
      <c r="F405" s="2">
        <v>7.1232876712328766E-2</v>
      </c>
    </row>
    <row r="406" spans="2:6" x14ac:dyDescent="0.25">
      <c r="B406" s="33">
        <v>1</v>
      </c>
      <c r="C406" t="s">
        <v>77</v>
      </c>
      <c r="D406" t="s">
        <v>78</v>
      </c>
      <c r="E406">
        <v>0</v>
      </c>
      <c r="F406" s="2">
        <v>2.4657534246575342E-2</v>
      </c>
    </row>
    <row r="407" spans="2:6" x14ac:dyDescent="0.25">
      <c r="B407" s="33">
        <v>1</v>
      </c>
      <c r="C407" t="s">
        <v>74</v>
      </c>
      <c r="D407" t="s">
        <v>105</v>
      </c>
      <c r="E407">
        <v>0</v>
      </c>
      <c r="F407" s="2">
        <v>6.575342465753424E-2</v>
      </c>
    </row>
    <row r="408" spans="2:6" x14ac:dyDescent="0.25">
      <c r="B408" s="33">
        <v>1</v>
      </c>
      <c r="C408" t="s">
        <v>77</v>
      </c>
      <c r="D408" t="s">
        <v>146</v>
      </c>
      <c r="E408">
        <v>7</v>
      </c>
      <c r="F408" s="2">
        <v>2.4657534246575342E-2</v>
      </c>
    </row>
    <row r="409" spans="2:6" x14ac:dyDescent="0.25">
      <c r="B409" s="33">
        <v>1</v>
      </c>
      <c r="C409" t="s">
        <v>77</v>
      </c>
      <c r="D409" t="s">
        <v>145</v>
      </c>
      <c r="E409">
        <v>7</v>
      </c>
      <c r="F409" s="2">
        <v>2.1917808219178082E-2</v>
      </c>
    </row>
    <row r="410" spans="2:6" x14ac:dyDescent="0.25">
      <c r="B410" s="33">
        <v>1</v>
      </c>
      <c r="C410" t="s">
        <v>0</v>
      </c>
      <c r="D410" t="s">
        <v>95</v>
      </c>
      <c r="E410">
        <v>0</v>
      </c>
      <c r="F410" s="2">
        <v>6.8493150684931503E-2</v>
      </c>
    </row>
    <row r="411" spans="2:6" x14ac:dyDescent="0.25">
      <c r="B411" s="33">
        <v>1</v>
      </c>
      <c r="C411" t="s">
        <v>72</v>
      </c>
      <c r="D411" t="s">
        <v>73</v>
      </c>
      <c r="E411">
        <v>2</v>
      </c>
      <c r="F411" s="2">
        <v>7.6712328767123292E-2</v>
      </c>
    </row>
    <row r="412" spans="2:6" x14ac:dyDescent="0.25">
      <c r="B412" s="33">
        <v>1</v>
      </c>
      <c r="C412" t="s">
        <v>1</v>
      </c>
      <c r="D412" t="s">
        <v>152</v>
      </c>
      <c r="E412">
        <v>0</v>
      </c>
      <c r="F412" s="2">
        <v>6.8493150684931503E-2</v>
      </c>
    </row>
    <row r="413" spans="2:6" x14ac:dyDescent="0.25">
      <c r="B413" s="33">
        <v>1</v>
      </c>
      <c r="C413" t="s">
        <v>66</v>
      </c>
      <c r="D413" t="s">
        <v>67</v>
      </c>
      <c r="E413">
        <v>11</v>
      </c>
      <c r="F413" s="2">
        <v>0.12328767123287671</v>
      </c>
    </row>
    <row r="414" spans="2:6" x14ac:dyDescent="0.25">
      <c r="B414" s="33">
        <v>1</v>
      </c>
      <c r="C414" t="s">
        <v>1</v>
      </c>
      <c r="D414" t="s">
        <v>92</v>
      </c>
      <c r="E414">
        <v>14</v>
      </c>
      <c r="F414" s="2">
        <v>0.15068493150684931</v>
      </c>
    </row>
    <row r="415" spans="2:6" x14ac:dyDescent="0.25">
      <c r="B415" s="33">
        <v>1</v>
      </c>
      <c r="C415" t="s">
        <v>77</v>
      </c>
      <c r="D415" t="s">
        <v>78</v>
      </c>
      <c r="E415">
        <v>11</v>
      </c>
      <c r="F415" s="2">
        <v>6.0273972602739728E-2</v>
      </c>
    </row>
    <row r="416" spans="2:6" x14ac:dyDescent="0.25">
      <c r="B416" s="33">
        <v>1</v>
      </c>
      <c r="C416" t="s">
        <v>69</v>
      </c>
      <c r="D416" t="s">
        <v>154</v>
      </c>
      <c r="E416">
        <v>9</v>
      </c>
      <c r="F416" s="2">
        <v>4.9315068493150684E-2</v>
      </c>
    </row>
    <row r="417" spans="2:6" x14ac:dyDescent="0.25">
      <c r="B417" s="33">
        <v>1</v>
      </c>
      <c r="C417" t="s">
        <v>88</v>
      </c>
      <c r="D417" t="s">
        <v>117</v>
      </c>
      <c r="E417">
        <v>9</v>
      </c>
      <c r="F417" s="2">
        <v>0.14246575342465753</v>
      </c>
    </row>
    <row r="418" spans="2:6" x14ac:dyDescent="0.25">
      <c r="B418" s="33">
        <v>1</v>
      </c>
      <c r="C418" t="s">
        <v>64</v>
      </c>
      <c r="D418" t="s">
        <v>99</v>
      </c>
      <c r="E418">
        <v>14</v>
      </c>
      <c r="F418" s="2">
        <v>0.11780821917808219</v>
      </c>
    </row>
    <row r="419" spans="2:6" x14ac:dyDescent="0.25">
      <c r="B419" s="33">
        <v>1</v>
      </c>
      <c r="C419" t="s">
        <v>90</v>
      </c>
      <c r="D419" t="s">
        <v>109</v>
      </c>
      <c r="E419">
        <v>11</v>
      </c>
      <c r="F419" s="2">
        <v>0.17260273972602741</v>
      </c>
    </row>
    <row r="420" spans="2:6" x14ac:dyDescent="0.25">
      <c r="B420" s="33">
        <v>1</v>
      </c>
      <c r="C420" t="s">
        <v>69</v>
      </c>
      <c r="D420" t="s">
        <v>113</v>
      </c>
      <c r="E420">
        <v>8</v>
      </c>
      <c r="F420" s="2">
        <v>4.9315068493150684E-2</v>
      </c>
    </row>
    <row r="421" spans="2:6" x14ac:dyDescent="0.25">
      <c r="B421" s="33">
        <v>1</v>
      </c>
      <c r="C421" t="s">
        <v>77</v>
      </c>
      <c r="D421" t="s">
        <v>78</v>
      </c>
      <c r="E421">
        <v>12</v>
      </c>
      <c r="F421" s="2">
        <v>5.7534246575342465E-2</v>
      </c>
    </row>
    <row r="422" spans="2:6" x14ac:dyDescent="0.25">
      <c r="B422" s="33">
        <v>1</v>
      </c>
      <c r="C422" t="s">
        <v>88</v>
      </c>
      <c r="D422" t="s">
        <v>117</v>
      </c>
      <c r="E422">
        <v>8</v>
      </c>
      <c r="F422" s="2">
        <v>0.12876712328767123</v>
      </c>
    </row>
    <row r="423" spans="2:6" x14ac:dyDescent="0.25">
      <c r="B423" s="33">
        <v>1</v>
      </c>
      <c r="C423" t="s">
        <v>72</v>
      </c>
      <c r="D423" t="s">
        <v>125</v>
      </c>
      <c r="E423">
        <v>12</v>
      </c>
      <c r="F423" s="2">
        <v>0.13150684931506848</v>
      </c>
    </row>
    <row r="424" spans="2:6" x14ac:dyDescent="0.25">
      <c r="B424" s="33">
        <v>1</v>
      </c>
      <c r="C424" t="s">
        <v>72</v>
      </c>
      <c r="D424" t="s">
        <v>125</v>
      </c>
      <c r="E424">
        <v>14</v>
      </c>
      <c r="F424" s="2">
        <v>0.13150684931506848</v>
      </c>
    </row>
    <row r="425" spans="2:6" x14ac:dyDescent="0.25">
      <c r="B425" s="33">
        <v>1</v>
      </c>
      <c r="C425" t="s">
        <v>66</v>
      </c>
      <c r="D425" t="s">
        <v>107</v>
      </c>
      <c r="E425">
        <v>11</v>
      </c>
      <c r="F425" s="2">
        <v>0.12328767123287671</v>
      </c>
    </row>
    <row r="426" spans="2:6" x14ac:dyDescent="0.25">
      <c r="B426" s="33">
        <v>1</v>
      </c>
      <c r="C426" t="s">
        <v>66</v>
      </c>
      <c r="D426" t="s">
        <v>67</v>
      </c>
      <c r="E426">
        <v>8</v>
      </c>
      <c r="F426" s="2">
        <v>0.12328767123287671</v>
      </c>
    </row>
    <row r="427" spans="2:6" x14ac:dyDescent="0.25">
      <c r="B427" s="33">
        <v>1</v>
      </c>
      <c r="C427" t="s">
        <v>64</v>
      </c>
      <c r="D427" t="s">
        <v>121</v>
      </c>
      <c r="E427">
        <v>15</v>
      </c>
      <c r="F427" s="2">
        <v>0.11780821917808219</v>
      </c>
    </row>
    <row r="428" spans="2:6" x14ac:dyDescent="0.25">
      <c r="B428" s="33">
        <v>1</v>
      </c>
      <c r="C428" t="s">
        <v>2</v>
      </c>
      <c r="D428" t="s">
        <v>96</v>
      </c>
      <c r="E428">
        <v>11</v>
      </c>
      <c r="F428" s="2">
        <v>5.7534246575342465E-2</v>
      </c>
    </row>
    <row r="429" spans="2:6" x14ac:dyDescent="0.25">
      <c r="B429" s="33">
        <v>1</v>
      </c>
      <c r="C429" t="s">
        <v>6</v>
      </c>
      <c r="D429" t="s">
        <v>32</v>
      </c>
      <c r="E429">
        <v>13</v>
      </c>
      <c r="F429" s="2">
        <v>0.12602739726027398</v>
      </c>
    </row>
    <row r="430" spans="2:6" x14ac:dyDescent="0.25">
      <c r="B430" s="33">
        <v>1</v>
      </c>
      <c r="C430" t="s">
        <v>6</v>
      </c>
      <c r="D430" t="s">
        <v>28</v>
      </c>
      <c r="E430">
        <v>15</v>
      </c>
      <c r="F430" s="2">
        <v>0.12328767123287671</v>
      </c>
    </row>
    <row r="431" spans="2:6" x14ac:dyDescent="0.25">
      <c r="B431" s="33">
        <v>1</v>
      </c>
      <c r="C431" t="s">
        <v>88</v>
      </c>
      <c r="D431" t="s">
        <v>117</v>
      </c>
      <c r="E431">
        <v>12</v>
      </c>
      <c r="F431" s="2">
        <v>0.12602739726027398</v>
      </c>
    </row>
    <row r="432" spans="2:6" x14ac:dyDescent="0.25">
      <c r="B432" s="33">
        <v>1</v>
      </c>
      <c r="C432" t="s">
        <v>88</v>
      </c>
      <c r="D432" t="s">
        <v>117</v>
      </c>
      <c r="E432">
        <v>13</v>
      </c>
      <c r="F432" s="2">
        <v>0.12602739726027398</v>
      </c>
    </row>
    <row r="433" spans="2:6" x14ac:dyDescent="0.25">
      <c r="B433" s="33">
        <v>1</v>
      </c>
      <c r="C433" t="s">
        <v>1</v>
      </c>
      <c r="D433" t="s">
        <v>110</v>
      </c>
      <c r="E433">
        <v>8</v>
      </c>
      <c r="F433" s="2">
        <v>0.14520547945205478</v>
      </c>
    </row>
    <row r="434" spans="2:6" x14ac:dyDescent="0.25">
      <c r="B434" s="33">
        <v>1</v>
      </c>
      <c r="C434" t="s">
        <v>72</v>
      </c>
      <c r="D434" t="s">
        <v>125</v>
      </c>
      <c r="E434">
        <v>9</v>
      </c>
      <c r="F434" s="2">
        <v>0.13150684931506848</v>
      </c>
    </row>
    <row r="435" spans="2:6" x14ac:dyDescent="0.25">
      <c r="B435" s="33">
        <v>1</v>
      </c>
      <c r="C435" t="s">
        <v>64</v>
      </c>
      <c r="D435" t="s">
        <v>71</v>
      </c>
      <c r="E435">
        <v>8</v>
      </c>
      <c r="F435" s="2">
        <v>0.11780821917808219</v>
      </c>
    </row>
    <row r="436" spans="2:6" x14ac:dyDescent="0.25">
      <c r="B436" s="33">
        <v>1</v>
      </c>
      <c r="C436" t="s">
        <v>3</v>
      </c>
      <c r="D436" t="s">
        <v>138</v>
      </c>
      <c r="E436">
        <v>10</v>
      </c>
      <c r="F436" s="2">
        <v>7.3972602739726029E-2</v>
      </c>
    </row>
    <row r="437" spans="2:6" x14ac:dyDescent="0.25">
      <c r="B437" s="33">
        <v>1</v>
      </c>
      <c r="C437" t="s">
        <v>66</v>
      </c>
      <c r="D437" t="s">
        <v>107</v>
      </c>
      <c r="E437">
        <v>15</v>
      </c>
      <c r="F437" s="2">
        <v>0.12054794520547946</v>
      </c>
    </row>
    <row r="438" spans="2:6" x14ac:dyDescent="0.25">
      <c r="B438" s="33">
        <v>1</v>
      </c>
      <c r="C438" t="s">
        <v>90</v>
      </c>
      <c r="D438" t="s">
        <v>91</v>
      </c>
      <c r="E438">
        <v>13</v>
      </c>
      <c r="F438" s="2">
        <v>0.16712328767123288</v>
      </c>
    </row>
    <row r="439" spans="2:6" x14ac:dyDescent="0.25">
      <c r="B439" s="33">
        <v>1</v>
      </c>
      <c r="C439" t="s">
        <v>103</v>
      </c>
      <c r="D439" t="s">
        <v>104</v>
      </c>
      <c r="E439">
        <v>10</v>
      </c>
      <c r="F439" s="2">
        <v>0.12054794520547946</v>
      </c>
    </row>
    <row r="440" spans="2:6" x14ac:dyDescent="0.25">
      <c r="B440" s="33">
        <v>1</v>
      </c>
      <c r="C440" t="s">
        <v>88</v>
      </c>
      <c r="D440" t="s">
        <v>114</v>
      </c>
      <c r="E440">
        <v>13</v>
      </c>
      <c r="F440" s="2">
        <v>0.12602739726027398</v>
      </c>
    </row>
    <row r="441" spans="2:6" x14ac:dyDescent="0.25">
      <c r="B441" s="33">
        <v>1</v>
      </c>
      <c r="C441" t="s">
        <v>72</v>
      </c>
      <c r="D441" t="s">
        <v>73</v>
      </c>
      <c r="E441">
        <v>12</v>
      </c>
      <c r="F441" s="2">
        <v>0.12602739726027398</v>
      </c>
    </row>
    <row r="442" spans="2:6" x14ac:dyDescent="0.25">
      <c r="B442" s="33">
        <v>1</v>
      </c>
      <c r="C442" t="s">
        <v>77</v>
      </c>
      <c r="D442" t="s">
        <v>83</v>
      </c>
      <c r="E442">
        <v>8</v>
      </c>
      <c r="F442" s="2">
        <v>5.7534246575342465E-2</v>
      </c>
    </row>
    <row r="443" spans="2:6" x14ac:dyDescent="0.25">
      <c r="B443" s="33">
        <v>1</v>
      </c>
      <c r="C443" t="s">
        <v>72</v>
      </c>
      <c r="D443" t="s">
        <v>81</v>
      </c>
      <c r="E443">
        <v>12</v>
      </c>
      <c r="F443" s="2">
        <v>0.12602739726027398</v>
      </c>
    </row>
    <row r="444" spans="2:6" x14ac:dyDescent="0.25">
      <c r="B444" s="33">
        <v>1</v>
      </c>
      <c r="C444" t="s">
        <v>74</v>
      </c>
      <c r="D444" t="s">
        <v>105</v>
      </c>
      <c r="E444">
        <v>15</v>
      </c>
      <c r="F444" s="2">
        <v>0.16712328767123288</v>
      </c>
    </row>
    <row r="445" spans="2:6" x14ac:dyDescent="0.25">
      <c r="B445" s="33">
        <v>1</v>
      </c>
      <c r="C445" t="s">
        <v>77</v>
      </c>
      <c r="D445" t="s">
        <v>83</v>
      </c>
      <c r="E445">
        <v>12</v>
      </c>
      <c r="F445" s="2">
        <v>5.4794520547945202E-2</v>
      </c>
    </row>
    <row r="446" spans="2:6" x14ac:dyDescent="0.25">
      <c r="B446" s="33">
        <v>1</v>
      </c>
      <c r="C446" t="s">
        <v>6</v>
      </c>
      <c r="D446" t="s">
        <v>21</v>
      </c>
      <c r="E446">
        <v>20</v>
      </c>
      <c r="F446" s="2">
        <v>0.12328767123287671</v>
      </c>
    </row>
    <row r="447" spans="2:6" x14ac:dyDescent="0.25">
      <c r="B447" s="33">
        <v>1</v>
      </c>
      <c r="C447" t="s">
        <v>3</v>
      </c>
      <c r="D447" t="s">
        <v>108</v>
      </c>
      <c r="E447">
        <v>14</v>
      </c>
      <c r="F447" s="2">
        <v>7.1232876712328766E-2</v>
      </c>
    </row>
    <row r="448" spans="2:6" x14ac:dyDescent="0.25">
      <c r="B448" s="33">
        <v>1</v>
      </c>
      <c r="C448" t="s">
        <v>6</v>
      </c>
      <c r="D448" t="s">
        <v>34</v>
      </c>
      <c r="E448">
        <v>18</v>
      </c>
      <c r="F448" s="2">
        <v>0.12054794520547946</v>
      </c>
    </row>
    <row r="449" spans="2:6" x14ac:dyDescent="0.25">
      <c r="B449" s="33">
        <v>1</v>
      </c>
      <c r="C449" t="s">
        <v>1</v>
      </c>
      <c r="D449" t="s">
        <v>82</v>
      </c>
      <c r="E449">
        <v>9</v>
      </c>
      <c r="F449" s="2">
        <v>0.13972602739726028</v>
      </c>
    </row>
    <row r="450" spans="2:6" x14ac:dyDescent="0.25">
      <c r="B450" s="33">
        <v>1</v>
      </c>
      <c r="C450" t="s">
        <v>64</v>
      </c>
      <c r="D450" t="s">
        <v>65</v>
      </c>
      <c r="E450">
        <v>10</v>
      </c>
      <c r="F450" s="2">
        <v>0.11506849315068493</v>
      </c>
    </row>
    <row r="451" spans="2:6" x14ac:dyDescent="0.25">
      <c r="B451" s="33">
        <v>1</v>
      </c>
      <c r="C451" t="s">
        <v>6</v>
      </c>
      <c r="D451" t="s">
        <v>32</v>
      </c>
      <c r="E451">
        <v>8</v>
      </c>
      <c r="F451" s="2">
        <v>0.11780821917808219</v>
      </c>
    </row>
    <row r="452" spans="2:6" x14ac:dyDescent="0.25">
      <c r="B452" s="33">
        <v>1</v>
      </c>
      <c r="C452" t="s">
        <v>77</v>
      </c>
      <c r="D452" t="s">
        <v>87</v>
      </c>
      <c r="E452">
        <v>11</v>
      </c>
      <c r="F452" s="2">
        <v>5.4794520547945202E-2</v>
      </c>
    </row>
    <row r="453" spans="2:6" x14ac:dyDescent="0.25">
      <c r="B453" s="33">
        <v>1</v>
      </c>
      <c r="C453" t="s">
        <v>64</v>
      </c>
      <c r="D453" t="s">
        <v>115</v>
      </c>
      <c r="E453">
        <v>11</v>
      </c>
      <c r="F453" s="2">
        <v>0.11506849315068493</v>
      </c>
    </row>
    <row r="454" spans="2:6" x14ac:dyDescent="0.25">
      <c r="B454" s="33">
        <v>1</v>
      </c>
      <c r="C454" t="s">
        <v>64</v>
      </c>
      <c r="D454" t="s">
        <v>71</v>
      </c>
      <c r="E454">
        <v>9</v>
      </c>
      <c r="F454" s="2">
        <v>0.11232876712328767</v>
      </c>
    </row>
    <row r="455" spans="2:6" x14ac:dyDescent="0.25">
      <c r="B455" s="33">
        <v>1</v>
      </c>
      <c r="C455" t="s">
        <v>6</v>
      </c>
      <c r="D455" t="s">
        <v>30</v>
      </c>
      <c r="E455">
        <v>16</v>
      </c>
      <c r="F455" s="2">
        <v>0.11780821917808219</v>
      </c>
    </row>
    <row r="456" spans="2:6" x14ac:dyDescent="0.25">
      <c r="B456" s="33">
        <v>1</v>
      </c>
      <c r="C456" t="s">
        <v>1</v>
      </c>
      <c r="D456" t="s">
        <v>143</v>
      </c>
      <c r="E456">
        <v>15</v>
      </c>
      <c r="F456" s="2">
        <v>0.13972602739726028</v>
      </c>
    </row>
    <row r="457" spans="2:6" x14ac:dyDescent="0.25">
      <c r="B457" s="33">
        <v>1</v>
      </c>
      <c r="C457" t="s">
        <v>1</v>
      </c>
      <c r="D457" t="s">
        <v>155</v>
      </c>
      <c r="E457">
        <v>17</v>
      </c>
      <c r="F457" s="2">
        <v>0.12054794520547946</v>
      </c>
    </row>
    <row r="458" spans="2:6" x14ac:dyDescent="0.25">
      <c r="B458" s="33">
        <v>1</v>
      </c>
      <c r="C458" t="s">
        <v>4</v>
      </c>
      <c r="D458" t="s">
        <v>106</v>
      </c>
      <c r="E458">
        <v>19</v>
      </c>
      <c r="F458" s="2">
        <v>8.4931506849315067E-2</v>
      </c>
    </row>
    <row r="459" spans="2:6" x14ac:dyDescent="0.25">
      <c r="B459" s="33">
        <v>1</v>
      </c>
      <c r="C459" t="s">
        <v>72</v>
      </c>
      <c r="D459" t="s">
        <v>76</v>
      </c>
      <c r="E459">
        <v>16</v>
      </c>
      <c r="F459" s="2">
        <v>0.15616438356164383</v>
      </c>
    </row>
    <row r="460" spans="2:6" x14ac:dyDescent="0.25">
      <c r="B460" s="33">
        <v>1</v>
      </c>
      <c r="C460" t="s">
        <v>90</v>
      </c>
      <c r="D460" t="s">
        <v>120</v>
      </c>
      <c r="E460">
        <v>16</v>
      </c>
      <c r="F460" s="2">
        <v>0.15890410958904111</v>
      </c>
    </row>
    <row r="461" spans="2:6" x14ac:dyDescent="0.25">
      <c r="B461" s="33">
        <v>1</v>
      </c>
      <c r="C461" t="s">
        <v>69</v>
      </c>
      <c r="D461" t="s">
        <v>132</v>
      </c>
      <c r="E461">
        <v>16</v>
      </c>
      <c r="F461" s="2">
        <v>5.2054794520547946E-2</v>
      </c>
    </row>
    <row r="462" spans="2:6" x14ac:dyDescent="0.25">
      <c r="B462" s="33">
        <v>1</v>
      </c>
      <c r="C462" t="s">
        <v>6</v>
      </c>
      <c r="D462" t="s">
        <v>32</v>
      </c>
      <c r="E462">
        <v>10</v>
      </c>
      <c r="F462" s="2">
        <v>0.11780821917808219</v>
      </c>
    </row>
    <row r="463" spans="2:6" x14ac:dyDescent="0.25">
      <c r="B463" s="33">
        <v>1</v>
      </c>
      <c r="C463" t="s">
        <v>1</v>
      </c>
      <c r="D463" t="s">
        <v>112</v>
      </c>
      <c r="E463">
        <v>21</v>
      </c>
      <c r="F463" s="2">
        <v>0.11780821917808219</v>
      </c>
    </row>
    <row r="464" spans="2:6" x14ac:dyDescent="0.25">
      <c r="B464" s="33">
        <v>1</v>
      </c>
      <c r="C464" t="s">
        <v>72</v>
      </c>
      <c r="D464" t="s">
        <v>125</v>
      </c>
      <c r="E464">
        <v>16</v>
      </c>
      <c r="F464" s="2">
        <v>0.15068493150684931</v>
      </c>
    </row>
    <row r="465" spans="2:6" x14ac:dyDescent="0.25">
      <c r="B465" s="33">
        <v>1</v>
      </c>
      <c r="C465" t="s">
        <v>88</v>
      </c>
      <c r="D465" t="s">
        <v>156</v>
      </c>
      <c r="E465">
        <v>18</v>
      </c>
      <c r="F465" s="2">
        <v>0.11232876712328767</v>
      </c>
    </row>
    <row r="466" spans="2:6" x14ac:dyDescent="0.25">
      <c r="B466" s="33">
        <v>1</v>
      </c>
      <c r="C466" t="s">
        <v>6</v>
      </c>
      <c r="D466" t="s">
        <v>21</v>
      </c>
      <c r="E466">
        <v>13</v>
      </c>
      <c r="F466" s="2">
        <v>0.11780821917808219</v>
      </c>
    </row>
    <row r="467" spans="2:6" x14ac:dyDescent="0.25">
      <c r="B467" s="33">
        <v>1</v>
      </c>
      <c r="C467" t="s">
        <v>1</v>
      </c>
      <c r="D467" t="s">
        <v>144</v>
      </c>
      <c r="E467">
        <v>17</v>
      </c>
      <c r="F467" s="2">
        <v>0.10684931506849316</v>
      </c>
    </row>
    <row r="468" spans="2:6" x14ac:dyDescent="0.25">
      <c r="B468" s="33">
        <v>1</v>
      </c>
      <c r="C468" t="s">
        <v>69</v>
      </c>
      <c r="D468" t="s">
        <v>86</v>
      </c>
      <c r="E468">
        <v>18</v>
      </c>
      <c r="F468" s="2">
        <v>4.3835616438356165E-2</v>
      </c>
    </row>
    <row r="469" spans="2:6" x14ac:dyDescent="0.25">
      <c r="B469" s="33">
        <v>1</v>
      </c>
      <c r="C469" t="s">
        <v>3</v>
      </c>
      <c r="D469" t="s">
        <v>157</v>
      </c>
      <c r="E469">
        <v>18</v>
      </c>
      <c r="F469" s="2">
        <v>6.0273972602739728E-2</v>
      </c>
    </row>
    <row r="470" spans="2:6" x14ac:dyDescent="0.25">
      <c r="B470" s="33">
        <v>1</v>
      </c>
      <c r="C470" t="s">
        <v>64</v>
      </c>
      <c r="D470" t="s">
        <v>121</v>
      </c>
      <c r="E470">
        <v>18</v>
      </c>
      <c r="F470" s="2">
        <v>0.11232876712328767</v>
      </c>
    </row>
    <row r="471" spans="2:6" x14ac:dyDescent="0.25">
      <c r="B471" s="33">
        <v>1</v>
      </c>
      <c r="C471" t="s">
        <v>90</v>
      </c>
      <c r="D471" t="s">
        <v>91</v>
      </c>
      <c r="E471">
        <v>21</v>
      </c>
      <c r="F471" s="2">
        <v>0.12876712328767123</v>
      </c>
    </row>
    <row r="472" spans="2:6" x14ac:dyDescent="0.25">
      <c r="B472" s="33">
        <v>1</v>
      </c>
      <c r="C472" t="s">
        <v>6</v>
      </c>
      <c r="D472" t="s">
        <v>42</v>
      </c>
      <c r="E472">
        <v>17</v>
      </c>
      <c r="F472" s="2">
        <v>0.11780821917808219</v>
      </c>
    </row>
    <row r="473" spans="2:6" x14ac:dyDescent="0.25">
      <c r="B473" s="33">
        <v>1</v>
      </c>
      <c r="C473" t="s">
        <v>64</v>
      </c>
      <c r="D473" t="s">
        <v>121</v>
      </c>
      <c r="E473">
        <v>19</v>
      </c>
      <c r="F473" s="2">
        <v>0.11780821917808219</v>
      </c>
    </row>
    <row r="474" spans="2:6" x14ac:dyDescent="0.25">
      <c r="B474" s="33">
        <v>1</v>
      </c>
      <c r="C474" t="s">
        <v>103</v>
      </c>
      <c r="D474" t="s">
        <v>141</v>
      </c>
      <c r="E474">
        <v>16</v>
      </c>
      <c r="F474" s="2">
        <v>6.3013698630136991E-2</v>
      </c>
    </row>
    <row r="475" spans="2:6" x14ac:dyDescent="0.25">
      <c r="B475" s="33">
        <v>1</v>
      </c>
      <c r="C475" t="s">
        <v>103</v>
      </c>
      <c r="D475" t="s">
        <v>158</v>
      </c>
      <c r="E475">
        <v>18</v>
      </c>
      <c r="F475" s="2">
        <v>6.0273972602739728E-2</v>
      </c>
    </row>
    <row r="476" spans="2:6" x14ac:dyDescent="0.25">
      <c r="B476" s="33">
        <v>1</v>
      </c>
      <c r="C476" t="s">
        <v>88</v>
      </c>
      <c r="D476" t="s">
        <v>156</v>
      </c>
      <c r="E476">
        <v>16</v>
      </c>
      <c r="F476" s="2">
        <v>0.1095890410958904</v>
      </c>
    </row>
    <row r="477" spans="2:6" x14ac:dyDescent="0.25">
      <c r="B477" s="33">
        <v>1</v>
      </c>
      <c r="C477" t="s">
        <v>103</v>
      </c>
      <c r="D477" t="s">
        <v>104</v>
      </c>
      <c r="E477">
        <v>20</v>
      </c>
      <c r="F477" s="2">
        <v>5.4794520547945202E-2</v>
      </c>
    </row>
    <row r="478" spans="2:6" x14ac:dyDescent="0.25">
      <c r="B478" s="33">
        <v>1</v>
      </c>
      <c r="C478" t="s">
        <v>88</v>
      </c>
      <c r="D478" t="s">
        <v>117</v>
      </c>
      <c r="E478">
        <v>21</v>
      </c>
      <c r="F478" s="2">
        <v>0.1095890410958904</v>
      </c>
    </row>
    <row r="479" spans="2:6" x14ac:dyDescent="0.25">
      <c r="B479" s="33">
        <v>1</v>
      </c>
      <c r="C479" t="s">
        <v>6</v>
      </c>
      <c r="D479" t="s">
        <v>30</v>
      </c>
      <c r="E479">
        <v>10</v>
      </c>
      <c r="F479" s="2">
        <v>0.11506849315068493</v>
      </c>
    </row>
    <row r="480" spans="2:6" x14ac:dyDescent="0.25">
      <c r="B480" s="33">
        <v>1</v>
      </c>
      <c r="C480" t="s">
        <v>69</v>
      </c>
      <c r="D480" t="s">
        <v>159</v>
      </c>
      <c r="E480">
        <v>16</v>
      </c>
      <c r="F480" s="2">
        <v>4.3835616438356165E-2</v>
      </c>
    </row>
    <row r="481" spans="2:6" x14ac:dyDescent="0.25">
      <c r="B481" s="33">
        <v>1</v>
      </c>
      <c r="C481" t="s">
        <v>1</v>
      </c>
      <c r="D481" t="s">
        <v>92</v>
      </c>
      <c r="E481">
        <v>20</v>
      </c>
      <c r="F481" s="2">
        <v>0.10410958904109589</v>
      </c>
    </row>
    <row r="482" spans="2:6" x14ac:dyDescent="0.25">
      <c r="B482" s="33">
        <v>1</v>
      </c>
      <c r="C482" t="s">
        <v>72</v>
      </c>
      <c r="D482" t="s">
        <v>81</v>
      </c>
      <c r="E482">
        <v>17</v>
      </c>
      <c r="F482" s="2">
        <v>0.13972602739726028</v>
      </c>
    </row>
    <row r="483" spans="2:6" x14ac:dyDescent="0.25">
      <c r="B483" s="33">
        <v>1</v>
      </c>
      <c r="C483" t="s">
        <v>126</v>
      </c>
      <c r="D483" t="s">
        <v>131</v>
      </c>
      <c r="E483">
        <v>19</v>
      </c>
      <c r="F483" s="2">
        <v>6.575342465753424E-2</v>
      </c>
    </row>
    <row r="484" spans="2:6" x14ac:dyDescent="0.25">
      <c r="B484" s="33">
        <v>1</v>
      </c>
      <c r="C484" t="s">
        <v>2</v>
      </c>
      <c r="D484" t="s">
        <v>96</v>
      </c>
      <c r="E484">
        <v>20</v>
      </c>
      <c r="F484" s="2">
        <v>4.9315068493150684E-2</v>
      </c>
    </row>
    <row r="485" spans="2:6" x14ac:dyDescent="0.25">
      <c r="B485" s="33">
        <v>1</v>
      </c>
      <c r="C485" t="s">
        <v>90</v>
      </c>
      <c r="D485" t="s">
        <v>109</v>
      </c>
      <c r="E485">
        <v>18</v>
      </c>
      <c r="F485" s="2">
        <v>0.12054794520547946</v>
      </c>
    </row>
    <row r="486" spans="2:6" x14ac:dyDescent="0.25">
      <c r="B486" s="33">
        <v>1</v>
      </c>
      <c r="C486" t="s">
        <v>74</v>
      </c>
      <c r="D486" t="s">
        <v>75</v>
      </c>
      <c r="E486">
        <v>18</v>
      </c>
      <c r="F486" s="2">
        <v>0.13150684931506848</v>
      </c>
    </row>
    <row r="487" spans="2:6" x14ac:dyDescent="0.25">
      <c r="B487" s="33">
        <v>1</v>
      </c>
      <c r="C487" t="s">
        <v>72</v>
      </c>
      <c r="D487" t="s">
        <v>125</v>
      </c>
      <c r="E487">
        <v>19</v>
      </c>
      <c r="F487" s="2">
        <v>0.13424657534246576</v>
      </c>
    </row>
    <row r="488" spans="2:6" x14ac:dyDescent="0.25">
      <c r="B488" s="33">
        <v>1</v>
      </c>
      <c r="C488" t="s">
        <v>69</v>
      </c>
      <c r="D488" t="s">
        <v>128</v>
      </c>
      <c r="E488">
        <v>17</v>
      </c>
      <c r="F488" s="2">
        <v>4.3835616438356165E-2</v>
      </c>
    </row>
    <row r="489" spans="2:6" x14ac:dyDescent="0.25">
      <c r="B489" s="33">
        <v>1</v>
      </c>
      <c r="C489" t="s">
        <v>66</v>
      </c>
      <c r="D489" t="s">
        <v>129</v>
      </c>
      <c r="E489">
        <v>18</v>
      </c>
      <c r="F489" s="2">
        <v>0.10410958904109589</v>
      </c>
    </row>
    <row r="490" spans="2:6" x14ac:dyDescent="0.25">
      <c r="B490" s="33">
        <v>1</v>
      </c>
      <c r="C490" t="s">
        <v>69</v>
      </c>
      <c r="D490" t="s">
        <v>140</v>
      </c>
      <c r="E490">
        <v>18</v>
      </c>
      <c r="F490" s="2">
        <v>4.1095890410958902E-2</v>
      </c>
    </row>
    <row r="491" spans="2:6" x14ac:dyDescent="0.25">
      <c r="B491" s="33">
        <v>1</v>
      </c>
      <c r="C491" t="s">
        <v>88</v>
      </c>
      <c r="D491" t="s">
        <v>114</v>
      </c>
      <c r="E491">
        <v>21</v>
      </c>
      <c r="F491" s="2">
        <v>0.10684931506849316</v>
      </c>
    </row>
    <row r="492" spans="2:6" x14ac:dyDescent="0.25">
      <c r="B492" s="33">
        <v>1</v>
      </c>
      <c r="C492" t="s">
        <v>69</v>
      </c>
      <c r="D492" t="s">
        <v>124</v>
      </c>
      <c r="E492">
        <v>19</v>
      </c>
      <c r="F492" s="2">
        <v>4.1095890410958902E-2</v>
      </c>
    </row>
    <row r="493" spans="2:6" x14ac:dyDescent="0.25">
      <c r="B493" s="33">
        <v>1</v>
      </c>
      <c r="C493" t="s">
        <v>72</v>
      </c>
      <c r="D493" t="s">
        <v>73</v>
      </c>
      <c r="E493">
        <v>19</v>
      </c>
      <c r="F493" s="2">
        <v>0.13424657534246576</v>
      </c>
    </row>
    <row r="494" spans="2:6" x14ac:dyDescent="0.25">
      <c r="B494" s="33">
        <v>1</v>
      </c>
      <c r="C494" t="s">
        <v>1</v>
      </c>
      <c r="D494" t="s">
        <v>143</v>
      </c>
      <c r="E494">
        <v>20</v>
      </c>
      <c r="F494" s="2">
        <v>0.10136986301369863</v>
      </c>
    </row>
    <row r="495" spans="2:6" x14ac:dyDescent="0.25">
      <c r="B495" s="33">
        <v>1</v>
      </c>
      <c r="C495" t="s">
        <v>88</v>
      </c>
      <c r="D495" t="s">
        <v>160</v>
      </c>
      <c r="E495">
        <v>16</v>
      </c>
      <c r="F495" s="2">
        <v>0.10684931506849316</v>
      </c>
    </row>
    <row r="496" spans="2:6" x14ac:dyDescent="0.25">
      <c r="B496" s="33">
        <v>1</v>
      </c>
      <c r="C496" t="s">
        <v>3</v>
      </c>
      <c r="D496" t="s">
        <v>161</v>
      </c>
      <c r="E496">
        <v>17</v>
      </c>
      <c r="F496" s="2">
        <v>6.0273972602739728E-2</v>
      </c>
    </row>
    <row r="497" spans="2:6" x14ac:dyDescent="0.25">
      <c r="B497" s="33">
        <v>1</v>
      </c>
      <c r="C497" t="s">
        <v>2</v>
      </c>
      <c r="D497" t="s">
        <v>96</v>
      </c>
      <c r="E497">
        <v>19</v>
      </c>
      <c r="F497" s="2">
        <v>4.6575342465753428E-2</v>
      </c>
    </row>
    <row r="498" spans="2:6" x14ac:dyDescent="0.25">
      <c r="B498" s="33">
        <v>1</v>
      </c>
      <c r="C498" t="s">
        <v>6</v>
      </c>
      <c r="D498" t="s">
        <v>42</v>
      </c>
      <c r="E498">
        <v>19</v>
      </c>
      <c r="F498" s="2">
        <v>0.11506849315068493</v>
      </c>
    </row>
    <row r="499" spans="2:6" x14ac:dyDescent="0.25">
      <c r="B499" s="33">
        <v>1</v>
      </c>
      <c r="C499" t="s">
        <v>72</v>
      </c>
      <c r="D499" t="s">
        <v>149</v>
      </c>
      <c r="E499">
        <v>16</v>
      </c>
      <c r="F499" s="2">
        <v>0.12054794520547946</v>
      </c>
    </row>
    <row r="500" spans="2:6" x14ac:dyDescent="0.25">
      <c r="B500" s="33">
        <v>1</v>
      </c>
      <c r="C500" t="s">
        <v>6</v>
      </c>
      <c r="D500" t="s">
        <v>32</v>
      </c>
      <c r="E500">
        <v>20</v>
      </c>
      <c r="F500" s="2">
        <v>0.11506849315068493</v>
      </c>
    </row>
    <row r="501" spans="2:6" x14ac:dyDescent="0.25">
      <c r="B501" s="33">
        <v>1</v>
      </c>
      <c r="C501" t="s">
        <v>72</v>
      </c>
      <c r="D501" t="s">
        <v>81</v>
      </c>
      <c r="E501">
        <v>0</v>
      </c>
      <c r="F501" s="2">
        <v>6.8493150684931503E-2</v>
      </c>
    </row>
    <row r="502" spans="2:6" x14ac:dyDescent="0.25">
      <c r="B502" s="33">
        <v>1</v>
      </c>
      <c r="C502" t="s">
        <v>1</v>
      </c>
      <c r="D502" t="s">
        <v>152</v>
      </c>
      <c r="E502">
        <v>7</v>
      </c>
      <c r="F502" s="2">
        <v>6.0273972602739728E-2</v>
      </c>
    </row>
    <row r="503" spans="2:6" x14ac:dyDescent="0.25">
      <c r="B503" s="33">
        <v>1</v>
      </c>
      <c r="C503" t="s">
        <v>77</v>
      </c>
      <c r="D503" t="s">
        <v>162</v>
      </c>
      <c r="E503">
        <v>7</v>
      </c>
      <c r="F503" s="2">
        <v>2.1917808219178082E-2</v>
      </c>
    </row>
    <row r="504" spans="2:6" x14ac:dyDescent="0.25">
      <c r="B504" s="33">
        <v>1</v>
      </c>
      <c r="C504" t="s">
        <v>90</v>
      </c>
      <c r="D504" t="s">
        <v>120</v>
      </c>
      <c r="E504">
        <v>0</v>
      </c>
      <c r="F504" s="2">
        <v>5.4794520547945202E-2</v>
      </c>
    </row>
    <row r="505" spans="2:6" x14ac:dyDescent="0.25">
      <c r="B505" s="33">
        <v>1</v>
      </c>
      <c r="C505" t="s">
        <v>1</v>
      </c>
      <c r="D505" t="s">
        <v>82</v>
      </c>
      <c r="E505">
        <v>0</v>
      </c>
      <c r="F505" s="2">
        <v>6.0273972602739728E-2</v>
      </c>
    </row>
    <row r="506" spans="2:6" x14ac:dyDescent="0.25">
      <c r="B506" s="33">
        <v>1</v>
      </c>
      <c r="C506" t="s">
        <v>1</v>
      </c>
      <c r="D506" t="s">
        <v>112</v>
      </c>
      <c r="E506">
        <v>0</v>
      </c>
      <c r="F506" s="2">
        <v>6.0273972602739728E-2</v>
      </c>
    </row>
    <row r="507" spans="2:6" x14ac:dyDescent="0.25">
      <c r="B507" s="33">
        <v>1</v>
      </c>
      <c r="C507" t="s">
        <v>6</v>
      </c>
      <c r="D507" t="s">
        <v>32</v>
      </c>
      <c r="E507">
        <v>17</v>
      </c>
      <c r="F507" s="2">
        <v>0.11506849315068493</v>
      </c>
    </row>
    <row r="508" spans="2:6" x14ac:dyDescent="0.25">
      <c r="B508" s="33">
        <v>1</v>
      </c>
      <c r="C508" t="s">
        <v>69</v>
      </c>
      <c r="D508" t="s">
        <v>140</v>
      </c>
      <c r="E508">
        <v>7</v>
      </c>
      <c r="F508" s="2">
        <v>3.0136986301369864E-2</v>
      </c>
    </row>
    <row r="509" spans="2:6" x14ac:dyDescent="0.25">
      <c r="B509" s="33">
        <v>1</v>
      </c>
      <c r="C509" t="s">
        <v>64</v>
      </c>
      <c r="D509" t="s">
        <v>65</v>
      </c>
      <c r="E509">
        <v>0</v>
      </c>
      <c r="F509" s="2">
        <v>4.6575342465753428E-2</v>
      </c>
    </row>
    <row r="510" spans="2:6" x14ac:dyDescent="0.25">
      <c r="B510" s="33">
        <v>1</v>
      </c>
      <c r="C510" t="s">
        <v>88</v>
      </c>
      <c r="D510" t="s">
        <v>134</v>
      </c>
      <c r="E510">
        <v>7</v>
      </c>
      <c r="F510" s="2">
        <v>7.1232876712328766E-2</v>
      </c>
    </row>
    <row r="511" spans="2:6" x14ac:dyDescent="0.25">
      <c r="B511" s="33">
        <v>1</v>
      </c>
      <c r="C511" t="s">
        <v>64</v>
      </c>
      <c r="D511" t="s">
        <v>65</v>
      </c>
      <c r="E511">
        <v>1</v>
      </c>
      <c r="F511" s="2">
        <v>4.3835616438356165E-2</v>
      </c>
    </row>
    <row r="512" spans="2:6" x14ac:dyDescent="0.25">
      <c r="B512" s="33">
        <v>1</v>
      </c>
      <c r="C512" t="s">
        <v>64</v>
      </c>
      <c r="D512" t="s">
        <v>121</v>
      </c>
      <c r="E512">
        <v>9</v>
      </c>
      <c r="F512" s="2">
        <v>0.1095890410958904</v>
      </c>
    </row>
    <row r="513" spans="2:6" x14ac:dyDescent="0.25">
      <c r="B513" s="33">
        <v>1</v>
      </c>
      <c r="C513" t="s">
        <v>72</v>
      </c>
      <c r="D513" t="s">
        <v>163</v>
      </c>
      <c r="E513">
        <v>10</v>
      </c>
      <c r="F513" s="2">
        <v>0.1095890410958904</v>
      </c>
    </row>
    <row r="514" spans="2:6" x14ac:dyDescent="0.25">
      <c r="B514" s="33">
        <v>1</v>
      </c>
      <c r="C514" t="s">
        <v>69</v>
      </c>
      <c r="D514" t="s">
        <v>70</v>
      </c>
      <c r="E514">
        <v>15</v>
      </c>
      <c r="F514" s="2">
        <v>4.6575342465753428E-2</v>
      </c>
    </row>
    <row r="515" spans="2:6" x14ac:dyDescent="0.25">
      <c r="B515" s="33">
        <v>1</v>
      </c>
      <c r="C515" t="s">
        <v>1</v>
      </c>
      <c r="D515" t="s">
        <v>94</v>
      </c>
      <c r="E515">
        <v>15</v>
      </c>
      <c r="F515" s="2">
        <v>0.13424657534246576</v>
      </c>
    </row>
    <row r="516" spans="2:6" x14ac:dyDescent="0.25">
      <c r="B516" s="33">
        <v>1</v>
      </c>
      <c r="C516" t="s">
        <v>88</v>
      </c>
      <c r="D516" t="s">
        <v>114</v>
      </c>
      <c r="E516">
        <v>14</v>
      </c>
      <c r="F516" s="2">
        <v>0.12328767123287671</v>
      </c>
    </row>
    <row r="517" spans="2:6" x14ac:dyDescent="0.25">
      <c r="B517" s="33">
        <v>1</v>
      </c>
      <c r="C517" t="s">
        <v>1</v>
      </c>
      <c r="D517" t="s">
        <v>94</v>
      </c>
      <c r="E517">
        <v>11</v>
      </c>
      <c r="F517" s="2">
        <v>0.13424657534246576</v>
      </c>
    </row>
    <row r="518" spans="2:6" x14ac:dyDescent="0.25">
      <c r="B518" s="33">
        <v>1</v>
      </c>
      <c r="C518" t="s">
        <v>64</v>
      </c>
      <c r="D518" t="s">
        <v>121</v>
      </c>
      <c r="E518">
        <v>8</v>
      </c>
      <c r="F518" s="2">
        <v>0.1095890410958904</v>
      </c>
    </row>
    <row r="519" spans="2:6" x14ac:dyDescent="0.25">
      <c r="B519" s="33">
        <v>1</v>
      </c>
      <c r="C519" t="s">
        <v>64</v>
      </c>
      <c r="D519" t="s">
        <v>71</v>
      </c>
      <c r="E519">
        <v>13</v>
      </c>
      <c r="F519" s="2">
        <v>0.10684931506849316</v>
      </c>
    </row>
    <row r="520" spans="2:6" x14ac:dyDescent="0.25">
      <c r="B520" s="33">
        <v>1</v>
      </c>
      <c r="C520" t="s">
        <v>66</v>
      </c>
      <c r="D520" t="s">
        <v>107</v>
      </c>
      <c r="E520">
        <v>13</v>
      </c>
      <c r="F520" s="2">
        <v>0.11780821917808219</v>
      </c>
    </row>
    <row r="521" spans="2:6" x14ac:dyDescent="0.25">
      <c r="B521" s="33">
        <v>1</v>
      </c>
      <c r="C521" t="s">
        <v>72</v>
      </c>
      <c r="D521" t="s">
        <v>76</v>
      </c>
      <c r="E521">
        <v>9</v>
      </c>
      <c r="F521" s="2">
        <v>0.10136986301369863</v>
      </c>
    </row>
    <row r="522" spans="2:6" x14ac:dyDescent="0.25">
      <c r="B522" s="33">
        <v>1</v>
      </c>
      <c r="C522" t="s">
        <v>66</v>
      </c>
      <c r="D522" t="s">
        <v>129</v>
      </c>
      <c r="E522">
        <v>13</v>
      </c>
      <c r="F522" s="2">
        <v>0.11506849315068493</v>
      </c>
    </row>
    <row r="523" spans="2:6" x14ac:dyDescent="0.25">
      <c r="B523" s="33">
        <v>1</v>
      </c>
      <c r="C523" t="s">
        <v>88</v>
      </c>
      <c r="D523" t="s">
        <v>89</v>
      </c>
      <c r="E523">
        <v>13</v>
      </c>
      <c r="F523" s="2">
        <v>0.12328767123287671</v>
      </c>
    </row>
    <row r="524" spans="2:6" x14ac:dyDescent="0.25">
      <c r="B524" s="33">
        <v>1</v>
      </c>
      <c r="C524" t="s">
        <v>74</v>
      </c>
      <c r="D524" t="s">
        <v>130</v>
      </c>
      <c r="E524">
        <v>11</v>
      </c>
      <c r="F524" s="2">
        <v>0.15342465753424658</v>
      </c>
    </row>
    <row r="525" spans="2:6" x14ac:dyDescent="0.25">
      <c r="B525" s="33">
        <v>1</v>
      </c>
      <c r="C525" t="s">
        <v>1</v>
      </c>
      <c r="D525" t="s">
        <v>110</v>
      </c>
      <c r="E525">
        <v>11</v>
      </c>
      <c r="F525" s="2">
        <v>0.13150684931506848</v>
      </c>
    </row>
    <row r="526" spans="2:6" x14ac:dyDescent="0.25">
      <c r="B526" s="33">
        <v>1</v>
      </c>
      <c r="C526" t="s">
        <v>126</v>
      </c>
      <c r="D526" t="s">
        <v>131</v>
      </c>
      <c r="E526">
        <v>11</v>
      </c>
      <c r="F526" s="2">
        <v>8.7671232876712329E-2</v>
      </c>
    </row>
    <row r="527" spans="2:6" x14ac:dyDescent="0.25">
      <c r="B527" s="33">
        <v>1</v>
      </c>
      <c r="C527" t="s">
        <v>77</v>
      </c>
      <c r="D527" t="s">
        <v>101</v>
      </c>
      <c r="E527">
        <v>13</v>
      </c>
      <c r="F527" s="2">
        <v>5.2054794520547946E-2</v>
      </c>
    </row>
    <row r="528" spans="2:6" x14ac:dyDescent="0.25">
      <c r="B528" s="33">
        <v>1</v>
      </c>
      <c r="C528" t="s">
        <v>88</v>
      </c>
      <c r="D528" t="s">
        <v>114</v>
      </c>
      <c r="E528">
        <v>9</v>
      </c>
      <c r="F528" s="2">
        <v>0.12054794520547946</v>
      </c>
    </row>
    <row r="529" spans="2:6" x14ac:dyDescent="0.25">
      <c r="B529" s="33">
        <v>1</v>
      </c>
      <c r="C529" t="s">
        <v>4</v>
      </c>
      <c r="D529" t="s">
        <v>153</v>
      </c>
      <c r="E529">
        <v>15</v>
      </c>
      <c r="F529" s="2">
        <v>9.0410958904109592E-2</v>
      </c>
    </row>
    <row r="530" spans="2:6" x14ac:dyDescent="0.25">
      <c r="B530" s="33">
        <v>1</v>
      </c>
      <c r="C530" t="s">
        <v>66</v>
      </c>
      <c r="D530" t="s">
        <v>129</v>
      </c>
      <c r="E530">
        <v>9</v>
      </c>
      <c r="F530" s="2">
        <v>0.11506849315068493</v>
      </c>
    </row>
    <row r="531" spans="2:6" x14ac:dyDescent="0.25">
      <c r="B531" s="33">
        <v>1</v>
      </c>
      <c r="C531" t="s">
        <v>4</v>
      </c>
      <c r="D531" t="s">
        <v>106</v>
      </c>
      <c r="E531">
        <v>14</v>
      </c>
      <c r="F531" s="2">
        <v>7.9452054794520555E-2</v>
      </c>
    </row>
    <row r="532" spans="2:6" x14ac:dyDescent="0.25">
      <c r="B532" s="33">
        <v>1</v>
      </c>
      <c r="C532" t="s">
        <v>1</v>
      </c>
      <c r="D532" t="s">
        <v>110</v>
      </c>
      <c r="E532">
        <v>14</v>
      </c>
      <c r="F532" s="2">
        <v>0.12328767123287671</v>
      </c>
    </row>
    <row r="533" spans="2:6" x14ac:dyDescent="0.25">
      <c r="B533" s="33">
        <v>1</v>
      </c>
      <c r="C533" t="s">
        <v>77</v>
      </c>
      <c r="D533" t="s">
        <v>101</v>
      </c>
      <c r="E533">
        <v>8</v>
      </c>
      <c r="F533" s="2">
        <v>5.2054794520547946E-2</v>
      </c>
    </row>
    <row r="534" spans="2:6" x14ac:dyDescent="0.25">
      <c r="B534" s="33">
        <v>1</v>
      </c>
      <c r="C534" t="s">
        <v>6</v>
      </c>
      <c r="D534" t="s">
        <v>21</v>
      </c>
      <c r="E534">
        <v>11</v>
      </c>
      <c r="F534" s="2">
        <v>0.11232876712328767</v>
      </c>
    </row>
    <row r="535" spans="2:6" x14ac:dyDescent="0.25">
      <c r="B535" s="33">
        <v>1</v>
      </c>
      <c r="C535" t="s">
        <v>3</v>
      </c>
      <c r="D535" t="s">
        <v>79</v>
      </c>
      <c r="E535">
        <v>15</v>
      </c>
      <c r="F535" s="2">
        <v>6.8493150684931503E-2</v>
      </c>
    </row>
    <row r="536" spans="2:6" x14ac:dyDescent="0.25">
      <c r="B536" s="33">
        <v>1</v>
      </c>
      <c r="C536" t="s">
        <v>1</v>
      </c>
      <c r="D536" t="s">
        <v>112</v>
      </c>
      <c r="E536">
        <v>10</v>
      </c>
      <c r="F536" s="2">
        <v>0.11780821917808219</v>
      </c>
    </row>
    <row r="537" spans="2:6" x14ac:dyDescent="0.25">
      <c r="B537" s="33">
        <v>1</v>
      </c>
      <c r="C537" t="s">
        <v>74</v>
      </c>
      <c r="D537" t="s">
        <v>105</v>
      </c>
      <c r="E537">
        <v>12</v>
      </c>
      <c r="F537" s="2">
        <v>0.13972602739726028</v>
      </c>
    </row>
    <row r="538" spans="2:6" x14ac:dyDescent="0.25">
      <c r="B538" s="33">
        <v>1</v>
      </c>
      <c r="C538" t="s">
        <v>6</v>
      </c>
      <c r="D538" t="s">
        <v>30</v>
      </c>
      <c r="E538">
        <v>11</v>
      </c>
      <c r="F538" s="2">
        <v>0.11232876712328767</v>
      </c>
    </row>
    <row r="539" spans="2:6" x14ac:dyDescent="0.25">
      <c r="B539" s="33">
        <v>1</v>
      </c>
      <c r="C539" t="s">
        <v>88</v>
      </c>
      <c r="D539" t="s">
        <v>117</v>
      </c>
      <c r="E539">
        <v>10</v>
      </c>
      <c r="F539" s="2">
        <v>0.11780821917808219</v>
      </c>
    </row>
    <row r="540" spans="2:6" x14ac:dyDescent="0.25">
      <c r="B540" s="33">
        <v>1</v>
      </c>
      <c r="C540" t="s">
        <v>64</v>
      </c>
      <c r="D540" t="s">
        <v>99</v>
      </c>
      <c r="E540">
        <v>8</v>
      </c>
      <c r="F540" s="2">
        <v>0.10410958904109589</v>
      </c>
    </row>
    <row r="541" spans="2:6" x14ac:dyDescent="0.25">
      <c r="B541" s="33">
        <v>1</v>
      </c>
      <c r="C541" t="s">
        <v>88</v>
      </c>
      <c r="D541" t="s">
        <v>114</v>
      </c>
      <c r="E541">
        <v>11</v>
      </c>
      <c r="F541" s="2">
        <v>0.11506849315068493</v>
      </c>
    </row>
    <row r="542" spans="2:6" x14ac:dyDescent="0.25">
      <c r="B542" s="33">
        <v>1</v>
      </c>
      <c r="C542" t="s">
        <v>2</v>
      </c>
      <c r="D542" t="s">
        <v>96</v>
      </c>
      <c r="E542">
        <v>9</v>
      </c>
      <c r="F542" s="2">
        <v>5.2054794520547946E-2</v>
      </c>
    </row>
    <row r="543" spans="2:6" x14ac:dyDescent="0.25">
      <c r="B543" s="33">
        <v>1</v>
      </c>
      <c r="C543" t="s">
        <v>74</v>
      </c>
      <c r="D543" t="s">
        <v>130</v>
      </c>
      <c r="E543">
        <v>12</v>
      </c>
      <c r="F543" s="2">
        <v>0.12602739726027398</v>
      </c>
    </row>
    <row r="544" spans="2:6" x14ac:dyDescent="0.25">
      <c r="B544" s="33">
        <v>1</v>
      </c>
      <c r="C544" t="s">
        <v>3</v>
      </c>
      <c r="D544" t="s">
        <v>84</v>
      </c>
      <c r="E544">
        <v>10</v>
      </c>
      <c r="F544" s="2">
        <v>6.575342465753424E-2</v>
      </c>
    </row>
    <row r="545" spans="2:6" x14ac:dyDescent="0.25">
      <c r="B545" s="33">
        <v>1</v>
      </c>
      <c r="C545" t="s">
        <v>126</v>
      </c>
      <c r="D545" t="s">
        <v>131</v>
      </c>
      <c r="E545">
        <v>15</v>
      </c>
      <c r="F545" s="2">
        <v>3.8356164383561646E-2</v>
      </c>
    </row>
    <row r="546" spans="2:6" x14ac:dyDescent="0.25">
      <c r="B546" s="33">
        <v>1</v>
      </c>
      <c r="C546" t="s">
        <v>64</v>
      </c>
      <c r="D546" t="s">
        <v>121</v>
      </c>
      <c r="E546">
        <v>10</v>
      </c>
      <c r="F546" s="2">
        <v>0.10410958904109589</v>
      </c>
    </row>
    <row r="547" spans="2:6" x14ac:dyDescent="0.25">
      <c r="B547" s="33">
        <v>1</v>
      </c>
      <c r="C547" t="s">
        <v>69</v>
      </c>
      <c r="D547" t="s">
        <v>70</v>
      </c>
      <c r="E547">
        <v>8</v>
      </c>
      <c r="F547" s="2">
        <v>4.6575342465753428E-2</v>
      </c>
    </row>
    <row r="548" spans="2:6" x14ac:dyDescent="0.25">
      <c r="B548" s="33">
        <v>1</v>
      </c>
      <c r="C548" t="s">
        <v>6</v>
      </c>
      <c r="D548" t="s">
        <v>30</v>
      </c>
      <c r="E548">
        <v>15</v>
      </c>
      <c r="F548" s="2">
        <v>0.1095890410958904</v>
      </c>
    </row>
    <row r="549" spans="2:6" x14ac:dyDescent="0.25">
      <c r="B549" s="33">
        <v>1</v>
      </c>
      <c r="C549" t="s">
        <v>103</v>
      </c>
      <c r="D549" t="s">
        <v>137</v>
      </c>
      <c r="E549">
        <v>10</v>
      </c>
      <c r="F549" s="2">
        <v>0.1095890410958904</v>
      </c>
    </row>
    <row r="550" spans="2:6" x14ac:dyDescent="0.25">
      <c r="B550" s="33">
        <v>1</v>
      </c>
      <c r="C550" t="s">
        <v>6</v>
      </c>
      <c r="D550" t="s">
        <v>42</v>
      </c>
      <c r="E550">
        <v>14</v>
      </c>
      <c r="F550" s="2">
        <v>0.10684931506849316</v>
      </c>
    </row>
    <row r="551" spans="2:6" x14ac:dyDescent="0.25">
      <c r="B551" s="33">
        <v>1</v>
      </c>
      <c r="C551" t="s">
        <v>69</v>
      </c>
      <c r="D551" t="s">
        <v>128</v>
      </c>
      <c r="E551">
        <v>13</v>
      </c>
      <c r="F551" s="2">
        <v>4.3835616438356165E-2</v>
      </c>
    </row>
    <row r="552" spans="2:6" x14ac:dyDescent="0.25">
      <c r="B552" s="33">
        <v>1</v>
      </c>
      <c r="C552" t="s">
        <v>6</v>
      </c>
      <c r="D552" t="s">
        <v>28</v>
      </c>
      <c r="E552">
        <v>8</v>
      </c>
      <c r="F552" s="2">
        <v>0.10410958904109589</v>
      </c>
    </row>
    <row r="553" spans="2:6" x14ac:dyDescent="0.25">
      <c r="B553" s="33">
        <v>1</v>
      </c>
      <c r="C553" t="s">
        <v>3</v>
      </c>
      <c r="D553" t="s">
        <v>79</v>
      </c>
      <c r="E553">
        <v>20</v>
      </c>
      <c r="F553" s="2">
        <v>6.0273972602739728E-2</v>
      </c>
    </row>
    <row r="554" spans="2:6" x14ac:dyDescent="0.25">
      <c r="B554" s="33">
        <v>1</v>
      </c>
      <c r="C554" t="s">
        <v>69</v>
      </c>
      <c r="D554" t="s">
        <v>159</v>
      </c>
      <c r="E554">
        <v>18</v>
      </c>
      <c r="F554" s="2">
        <v>3.8356164383561646E-2</v>
      </c>
    </row>
    <row r="555" spans="2:6" x14ac:dyDescent="0.25">
      <c r="B555" s="33">
        <v>1</v>
      </c>
      <c r="C555" t="s">
        <v>72</v>
      </c>
      <c r="D555" t="s">
        <v>163</v>
      </c>
      <c r="E555">
        <v>18</v>
      </c>
      <c r="F555" s="2">
        <v>0.12054794520547946</v>
      </c>
    </row>
    <row r="556" spans="2:6" x14ac:dyDescent="0.25">
      <c r="B556" s="33">
        <v>1</v>
      </c>
      <c r="C556" t="s">
        <v>90</v>
      </c>
      <c r="D556" t="s">
        <v>164</v>
      </c>
      <c r="E556">
        <v>17</v>
      </c>
      <c r="F556" s="2">
        <v>0.11232876712328767</v>
      </c>
    </row>
    <row r="557" spans="2:6" x14ac:dyDescent="0.25">
      <c r="B557" s="33">
        <v>1</v>
      </c>
      <c r="C557" t="s">
        <v>103</v>
      </c>
      <c r="D557" t="s">
        <v>45</v>
      </c>
      <c r="E557">
        <v>18</v>
      </c>
      <c r="F557" s="2">
        <v>5.4794520547945202E-2</v>
      </c>
    </row>
    <row r="558" spans="2:6" x14ac:dyDescent="0.25">
      <c r="B558" s="33">
        <v>1</v>
      </c>
      <c r="C558" t="s">
        <v>64</v>
      </c>
      <c r="D558" t="s">
        <v>68</v>
      </c>
      <c r="E558">
        <v>16</v>
      </c>
      <c r="F558" s="2">
        <v>0.1095890410958904</v>
      </c>
    </row>
    <row r="559" spans="2:6" x14ac:dyDescent="0.25">
      <c r="B559" s="33">
        <v>1</v>
      </c>
      <c r="C559" t="s">
        <v>3</v>
      </c>
      <c r="D559" t="s">
        <v>119</v>
      </c>
      <c r="E559">
        <v>18</v>
      </c>
      <c r="F559" s="2">
        <v>5.7534246575342465E-2</v>
      </c>
    </row>
    <row r="560" spans="2:6" x14ac:dyDescent="0.25">
      <c r="B560" s="33">
        <v>1</v>
      </c>
      <c r="C560" t="s">
        <v>64</v>
      </c>
      <c r="D560" t="s">
        <v>121</v>
      </c>
      <c r="E560">
        <v>17</v>
      </c>
      <c r="F560" s="2">
        <v>0.10684931506849316</v>
      </c>
    </row>
    <row r="561" spans="2:6" x14ac:dyDescent="0.25">
      <c r="B561" s="33">
        <v>1</v>
      </c>
      <c r="C561" t="s">
        <v>64</v>
      </c>
      <c r="D561" t="s">
        <v>68</v>
      </c>
      <c r="E561">
        <v>17</v>
      </c>
      <c r="F561" s="2">
        <v>6.0273972602739728E-2</v>
      </c>
    </row>
    <row r="562" spans="2:6" x14ac:dyDescent="0.25">
      <c r="B562" s="33">
        <v>1</v>
      </c>
      <c r="C562" t="s">
        <v>90</v>
      </c>
      <c r="D562" t="s">
        <v>109</v>
      </c>
      <c r="E562">
        <v>20</v>
      </c>
      <c r="F562" s="2">
        <v>0.1095890410958904</v>
      </c>
    </row>
    <row r="563" spans="2:6" x14ac:dyDescent="0.25">
      <c r="B563" s="33">
        <v>1</v>
      </c>
      <c r="C563" t="s">
        <v>6</v>
      </c>
      <c r="D563" t="s">
        <v>23</v>
      </c>
      <c r="E563">
        <v>20</v>
      </c>
      <c r="F563" s="2">
        <v>0.10410958904109589</v>
      </c>
    </row>
    <row r="564" spans="2:6" x14ac:dyDescent="0.25">
      <c r="B564" s="33">
        <v>1</v>
      </c>
      <c r="C564" t="s">
        <v>1</v>
      </c>
      <c r="D564" t="s">
        <v>82</v>
      </c>
      <c r="E564">
        <v>21</v>
      </c>
      <c r="F564" s="2">
        <v>0.10136986301369863</v>
      </c>
    </row>
    <row r="565" spans="2:6" x14ac:dyDescent="0.25">
      <c r="B565" s="33">
        <v>1</v>
      </c>
      <c r="C565" t="s">
        <v>77</v>
      </c>
      <c r="D565" t="s">
        <v>87</v>
      </c>
      <c r="E565">
        <v>19</v>
      </c>
      <c r="F565" s="2">
        <v>5.7534246575342465E-2</v>
      </c>
    </row>
    <row r="566" spans="2:6" x14ac:dyDescent="0.25">
      <c r="B566" s="33">
        <v>1</v>
      </c>
      <c r="C566" t="s">
        <v>64</v>
      </c>
      <c r="D566" t="s">
        <v>165</v>
      </c>
      <c r="E566">
        <v>18</v>
      </c>
      <c r="F566" s="2">
        <v>3.287671232876712E-2</v>
      </c>
    </row>
    <row r="567" spans="2:6" x14ac:dyDescent="0.25">
      <c r="B567" s="33">
        <v>1</v>
      </c>
      <c r="C567" t="s">
        <v>6</v>
      </c>
      <c r="D567" t="s">
        <v>30</v>
      </c>
      <c r="E567">
        <v>13</v>
      </c>
      <c r="F567" s="2">
        <v>0.10410958904109589</v>
      </c>
    </row>
    <row r="568" spans="2:6" x14ac:dyDescent="0.25">
      <c r="B568" s="33">
        <v>1</v>
      </c>
      <c r="C568" t="s">
        <v>6</v>
      </c>
      <c r="D568" t="s">
        <v>30</v>
      </c>
      <c r="E568">
        <v>17</v>
      </c>
      <c r="F568" s="2">
        <v>0.10410958904109589</v>
      </c>
    </row>
    <row r="569" spans="2:6" x14ac:dyDescent="0.25">
      <c r="B569" s="33">
        <v>1</v>
      </c>
      <c r="C569" t="s">
        <v>1</v>
      </c>
      <c r="D569" t="s">
        <v>82</v>
      </c>
      <c r="E569">
        <v>22</v>
      </c>
      <c r="F569" s="2">
        <v>0.10136986301369863</v>
      </c>
    </row>
    <row r="570" spans="2:6" x14ac:dyDescent="0.25">
      <c r="B570" s="33">
        <v>1</v>
      </c>
      <c r="C570" t="s">
        <v>77</v>
      </c>
      <c r="D570" t="s">
        <v>101</v>
      </c>
      <c r="E570">
        <v>17</v>
      </c>
      <c r="F570" s="2">
        <v>5.7534246575342465E-2</v>
      </c>
    </row>
    <row r="571" spans="2:6" x14ac:dyDescent="0.25">
      <c r="B571" s="33">
        <v>1</v>
      </c>
      <c r="C571" t="s">
        <v>66</v>
      </c>
      <c r="D571" t="s">
        <v>122</v>
      </c>
      <c r="E571">
        <v>16</v>
      </c>
      <c r="F571" s="2">
        <v>0.10410958904109589</v>
      </c>
    </row>
    <row r="572" spans="2:6" x14ac:dyDescent="0.25">
      <c r="B572" s="33">
        <v>1</v>
      </c>
      <c r="C572" t="s">
        <v>64</v>
      </c>
      <c r="D572" t="s">
        <v>99</v>
      </c>
      <c r="E572">
        <v>19</v>
      </c>
      <c r="F572" s="2">
        <v>0.15890410958904111</v>
      </c>
    </row>
    <row r="573" spans="2:6" x14ac:dyDescent="0.25">
      <c r="B573" s="33">
        <v>1</v>
      </c>
      <c r="C573" t="s">
        <v>4</v>
      </c>
      <c r="D573" t="s">
        <v>153</v>
      </c>
      <c r="E573">
        <v>17</v>
      </c>
      <c r="F573" s="2">
        <v>8.2191780821917804E-2</v>
      </c>
    </row>
    <row r="574" spans="2:6" x14ac:dyDescent="0.25">
      <c r="B574" s="33">
        <v>1</v>
      </c>
      <c r="C574" t="s">
        <v>90</v>
      </c>
      <c r="D574" t="s">
        <v>120</v>
      </c>
      <c r="E574">
        <v>19</v>
      </c>
      <c r="F574" s="2">
        <v>0.10136986301369863</v>
      </c>
    </row>
    <row r="575" spans="2:6" x14ac:dyDescent="0.25">
      <c r="B575" s="33">
        <v>1</v>
      </c>
      <c r="C575" t="s">
        <v>1</v>
      </c>
      <c r="D575" t="s">
        <v>152</v>
      </c>
      <c r="E575">
        <v>18</v>
      </c>
      <c r="F575" s="2">
        <v>9.8630136986301367E-2</v>
      </c>
    </row>
    <row r="576" spans="2:6" x14ac:dyDescent="0.25">
      <c r="B576" s="33">
        <v>1</v>
      </c>
      <c r="C576" t="s">
        <v>74</v>
      </c>
      <c r="D576" t="s">
        <v>105</v>
      </c>
      <c r="E576">
        <v>20</v>
      </c>
      <c r="F576" s="2">
        <v>0.13150684931506848</v>
      </c>
    </row>
    <row r="577" spans="2:6" x14ac:dyDescent="0.25">
      <c r="B577" s="33">
        <v>1</v>
      </c>
      <c r="C577" t="s">
        <v>66</v>
      </c>
      <c r="D577" t="s">
        <v>93</v>
      </c>
      <c r="E577">
        <v>19</v>
      </c>
      <c r="F577" s="2">
        <v>0.10410958904109589</v>
      </c>
    </row>
    <row r="578" spans="2:6" x14ac:dyDescent="0.25">
      <c r="B578" s="33">
        <v>1</v>
      </c>
      <c r="C578" t="s">
        <v>4</v>
      </c>
      <c r="D578" t="s">
        <v>166</v>
      </c>
      <c r="E578">
        <v>18</v>
      </c>
      <c r="F578" s="2">
        <v>7.6712328767123292E-2</v>
      </c>
    </row>
    <row r="579" spans="2:6" x14ac:dyDescent="0.25">
      <c r="B579" s="33">
        <v>1</v>
      </c>
      <c r="C579" t="s">
        <v>69</v>
      </c>
      <c r="D579" t="s">
        <v>132</v>
      </c>
      <c r="E579">
        <v>18</v>
      </c>
      <c r="F579" s="2">
        <v>3.8356164383561646E-2</v>
      </c>
    </row>
    <row r="580" spans="2:6" x14ac:dyDescent="0.25">
      <c r="B580" s="33">
        <v>1</v>
      </c>
      <c r="C580" t="s">
        <v>90</v>
      </c>
      <c r="D580" t="s">
        <v>120</v>
      </c>
      <c r="E580">
        <v>21</v>
      </c>
      <c r="F580" s="2">
        <v>9.8630136986301367E-2</v>
      </c>
    </row>
    <row r="581" spans="2:6" x14ac:dyDescent="0.25">
      <c r="B581" s="33">
        <v>1</v>
      </c>
      <c r="C581" t="s">
        <v>103</v>
      </c>
      <c r="D581" t="s">
        <v>167</v>
      </c>
      <c r="E581">
        <v>19</v>
      </c>
      <c r="F581" s="2">
        <v>5.2054794520547946E-2</v>
      </c>
    </row>
    <row r="582" spans="2:6" x14ac:dyDescent="0.25">
      <c r="B582" s="33">
        <v>1</v>
      </c>
      <c r="C582" t="s">
        <v>66</v>
      </c>
      <c r="D582" t="s">
        <v>67</v>
      </c>
      <c r="E582">
        <v>20</v>
      </c>
      <c r="F582" s="2">
        <v>0.10410958904109589</v>
      </c>
    </row>
    <row r="583" spans="2:6" x14ac:dyDescent="0.25">
      <c r="B583" s="33">
        <v>1</v>
      </c>
      <c r="C583" t="s">
        <v>6</v>
      </c>
      <c r="D583" t="s">
        <v>34</v>
      </c>
      <c r="E583">
        <v>17</v>
      </c>
      <c r="F583" s="2">
        <v>0.10136986301369863</v>
      </c>
    </row>
    <row r="584" spans="2:6" x14ac:dyDescent="0.25">
      <c r="B584" s="33">
        <v>1</v>
      </c>
      <c r="C584" t="s">
        <v>66</v>
      </c>
      <c r="D584" t="s">
        <v>129</v>
      </c>
      <c r="E584">
        <v>17</v>
      </c>
      <c r="F584" s="2">
        <v>0.10136986301369863</v>
      </c>
    </row>
    <row r="585" spans="2:6" x14ac:dyDescent="0.25">
      <c r="B585" s="33">
        <v>1</v>
      </c>
      <c r="C585" t="s">
        <v>72</v>
      </c>
      <c r="D585" t="s">
        <v>125</v>
      </c>
      <c r="E585">
        <v>20</v>
      </c>
      <c r="F585" s="2">
        <v>0.11780821917808219</v>
      </c>
    </row>
    <row r="586" spans="2:6" x14ac:dyDescent="0.25">
      <c r="B586" s="33">
        <v>1</v>
      </c>
      <c r="C586" t="s">
        <v>103</v>
      </c>
      <c r="D586" t="s">
        <v>158</v>
      </c>
      <c r="E586">
        <v>19</v>
      </c>
      <c r="F586" s="2">
        <v>4.9315068493150684E-2</v>
      </c>
    </row>
    <row r="587" spans="2:6" x14ac:dyDescent="0.25">
      <c r="B587" s="33">
        <v>1</v>
      </c>
      <c r="C587" t="s">
        <v>66</v>
      </c>
      <c r="D587" t="s">
        <v>151</v>
      </c>
      <c r="E587">
        <v>18</v>
      </c>
      <c r="F587" s="2">
        <v>0.10136986301369863</v>
      </c>
    </row>
    <row r="588" spans="2:6" x14ac:dyDescent="0.25">
      <c r="B588" s="33">
        <v>1</v>
      </c>
      <c r="C588" t="s">
        <v>66</v>
      </c>
      <c r="D588" t="s">
        <v>168</v>
      </c>
      <c r="E588">
        <v>7</v>
      </c>
      <c r="F588" s="2">
        <v>5.4794520547945202E-2</v>
      </c>
    </row>
    <row r="589" spans="2:6" x14ac:dyDescent="0.25">
      <c r="B589" s="33">
        <v>1</v>
      </c>
      <c r="C589" t="s">
        <v>6</v>
      </c>
      <c r="D589" t="s">
        <v>34</v>
      </c>
      <c r="E589">
        <v>16</v>
      </c>
      <c r="F589" s="2">
        <v>0.10136986301369863</v>
      </c>
    </row>
    <row r="590" spans="2:6" x14ac:dyDescent="0.25">
      <c r="B590" s="33">
        <v>1</v>
      </c>
      <c r="C590" t="s">
        <v>126</v>
      </c>
      <c r="D590" t="s">
        <v>169</v>
      </c>
      <c r="E590">
        <v>0</v>
      </c>
      <c r="F590" s="2">
        <v>2.7397260273972603E-3</v>
      </c>
    </row>
    <row r="591" spans="2:6" x14ac:dyDescent="0.25">
      <c r="B591" s="33">
        <v>1</v>
      </c>
      <c r="C591" t="s">
        <v>64</v>
      </c>
      <c r="D591" t="s">
        <v>99</v>
      </c>
      <c r="E591">
        <v>0</v>
      </c>
      <c r="F591" s="2">
        <v>3.8356164383561646E-2</v>
      </c>
    </row>
    <row r="592" spans="2:6" x14ac:dyDescent="0.25">
      <c r="B592" s="33">
        <v>1</v>
      </c>
      <c r="C592" t="s">
        <v>6</v>
      </c>
      <c r="D592" t="s">
        <v>32</v>
      </c>
      <c r="E592">
        <v>7</v>
      </c>
      <c r="F592" s="2">
        <v>9.8630136986301367E-2</v>
      </c>
    </row>
    <row r="593" spans="2:6" x14ac:dyDescent="0.25">
      <c r="B593" s="33">
        <v>1</v>
      </c>
      <c r="C593" t="s">
        <v>3</v>
      </c>
      <c r="D593" t="s">
        <v>100</v>
      </c>
      <c r="E593">
        <v>7</v>
      </c>
      <c r="F593" s="2">
        <v>3.0136986301369864E-2</v>
      </c>
    </row>
    <row r="594" spans="2:6" x14ac:dyDescent="0.25">
      <c r="B594" s="33">
        <v>1</v>
      </c>
      <c r="C594" t="s">
        <v>64</v>
      </c>
      <c r="D594" t="s">
        <v>115</v>
      </c>
      <c r="E594">
        <v>0</v>
      </c>
      <c r="F594" s="2">
        <v>3.8356164383561646E-2</v>
      </c>
    </row>
    <row r="595" spans="2:6" x14ac:dyDescent="0.25">
      <c r="B595" s="33">
        <v>1</v>
      </c>
      <c r="C595" t="s">
        <v>66</v>
      </c>
      <c r="D595" t="s">
        <v>151</v>
      </c>
      <c r="E595">
        <v>7</v>
      </c>
      <c r="F595" s="2">
        <v>4.9315068493150684E-2</v>
      </c>
    </row>
    <row r="596" spans="2:6" x14ac:dyDescent="0.25">
      <c r="B596" s="33">
        <v>1</v>
      </c>
      <c r="C596" t="s">
        <v>1</v>
      </c>
      <c r="D596" t="s">
        <v>112</v>
      </c>
      <c r="E596">
        <v>3</v>
      </c>
      <c r="F596" s="2">
        <v>5.2054794520547946E-2</v>
      </c>
    </row>
    <row r="597" spans="2:6" x14ac:dyDescent="0.25">
      <c r="B597" s="33">
        <v>1</v>
      </c>
      <c r="C597" t="s">
        <v>77</v>
      </c>
      <c r="D597" t="s">
        <v>145</v>
      </c>
      <c r="E597">
        <v>8</v>
      </c>
      <c r="F597" s="2">
        <v>4.9315068493150684E-2</v>
      </c>
    </row>
    <row r="598" spans="2:6" x14ac:dyDescent="0.25">
      <c r="B598" s="33">
        <v>1</v>
      </c>
      <c r="C598" t="s">
        <v>72</v>
      </c>
      <c r="D598" t="s">
        <v>149</v>
      </c>
      <c r="E598">
        <v>10</v>
      </c>
      <c r="F598" s="2">
        <v>0.10136986301369863</v>
      </c>
    </row>
    <row r="599" spans="2:6" x14ac:dyDescent="0.25">
      <c r="B599" s="33">
        <v>1</v>
      </c>
      <c r="C599" t="s">
        <v>88</v>
      </c>
      <c r="D599" t="s">
        <v>114</v>
      </c>
      <c r="E599">
        <v>15</v>
      </c>
      <c r="F599" s="2">
        <v>0.11506849315068493</v>
      </c>
    </row>
    <row r="600" spans="2:6" x14ac:dyDescent="0.25">
      <c r="B600" s="33">
        <v>1</v>
      </c>
      <c r="C600" t="s">
        <v>126</v>
      </c>
      <c r="D600" t="s">
        <v>127</v>
      </c>
      <c r="E600">
        <v>9</v>
      </c>
      <c r="F600" s="2">
        <v>1.9178082191780823E-2</v>
      </c>
    </row>
    <row r="601" spans="2:6" x14ac:dyDescent="0.25">
      <c r="B601" s="33">
        <v>1</v>
      </c>
      <c r="C601" t="s">
        <v>1</v>
      </c>
      <c r="D601" t="s">
        <v>94</v>
      </c>
      <c r="E601">
        <v>9</v>
      </c>
      <c r="F601" s="2">
        <v>0.11506849315068493</v>
      </c>
    </row>
    <row r="602" spans="2:6" x14ac:dyDescent="0.25">
      <c r="B602" s="33">
        <v>1</v>
      </c>
      <c r="C602" t="s">
        <v>2</v>
      </c>
      <c r="D602" t="s">
        <v>102</v>
      </c>
      <c r="E602">
        <v>15</v>
      </c>
      <c r="F602" s="2">
        <v>4.9315068493150684E-2</v>
      </c>
    </row>
    <row r="603" spans="2:6" x14ac:dyDescent="0.25">
      <c r="B603" s="33">
        <v>1</v>
      </c>
      <c r="C603" t="s">
        <v>4</v>
      </c>
      <c r="D603" t="s">
        <v>106</v>
      </c>
      <c r="E603">
        <v>12</v>
      </c>
      <c r="F603" s="2">
        <v>7.9452054794520555E-2</v>
      </c>
    </row>
    <row r="604" spans="2:6" x14ac:dyDescent="0.25">
      <c r="B604" s="33">
        <v>1</v>
      </c>
      <c r="C604" t="s">
        <v>69</v>
      </c>
      <c r="D604" t="s">
        <v>159</v>
      </c>
      <c r="E604">
        <v>11</v>
      </c>
      <c r="F604" s="2">
        <v>4.3835616438356165E-2</v>
      </c>
    </row>
    <row r="605" spans="2:6" x14ac:dyDescent="0.25">
      <c r="B605" s="33">
        <v>1</v>
      </c>
      <c r="C605" t="s">
        <v>6</v>
      </c>
      <c r="D605" t="s">
        <v>30</v>
      </c>
      <c r="E605">
        <v>7</v>
      </c>
      <c r="F605" s="2">
        <v>9.8630136986301367E-2</v>
      </c>
    </row>
    <row r="606" spans="2:6" x14ac:dyDescent="0.25">
      <c r="B606" s="33">
        <v>1</v>
      </c>
      <c r="C606" t="s">
        <v>64</v>
      </c>
      <c r="D606" t="s">
        <v>71</v>
      </c>
      <c r="E606">
        <v>11</v>
      </c>
      <c r="F606" s="2">
        <v>0.10410958904109589</v>
      </c>
    </row>
    <row r="607" spans="2:6" x14ac:dyDescent="0.25">
      <c r="B607" s="33">
        <v>1</v>
      </c>
      <c r="C607" t="s">
        <v>2</v>
      </c>
      <c r="D607" t="s">
        <v>170</v>
      </c>
      <c r="E607">
        <v>14</v>
      </c>
      <c r="F607" s="2">
        <v>4.1095890410958902E-2</v>
      </c>
    </row>
    <row r="608" spans="2:6" x14ac:dyDescent="0.25">
      <c r="B608" s="33">
        <v>1</v>
      </c>
      <c r="C608" t="s">
        <v>69</v>
      </c>
      <c r="D608" t="s">
        <v>86</v>
      </c>
      <c r="E608">
        <v>10</v>
      </c>
      <c r="F608" s="2">
        <v>4.3835616438356165E-2</v>
      </c>
    </row>
    <row r="609" spans="2:6" x14ac:dyDescent="0.25">
      <c r="B609" s="33">
        <v>1</v>
      </c>
      <c r="C609" t="s">
        <v>3</v>
      </c>
      <c r="D609" t="s">
        <v>84</v>
      </c>
      <c r="E609">
        <v>14</v>
      </c>
      <c r="F609" s="2">
        <v>6.575342465753424E-2</v>
      </c>
    </row>
    <row r="610" spans="2:6" x14ac:dyDescent="0.25">
      <c r="B610" s="33">
        <v>1</v>
      </c>
      <c r="C610" t="s">
        <v>3</v>
      </c>
      <c r="D610" t="s">
        <v>84</v>
      </c>
      <c r="E610">
        <v>9</v>
      </c>
      <c r="F610" s="2">
        <v>6.3013698630136991E-2</v>
      </c>
    </row>
    <row r="611" spans="2:6" x14ac:dyDescent="0.25">
      <c r="B611" s="33">
        <v>1</v>
      </c>
      <c r="C611" t="s">
        <v>1</v>
      </c>
      <c r="D611" t="s">
        <v>143</v>
      </c>
      <c r="E611">
        <v>9</v>
      </c>
      <c r="F611" s="2">
        <v>0.11232876712328767</v>
      </c>
    </row>
    <row r="612" spans="2:6" x14ac:dyDescent="0.25">
      <c r="B612" s="33">
        <v>1</v>
      </c>
      <c r="C612" t="s">
        <v>0</v>
      </c>
      <c r="D612" t="s">
        <v>95</v>
      </c>
      <c r="E612">
        <v>10</v>
      </c>
      <c r="F612" s="2">
        <v>0.13150684931506848</v>
      </c>
    </row>
    <row r="613" spans="2:6" x14ac:dyDescent="0.25">
      <c r="B613" s="33">
        <v>1</v>
      </c>
      <c r="C613" t="s">
        <v>1</v>
      </c>
      <c r="D613" t="s">
        <v>110</v>
      </c>
      <c r="E613">
        <v>15</v>
      </c>
      <c r="F613" s="2">
        <v>0.11232876712328767</v>
      </c>
    </row>
    <row r="614" spans="2:6" x14ac:dyDescent="0.25">
      <c r="B614" s="33">
        <v>1</v>
      </c>
      <c r="C614" t="s">
        <v>90</v>
      </c>
      <c r="D614" t="s">
        <v>109</v>
      </c>
      <c r="E614">
        <v>12</v>
      </c>
      <c r="F614" s="2">
        <v>0.16164383561643836</v>
      </c>
    </row>
    <row r="615" spans="2:6" x14ac:dyDescent="0.25">
      <c r="B615" s="33">
        <v>1</v>
      </c>
      <c r="C615" t="s">
        <v>66</v>
      </c>
      <c r="D615" t="s">
        <v>135</v>
      </c>
      <c r="E615">
        <v>10</v>
      </c>
      <c r="F615" s="2">
        <v>0.11506849315068493</v>
      </c>
    </row>
    <row r="616" spans="2:6" x14ac:dyDescent="0.25">
      <c r="B616" s="33">
        <v>1</v>
      </c>
      <c r="C616" t="s">
        <v>126</v>
      </c>
      <c r="D616" t="s">
        <v>171</v>
      </c>
      <c r="E616">
        <v>14</v>
      </c>
      <c r="F616" s="2">
        <v>1.9178082191780823E-2</v>
      </c>
    </row>
    <row r="617" spans="2:6" x14ac:dyDescent="0.25">
      <c r="B617" s="33">
        <v>1</v>
      </c>
      <c r="C617" t="s">
        <v>66</v>
      </c>
      <c r="D617" t="s">
        <v>93</v>
      </c>
      <c r="E617">
        <v>13</v>
      </c>
      <c r="F617" s="2">
        <v>0.11506849315068493</v>
      </c>
    </row>
    <row r="618" spans="2:6" x14ac:dyDescent="0.25">
      <c r="B618" s="33">
        <v>1</v>
      </c>
      <c r="C618" t="s">
        <v>103</v>
      </c>
      <c r="D618" t="s">
        <v>167</v>
      </c>
      <c r="E618">
        <v>9</v>
      </c>
      <c r="F618" s="2">
        <v>0.10684931506849316</v>
      </c>
    </row>
    <row r="619" spans="2:6" x14ac:dyDescent="0.25">
      <c r="B619" s="33">
        <v>1</v>
      </c>
      <c r="C619" t="s">
        <v>1</v>
      </c>
      <c r="D619" t="s">
        <v>143</v>
      </c>
      <c r="E619">
        <v>12</v>
      </c>
      <c r="F619" s="2">
        <v>0.10684931506849316</v>
      </c>
    </row>
    <row r="620" spans="2:6" x14ac:dyDescent="0.25">
      <c r="B620" s="33">
        <v>1</v>
      </c>
      <c r="C620" t="s">
        <v>1</v>
      </c>
      <c r="D620" t="s">
        <v>152</v>
      </c>
      <c r="E620">
        <v>13</v>
      </c>
      <c r="F620" s="2">
        <v>0.10684931506849316</v>
      </c>
    </row>
    <row r="621" spans="2:6" x14ac:dyDescent="0.25">
      <c r="B621" s="33">
        <v>1</v>
      </c>
      <c r="C621" t="s">
        <v>6</v>
      </c>
      <c r="D621" t="s">
        <v>28</v>
      </c>
      <c r="E621">
        <v>20</v>
      </c>
      <c r="F621" s="2">
        <v>9.8630136986301367E-2</v>
      </c>
    </row>
    <row r="622" spans="2:6" x14ac:dyDescent="0.25">
      <c r="B622" s="33">
        <v>1</v>
      </c>
      <c r="C622" t="s">
        <v>1</v>
      </c>
      <c r="D622" t="s">
        <v>94</v>
      </c>
      <c r="E622">
        <v>14</v>
      </c>
      <c r="F622" s="2">
        <v>0.10684931506849316</v>
      </c>
    </row>
    <row r="623" spans="2:6" x14ac:dyDescent="0.25">
      <c r="B623" s="33">
        <v>1</v>
      </c>
      <c r="C623" t="s">
        <v>90</v>
      </c>
      <c r="D623" t="s">
        <v>120</v>
      </c>
      <c r="E623">
        <v>13</v>
      </c>
      <c r="F623" s="2">
        <v>0.16164383561643836</v>
      </c>
    </row>
    <row r="624" spans="2:6" x14ac:dyDescent="0.25">
      <c r="B624" s="33">
        <v>1</v>
      </c>
      <c r="C624" t="s">
        <v>69</v>
      </c>
      <c r="D624" t="s">
        <v>113</v>
      </c>
      <c r="E624">
        <v>23</v>
      </c>
      <c r="F624" s="2">
        <v>3.5616438356164383E-2</v>
      </c>
    </row>
    <row r="625" spans="2:6" x14ac:dyDescent="0.25">
      <c r="B625" s="33">
        <v>1</v>
      </c>
      <c r="C625" t="s">
        <v>1</v>
      </c>
      <c r="D625" t="s">
        <v>94</v>
      </c>
      <c r="E625">
        <v>20</v>
      </c>
      <c r="F625" s="2">
        <v>9.5890410958904104E-2</v>
      </c>
    </row>
    <row r="626" spans="2:6" x14ac:dyDescent="0.25">
      <c r="B626" s="33">
        <v>1</v>
      </c>
      <c r="C626" t="s">
        <v>3</v>
      </c>
      <c r="D626" t="s">
        <v>84</v>
      </c>
      <c r="E626">
        <v>17</v>
      </c>
      <c r="F626" s="2">
        <v>5.7534246575342465E-2</v>
      </c>
    </row>
    <row r="627" spans="2:6" x14ac:dyDescent="0.25">
      <c r="B627" s="33">
        <v>1</v>
      </c>
      <c r="C627" t="s">
        <v>1</v>
      </c>
      <c r="D627" t="s">
        <v>110</v>
      </c>
      <c r="E627">
        <v>21</v>
      </c>
      <c r="F627" s="2">
        <v>9.5890410958904104E-2</v>
      </c>
    </row>
    <row r="628" spans="2:6" x14ac:dyDescent="0.25">
      <c r="B628" s="33">
        <v>1</v>
      </c>
      <c r="C628" t="s">
        <v>6</v>
      </c>
      <c r="D628" t="s">
        <v>23</v>
      </c>
      <c r="E628">
        <v>11</v>
      </c>
      <c r="F628" s="2">
        <v>9.8630136986301367E-2</v>
      </c>
    </row>
    <row r="629" spans="2:6" x14ac:dyDescent="0.25">
      <c r="B629" s="33">
        <v>1</v>
      </c>
      <c r="C629" t="s">
        <v>1</v>
      </c>
      <c r="D629" t="s">
        <v>144</v>
      </c>
      <c r="E629">
        <v>20</v>
      </c>
      <c r="F629" s="2">
        <v>9.0410958904109592E-2</v>
      </c>
    </row>
    <row r="630" spans="2:6" x14ac:dyDescent="0.25">
      <c r="B630" s="33">
        <v>1</v>
      </c>
      <c r="C630" t="s">
        <v>2</v>
      </c>
      <c r="D630" t="s">
        <v>172</v>
      </c>
      <c r="E630">
        <v>16</v>
      </c>
      <c r="F630" s="2">
        <v>4.3835616438356165E-2</v>
      </c>
    </row>
    <row r="631" spans="2:6" x14ac:dyDescent="0.25">
      <c r="B631" s="33">
        <v>1</v>
      </c>
      <c r="C631" t="s">
        <v>3</v>
      </c>
      <c r="D631" t="s">
        <v>173</v>
      </c>
      <c r="E631">
        <v>19</v>
      </c>
      <c r="F631" s="2">
        <v>5.7534246575342465E-2</v>
      </c>
    </row>
    <row r="632" spans="2:6" x14ac:dyDescent="0.25">
      <c r="B632" s="33">
        <v>1</v>
      </c>
      <c r="C632" t="s">
        <v>77</v>
      </c>
      <c r="D632" t="s">
        <v>87</v>
      </c>
      <c r="E632">
        <v>17</v>
      </c>
      <c r="F632" s="2">
        <v>5.7534246575342465E-2</v>
      </c>
    </row>
    <row r="633" spans="2:6" x14ac:dyDescent="0.25">
      <c r="B633" s="33">
        <v>1</v>
      </c>
      <c r="C633" t="s">
        <v>72</v>
      </c>
      <c r="D633" t="s">
        <v>81</v>
      </c>
      <c r="E633">
        <v>20</v>
      </c>
      <c r="F633" s="2">
        <v>0.11506849315068493</v>
      </c>
    </row>
    <row r="634" spans="2:6" x14ac:dyDescent="0.25">
      <c r="B634" s="33">
        <v>1</v>
      </c>
      <c r="C634" t="s">
        <v>1</v>
      </c>
      <c r="D634" t="s">
        <v>144</v>
      </c>
      <c r="E634">
        <v>18</v>
      </c>
      <c r="F634" s="2">
        <v>8.7671232876712329E-2</v>
      </c>
    </row>
    <row r="635" spans="2:6" x14ac:dyDescent="0.25">
      <c r="B635" s="33">
        <v>1</v>
      </c>
      <c r="C635" t="s">
        <v>6</v>
      </c>
      <c r="D635" t="s">
        <v>42</v>
      </c>
      <c r="E635">
        <v>16</v>
      </c>
      <c r="F635" s="2">
        <v>9.5890410958904104E-2</v>
      </c>
    </row>
    <row r="636" spans="2:6" x14ac:dyDescent="0.25">
      <c r="B636" s="33">
        <v>1</v>
      </c>
      <c r="C636" t="s">
        <v>1</v>
      </c>
      <c r="D636" t="s">
        <v>155</v>
      </c>
      <c r="E636">
        <v>16</v>
      </c>
      <c r="F636" s="2">
        <v>8.7671232876712329E-2</v>
      </c>
    </row>
    <row r="637" spans="2:6" x14ac:dyDescent="0.25">
      <c r="B637" s="33">
        <v>1</v>
      </c>
      <c r="C637" t="s">
        <v>74</v>
      </c>
      <c r="D637" t="s">
        <v>174</v>
      </c>
      <c r="E637">
        <v>18</v>
      </c>
      <c r="F637" s="2">
        <v>0.12876712328767123</v>
      </c>
    </row>
    <row r="638" spans="2:6" x14ac:dyDescent="0.25">
      <c r="B638" s="33">
        <v>1</v>
      </c>
      <c r="C638" t="s">
        <v>64</v>
      </c>
      <c r="D638" t="s">
        <v>115</v>
      </c>
      <c r="E638">
        <v>19</v>
      </c>
      <c r="F638" s="2">
        <v>0.15068493150684931</v>
      </c>
    </row>
    <row r="639" spans="2:6" x14ac:dyDescent="0.25">
      <c r="B639" s="33">
        <v>1</v>
      </c>
      <c r="C639" t="s">
        <v>88</v>
      </c>
      <c r="D639" t="s">
        <v>160</v>
      </c>
      <c r="E639">
        <v>18</v>
      </c>
      <c r="F639" s="2">
        <v>0.10410958904109589</v>
      </c>
    </row>
    <row r="640" spans="2:6" x14ac:dyDescent="0.25">
      <c r="B640" s="33">
        <v>1</v>
      </c>
      <c r="C640" t="s">
        <v>0</v>
      </c>
      <c r="D640" t="s">
        <v>150</v>
      </c>
      <c r="E640">
        <v>20</v>
      </c>
      <c r="F640" s="2">
        <v>2.7397260273972601E-2</v>
      </c>
    </row>
    <row r="641" spans="2:6" x14ac:dyDescent="0.25">
      <c r="B641" s="33">
        <v>1</v>
      </c>
      <c r="C641" t="s">
        <v>0</v>
      </c>
      <c r="D641" t="s">
        <v>150</v>
      </c>
      <c r="E641">
        <v>21</v>
      </c>
      <c r="F641" s="2">
        <v>4.9315068493150684E-2</v>
      </c>
    </row>
    <row r="642" spans="2:6" x14ac:dyDescent="0.25">
      <c r="B642" s="33">
        <v>1</v>
      </c>
      <c r="C642" t="s">
        <v>90</v>
      </c>
      <c r="D642" t="s">
        <v>164</v>
      </c>
      <c r="E642">
        <v>19</v>
      </c>
      <c r="F642" s="2">
        <v>9.8630136986301367E-2</v>
      </c>
    </row>
    <row r="643" spans="2:6" x14ac:dyDescent="0.25">
      <c r="B643" s="33">
        <v>1</v>
      </c>
      <c r="C643" t="s">
        <v>0</v>
      </c>
      <c r="D643" t="s">
        <v>111</v>
      </c>
      <c r="E643">
        <v>22</v>
      </c>
      <c r="F643" s="2">
        <v>7.6712328767123292E-2</v>
      </c>
    </row>
    <row r="644" spans="2:6" x14ac:dyDescent="0.25">
      <c r="B644" s="33">
        <v>1</v>
      </c>
      <c r="C644" t="s">
        <v>72</v>
      </c>
      <c r="D644" t="s">
        <v>81</v>
      </c>
      <c r="E644">
        <v>21</v>
      </c>
      <c r="F644" s="2">
        <v>0.11506849315068493</v>
      </c>
    </row>
    <row r="645" spans="2:6" x14ac:dyDescent="0.25">
      <c r="B645" s="33">
        <v>1</v>
      </c>
      <c r="C645" t="s">
        <v>64</v>
      </c>
      <c r="D645" t="s">
        <v>71</v>
      </c>
      <c r="E645">
        <v>22</v>
      </c>
      <c r="F645" s="2">
        <v>3.287671232876712E-2</v>
      </c>
    </row>
    <row r="646" spans="2:6" x14ac:dyDescent="0.25">
      <c r="B646" s="33">
        <v>1</v>
      </c>
      <c r="C646" t="s">
        <v>1</v>
      </c>
      <c r="D646" t="s">
        <v>155</v>
      </c>
      <c r="E646">
        <v>18</v>
      </c>
      <c r="F646" s="2">
        <v>8.7671232876712329E-2</v>
      </c>
    </row>
    <row r="647" spans="2:6" x14ac:dyDescent="0.25">
      <c r="B647" s="33">
        <v>1</v>
      </c>
      <c r="C647" t="s">
        <v>0</v>
      </c>
      <c r="D647" t="s">
        <v>95</v>
      </c>
      <c r="E647">
        <v>23</v>
      </c>
      <c r="F647" s="2">
        <v>7.9452054794520555E-2</v>
      </c>
    </row>
    <row r="648" spans="2:6" x14ac:dyDescent="0.25">
      <c r="B648" s="33">
        <v>1</v>
      </c>
      <c r="C648" t="s">
        <v>88</v>
      </c>
      <c r="D648" t="s">
        <v>89</v>
      </c>
      <c r="E648">
        <v>23</v>
      </c>
      <c r="F648" s="2">
        <v>0.10136986301369863</v>
      </c>
    </row>
    <row r="649" spans="2:6" x14ac:dyDescent="0.25">
      <c r="B649" s="33">
        <v>1</v>
      </c>
      <c r="C649" t="s">
        <v>64</v>
      </c>
      <c r="D649" t="s">
        <v>175</v>
      </c>
      <c r="E649">
        <v>23</v>
      </c>
      <c r="F649" s="2">
        <v>5.4794520547945206E-3</v>
      </c>
    </row>
    <row r="650" spans="2:6" x14ac:dyDescent="0.25">
      <c r="B650" s="33">
        <v>1</v>
      </c>
      <c r="C650" t="s">
        <v>2</v>
      </c>
      <c r="D650" t="s">
        <v>172</v>
      </c>
      <c r="E650">
        <v>0</v>
      </c>
      <c r="F650" s="2">
        <v>1.0958904109589041E-2</v>
      </c>
    </row>
    <row r="651" spans="2:6" x14ac:dyDescent="0.25">
      <c r="B651" s="33">
        <v>1</v>
      </c>
      <c r="C651" t="s">
        <v>6</v>
      </c>
      <c r="D651" t="s">
        <v>21</v>
      </c>
      <c r="E651">
        <v>22</v>
      </c>
      <c r="F651" s="2">
        <v>9.5890410958904104E-2</v>
      </c>
    </row>
    <row r="652" spans="2:6" x14ac:dyDescent="0.25">
      <c r="B652" s="33">
        <v>1</v>
      </c>
      <c r="C652" t="s">
        <v>90</v>
      </c>
      <c r="D652" t="s">
        <v>91</v>
      </c>
      <c r="E652">
        <v>3</v>
      </c>
      <c r="F652" s="2">
        <v>5.4794520547945202E-2</v>
      </c>
    </row>
    <row r="653" spans="2:6" x14ac:dyDescent="0.25">
      <c r="B653" s="33">
        <v>1</v>
      </c>
      <c r="C653" t="s">
        <v>77</v>
      </c>
      <c r="D653" t="s">
        <v>136</v>
      </c>
      <c r="E653">
        <v>6</v>
      </c>
      <c r="F653" s="2">
        <v>1.9178082191780823E-2</v>
      </c>
    </row>
    <row r="654" spans="2:6" x14ac:dyDescent="0.25">
      <c r="B654" s="33">
        <v>1</v>
      </c>
      <c r="C654" t="s">
        <v>1</v>
      </c>
      <c r="D654" t="s">
        <v>176</v>
      </c>
      <c r="E654">
        <v>7</v>
      </c>
      <c r="F654" s="2">
        <v>5.2054794520547946E-2</v>
      </c>
    </row>
    <row r="655" spans="2:6" x14ac:dyDescent="0.25">
      <c r="B655" s="33">
        <v>1</v>
      </c>
      <c r="C655" t="s">
        <v>1</v>
      </c>
      <c r="D655" t="s">
        <v>144</v>
      </c>
      <c r="E655">
        <v>0</v>
      </c>
      <c r="F655" s="2">
        <v>4.9315068493150684E-2</v>
      </c>
    </row>
    <row r="656" spans="2:6" x14ac:dyDescent="0.25">
      <c r="B656" s="33">
        <v>1</v>
      </c>
      <c r="C656" t="s">
        <v>1</v>
      </c>
      <c r="D656" t="s">
        <v>155</v>
      </c>
      <c r="E656">
        <v>7</v>
      </c>
      <c r="F656" s="2">
        <v>4.9315068493150684E-2</v>
      </c>
    </row>
    <row r="657" spans="2:6" x14ac:dyDescent="0.25">
      <c r="B657" s="33">
        <v>1</v>
      </c>
      <c r="C657" t="s">
        <v>69</v>
      </c>
      <c r="D657" t="s">
        <v>86</v>
      </c>
      <c r="E657">
        <v>0</v>
      </c>
      <c r="F657" s="2">
        <v>3.0136986301369864E-2</v>
      </c>
    </row>
    <row r="658" spans="2:6" x14ac:dyDescent="0.25">
      <c r="B658" s="33">
        <v>1</v>
      </c>
      <c r="C658" t="s">
        <v>88</v>
      </c>
      <c r="D658" t="s">
        <v>114</v>
      </c>
      <c r="E658">
        <v>7</v>
      </c>
      <c r="F658" s="2">
        <v>6.575342465753424E-2</v>
      </c>
    </row>
    <row r="659" spans="2:6" x14ac:dyDescent="0.25">
      <c r="B659" s="33">
        <v>1</v>
      </c>
      <c r="C659" t="s">
        <v>77</v>
      </c>
      <c r="D659" t="s">
        <v>177</v>
      </c>
      <c r="E659">
        <v>7</v>
      </c>
      <c r="F659" s="2">
        <v>1.9178082191780823E-2</v>
      </c>
    </row>
    <row r="660" spans="2:6" x14ac:dyDescent="0.25">
      <c r="B660" s="33">
        <v>1</v>
      </c>
      <c r="C660" t="s">
        <v>77</v>
      </c>
      <c r="D660" t="s">
        <v>83</v>
      </c>
      <c r="E660">
        <v>1</v>
      </c>
      <c r="F660" s="2">
        <v>1.9178082191780823E-2</v>
      </c>
    </row>
    <row r="661" spans="2:6" x14ac:dyDescent="0.25">
      <c r="B661" s="33">
        <v>1</v>
      </c>
      <c r="C661" t="s">
        <v>6</v>
      </c>
      <c r="D661" t="s">
        <v>42</v>
      </c>
      <c r="E661">
        <v>9</v>
      </c>
      <c r="F661" s="2">
        <v>9.3150684931506855E-2</v>
      </c>
    </row>
    <row r="662" spans="2:6" x14ac:dyDescent="0.25">
      <c r="B662" s="33">
        <v>1</v>
      </c>
      <c r="C662" t="s">
        <v>4</v>
      </c>
      <c r="D662" t="s">
        <v>178</v>
      </c>
      <c r="E662">
        <v>7</v>
      </c>
      <c r="F662" s="2">
        <v>1.9178082191780823E-2</v>
      </c>
    </row>
    <row r="663" spans="2:6" x14ac:dyDescent="0.25">
      <c r="B663" s="33">
        <v>1</v>
      </c>
      <c r="C663" t="s">
        <v>77</v>
      </c>
      <c r="D663" t="s">
        <v>177</v>
      </c>
      <c r="E663">
        <v>1</v>
      </c>
      <c r="F663" s="2">
        <v>1.9178082191780823E-2</v>
      </c>
    </row>
    <row r="664" spans="2:6" x14ac:dyDescent="0.25">
      <c r="B664" s="33">
        <v>1</v>
      </c>
      <c r="C664" t="s">
        <v>64</v>
      </c>
      <c r="D664" t="s">
        <v>179</v>
      </c>
      <c r="E664">
        <v>7</v>
      </c>
      <c r="F664" s="2">
        <v>3.8356164383561646E-2</v>
      </c>
    </row>
    <row r="665" spans="2:6" x14ac:dyDescent="0.25">
      <c r="B665" s="33">
        <v>1</v>
      </c>
      <c r="C665" t="s">
        <v>69</v>
      </c>
      <c r="D665" t="s">
        <v>159</v>
      </c>
      <c r="E665">
        <v>8</v>
      </c>
      <c r="F665" s="2">
        <v>4.3835616438356165E-2</v>
      </c>
    </row>
    <row r="666" spans="2:6" x14ac:dyDescent="0.25">
      <c r="B666" s="33">
        <v>1</v>
      </c>
      <c r="C666" t="s">
        <v>3</v>
      </c>
      <c r="D666" t="s">
        <v>79</v>
      </c>
      <c r="E666">
        <v>12</v>
      </c>
      <c r="F666" s="2">
        <v>6.3013698630136991E-2</v>
      </c>
    </row>
    <row r="667" spans="2:6" x14ac:dyDescent="0.25">
      <c r="B667" s="33">
        <v>1</v>
      </c>
      <c r="C667" t="s">
        <v>77</v>
      </c>
      <c r="D667" t="s">
        <v>142</v>
      </c>
      <c r="E667">
        <v>8</v>
      </c>
      <c r="F667" s="2">
        <v>4.9315068493150684E-2</v>
      </c>
    </row>
    <row r="668" spans="2:6" x14ac:dyDescent="0.25">
      <c r="B668" s="33">
        <v>1</v>
      </c>
      <c r="C668" t="s">
        <v>3</v>
      </c>
      <c r="D668" t="s">
        <v>180</v>
      </c>
      <c r="E668">
        <v>9</v>
      </c>
      <c r="F668" s="2">
        <v>6.3013698630136991E-2</v>
      </c>
    </row>
    <row r="669" spans="2:6" x14ac:dyDescent="0.25">
      <c r="B669" s="33">
        <v>1</v>
      </c>
      <c r="C669" t="s">
        <v>103</v>
      </c>
      <c r="D669" t="s">
        <v>167</v>
      </c>
      <c r="E669">
        <v>8</v>
      </c>
      <c r="F669" s="2">
        <v>9.5890410958904104E-2</v>
      </c>
    </row>
    <row r="670" spans="2:6" x14ac:dyDescent="0.25">
      <c r="B670" s="33">
        <v>1</v>
      </c>
      <c r="C670" t="s">
        <v>1</v>
      </c>
      <c r="D670" t="s">
        <v>144</v>
      </c>
      <c r="E670">
        <v>14</v>
      </c>
      <c r="F670" s="2">
        <v>0.10684931506849316</v>
      </c>
    </row>
    <row r="671" spans="2:6" x14ac:dyDescent="0.25">
      <c r="B671" s="33">
        <v>1</v>
      </c>
      <c r="C671" t="s">
        <v>126</v>
      </c>
      <c r="D671" t="s">
        <v>127</v>
      </c>
      <c r="E671">
        <v>8</v>
      </c>
      <c r="F671" s="2">
        <v>6.575342465753424E-2</v>
      </c>
    </row>
    <row r="672" spans="2:6" x14ac:dyDescent="0.25">
      <c r="B672" s="33">
        <v>1</v>
      </c>
      <c r="C672" t="s">
        <v>72</v>
      </c>
      <c r="D672" t="s">
        <v>76</v>
      </c>
      <c r="E672">
        <v>12</v>
      </c>
      <c r="F672" s="2">
        <v>9.3150684931506855E-2</v>
      </c>
    </row>
    <row r="673" spans="2:6" x14ac:dyDescent="0.25">
      <c r="B673" s="33">
        <v>1</v>
      </c>
      <c r="C673" t="s">
        <v>66</v>
      </c>
      <c r="D673" t="s">
        <v>151</v>
      </c>
      <c r="E673">
        <v>10</v>
      </c>
      <c r="F673" s="2">
        <v>0.11232876712328767</v>
      </c>
    </row>
    <row r="674" spans="2:6" x14ac:dyDescent="0.25">
      <c r="B674" s="33">
        <v>1</v>
      </c>
      <c r="C674" t="s">
        <v>64</v>
      </c>
      <c r="D674" t="s">
        <v>68</v>
      </c>
      <c r="E674">
        <v>15</v>
      </c>
      <c r="F674" s="2">
        <v>0.10136986301369863</v>
      </c>
    </row>
    <row r="675" spans="2:6" x14ac:dyDescent="0.25">
      <c r="B675" s="33">
        <v>1</v>
      </c>
      <c r="C675" t="s">
        <v>69</v>
      </c>
      <c r="D675" t="s">
        <v>181</v>
      </c>
      <c r="E675">
        <v>8</v>
      </c>
      <c r="F675" s="2">
        <v>4.1095890410958902E-2</v>
      </c>
    </row>
    <row r="676" spans="2:6" x14ac:dyDescent="0.25">
      <c r="B676" s="33">
        <v>1</v>
      </c>
      <c r="C676" t="s">
        <v>90</v>
      </c>
      <c r="D676" t="s">
        <v>120</v>
      </c>
      <c r="E676">
        <v>10</v>
      </c>
      <c r="F676" s="2">
        <v>0.15068493150684931</v>
      </c>
    </row>
    <row r="677" spans="2:6" x14ac:dyDescent="0.25">
      <c r="B677" s="33">
        <v>1</v>
      </c>
      <c r="C677" t="s">
        <v>66</v>
      </c>
      <c r="D677" t="s">
        <v>151</v>
      </c>
      <c r="E677">
        <v>9</v>
      </c>
      <c r="F677" s="2">
        <v>0.10410958904109589</v>
      </c>
    </row>
    <row r="678" spans="2:6" x14ac:dyDescent="0.25">
      <c r="B678" s="33">
        <v>1</v>
      </c>
      <c r="C678" t="s">
        <v>69</v>
      </c>
      <c r="D678" t="s">
        <v>132</v>
      </c>
      <c r="E678">
        <v>8</v>
      </c>
      <c r="F678" s="2">
        <v>4.1095890410958902E-2</v>
      </c>
    </row>
    <row r="679" spans="2:6" x14ac:dyDescent="0.25">
      <c r="B679" s="33">
        <v>1</v>
      </c>
      <c r="C679" t="s">
        <v>3</v>
      </c>
      <c r="D679" t="s">
        <v>84</v>
      </c>
      <c r="E679">
        <v>8</v>
      </c>
      <c r="F679" s="2">
        <v>6.0273972602739728E-2</v>
      </c>
    </row>
    <row r="680" spans="2:6" x14ac:dyDescent="0.25">
      <c r="B680" s="33">
        <v>1</v>
      </c>
      <c r="C680" t="s">
        <v>103</v>
      </c>
      <c r="D680" t="s">
        <v>137</v>
      </c>
      <c r="E680">
        <v>15</v>
      </c>
      <c r="F680" s="2">
        <v>9.0410958904109592E-2</v>
      </c>
    </row>
    <row r="681" spans="2:6" x14ac:dyDescent="0.25">
      <c r="B681" s="33">
        <v>1</v>
      </c>
      <c r="C681" t="s">
        <v>103</v>
      </c>
      <c r="D681" t="s">
        <v>137</v>
      </c>
      <c r="E681">
        <v>13</v>
      </c>
      <c r="F681" s="2">
        <v>7.9452054794520555E-2</v>
      </c>
    </row>
    <row r="682" spans="2:6" x14ac:dyDescent="0.25">
      <c r="B682" s="33">
        <v>1</v>
      </c>
      <c r="C682" t="s">
        <v>6</v>
      </c>
      <c r="D682" t="s">
        <v>28</v>
      </c>
      <c r="E682">
        <v>13</v>
      </c>
      <c r="F682" s="2">
        <v>9.3150684931506855E-2</v>
      </c>
    </row>
    <row r="683" spans="2:6" x14ac:dyDescent="0.25">
      <c r="B683" s="33">
        <v>1</v>
      </c>
      <c r="C683" t="s">
        <v>0</v>
      </c>
      <c r="D683" t="s">
        <v>133</v>
      </c>
      <c r="E683">
        <v>11</v>
      </c>
      <c r="F683" s="2">
        <v>0.13150684931506848</v>
      </c>
    </row>
    <row r="684" spans="2:6" x14ac:dyDescent="0.25">
      <c r="B684" s="33">
        <v>1</v>
      </c>
      <c r="C684" t="s">
        <v>66</v>
      </c>
      <c r="D684" t="s">
        <v>93</v>
      </c>
      <c r="E684">
        <v>12</v>
      </c>
      <c r="F684" s="2">
        <v>0.10136986301369863</v>
      </c>
    </row>
    <row r="685" spans="2:6" x14ac:dyDescent="0.25">
      <c r="B685" s="33">
        <v>1</v>
      </c>
      <c r="C685" t="s">
        <v>1</v>
      </c>
      <c r="D685" t="s">
        <v>94</v>
      </c>
      <c r="E685">
        <v>12</v>
      </c>
      <c r="F685" s="2">
        <v>0.10684931506849316</v>
      </c>
    </row>
    <row r="686" spans="2:6" x14ac:dyDescent="0.25">
      <c r="B686" s="33">
        <v>1</v>
      </c>
      <c r="C686" t="s">
        <v>64</v>
      </c>
      <c r="D686" t="s">
        <v>116</v>
      </c>
      <c r="E686">
        <v>8</v>
      </c>
      <c r="F686" s="2">
        <v>0.10136986301369863</v>
      </c>
    </row>
    <row r="687" spans="2:6" x14ac:dyDescent="0.25">
      <c r="B687" s="33">
        <v>1</v>
      </c>
      <c r="C687" t="s">
        <v>1</v>
      </c>
      <c r="D687" t="s">
        <v>155</v>
      </c>
      <c r="E687">
        <v>14</v>
      </c>
      <c r="F687" s="2">
        <v>0.10136986301369863</v>
      </c>
    </row>
    <row r="688" spans="2:6" x14ac:dyDescent="0.25">
      <c r="B688" s="33">
        <v>1</v>
      </c>
      <c r="C688" t="s">
        <v>6</v>
      </c>
      <c r="D688" t="s">
        <v>30</v>
      </c>
      <c r="E688">
        <v>18</v>
      </c>
      <c r="F688" s="2">
        <v>9.3150684931506855E-2</v>
      </c>
    </row>
    <row r="689" spans="2:6" x14ac:dyDescent="0.25">
      <c r="B689" s="33">
        <v>1</v>
      </c>
      <c r="C689" t="s">
        <v>90</v>
      </c>
      <c r="D689" t="s">
        <v>120</v>
      </c>
      <c r="E689">
        <v>15</v>
      </c>
      <c r="F689" s="2">
        <v>0.13698630136986301</v>
      </c>
    </row>
    <row r="690" spans="2:6" x14ac:dyDescent="0.25">
      <c r="B690" s="33">
        <v>1</v>
      </c>
      <c r="C690" t="s">
        <v>1</v>
      </c>
      <c r="D690" t="s">
        <v>152</v>
      </c>
      <c r="E690">
        <v>8</v>
      </c>
      <c r="F690" s="2">
        <v>0.10136986301369863</v>
      </c>
    </row>
    <row r="691" spans="2:6" x14ac:dyDescent="0.25">
      <c r="B691" s="33">
        <v>1</v>
      </c>
      <c r="C691" t="s">
        <v>66</v>
      </c>
      <c r="D691" t="s">
        <v>129</v>
      </c>
      <c r="E691">
        <v>12</v>
      </c>
      <c r="F691" s="2">
        <v>9.8630136986301367E-2</v>
      </c>
    </row>
    <row r="692" spans="2:6" x14ac:dyDescent="0.25">
      <c r="B692" s="33">
        <v>1</v>
      </c>
      <c r="C692" t="s">
        <v>69</v>
      </c>
      <c r="D692" t="s">
        <v>132</v>
      </c>
      <c r="E692">
        <v>10</v>
      </c>
      <c r="F692" s="2">
        <v>3.8356164383561646E-2</v>
      </c>
    </row>
    <row r="693" spans="2:6" x14ac:dyDescent="0.25">
      <c r="B693" s="33">
        <v>1</v>
      </c>
      <c r="C693" t="s">
        <v>77</v>
      </c>
      <c r="D693" t="s">
        <v>97</v>
      </c>
      <c r="E693">
        <v>10</v>
      </c>
      <c r="F693" s="2">
        <v>4.6575342465753428E-2</v>
      </c>
    </row>
    <row r="694" spans="2:6" x14ac:dyDescent="0.25">
      <c r="B694" s="33">
        <v>1</v>
      </c>
      <c r="C694" t="s">
        <v>1</v>
      </c>
      <c r="D694" t="s">
        <v>92</v>
      </c>
      <c r="E694">
        <v>12</v>
      </c>
      <c r="F694" s="2">
        <v>0.10136986301369863</v>
      </c>
    </row>
    <row r="695" spans="2:6" x14ac:dyDescent="0.25">
      <c r="B695" s="33">
        <v>1</v>
      </c>
      <c r="C695" t="s">
        <v>3</v>
      </c>
      <c r="D695" t="s">
        <v>108</v>
      </c>
      <c r="E695">
        <v>12</v>
      </c>
      <c r="F695" s="2">
        <v>5.4794520547945202E-2</v>
      </c>
    </row>
    <row r="696" spans="2:6" x14ac:dyDescent="0.25">
      <c r="B696" s="33">
        <v>1</v>
      </c>
      <c r="C696" t="s">
        <v>6</v>
      </c>
      <c r="D696" t="s">
        <v>21</v>
      </c>
      <c r="E696">
        <v>12</v>
      </c>
      <c r="F696" s="2">
        <v>9.3150684931506855E-2</v>
      </c>
    </row>
    <row r="697" spans="2:6" x14ac:dyDescent="0.25">
      <c r="B697" s="33">
        <v>1</v>
      </c>
      <c r="C697" t="s">
        <v>103</v>
      </c>
      <c r="D697" t="s">
        <v>158</v>
      </c>
      <c r="E697">
        <v>8</v>
      </c>
      <c r="F697" s="2">
        <v>7.6712328767123292E-2</v>
      </c>
    </row>
    <row r="698" spans="2:6" x14ac:dyDescent="0.25">
      <c r="B698" s="33">
        <v>1</v>
      </c>
      <c r="C698" t="s">
        <v>64</v>
      </c>
      <c r="D698" t="s">
        <v>65</v>
      </c>
      <c r="E698">
        <v>14</v>
      </c>
      <c r="F698" s="2">
        <v>9.8630136986301367E-2</v>
      </c>
    </row>
    <row r="699" spans="2:6" x14ac:dyDescent="0.25">
      <c r="B699" s="33">
        <v>1</v>
      </c>
      <c r="C699" t="s">
        <v>4</v>
      </c>
      <c r="D699" t="s">
        <v>153</v>
      </c>
      <c r="E699">
        <v>14</v>
      </c>
      <c r="F699" s="2">
        <v>7.9452054794520555E-2</v>
      </c>
    </row>
    <row r="700" spans="2:6" x14ac:dyDescent="0.25">
      <c r="B700" s="33">
        <v>1</v>
      </c>
      <c r="C700" t="s">
        <v>6</v>
      </c>
      <c r="D700" t="s">
        <v>28</v>
      </c>
      <c r="E700">
        <v>16</v>
      </c>
      <c r="F700" s="2">
        <v>9.3150684931506855E-2</v>
      </c>
    </row>
    <row r="701" spans="2:6" x14ac:dyDescent="0.25">
      <c r="B701" s="33">
        <v>1</v>
      </c>
      <c r="C701" t="s">
        <v>66</v>
      </c>
      <c r="D701" t="s">
        <v>93</v>
      </c>
      <c r="E701">
        <v>11</v>
      </c>
      <c r="F701" s="2">
        <v>9.5890410958904104E-2</v>
      </c>
    </row>
    <row r="702" spans="2:6" x14ac:dyDescent="0.25">
      <c r="B702" s="33">
        <v>1</v>
      </c>
      <c r="C702" t="s">
        <v>90</v>
      </c>
      <c r="D702" t="s">
        <v>120</v>
      </c>
      <c r="E702">
        <v>11</v>
      </c>
      <c r="F702" s="2">
        <v>0.13150684931506848</v>
      </c>
    </row>
    <row r="703" spans="2:6" x14ac:dyDescent="0.25">
      <c r="B703" s="33">
        <v>1</v>
      </c>
      <c r="C703" t="s">
        <v>0</v>
      </c>
      <c r="D703" t="s">
        <v>95</v>
      </c>
      <c r="E703">
        <v>13</v>
      </c>
      <c r="F703" s="2">
        <v>0.12328767123287671</v>
      </c>
    </row>
    <row r="704" spans="2:6" x14ac:dyDescent="0.25">
      <c r="B704" s="33">
        <v>1</v>
      </c>
      <c r="C704" t="s">
        <v>88</v>
      </c>
      <c r="D704" t="s">
        <v>160</v>
      </c>
      <c r="E704">
        <v>10</v>
      </c>
      <c r="F704" s="2">
        <v>0.11506849315068493</v>
      </c>
    </row>
    <row r="705" spans="2:6" x14ac:dyDescent="0.25">
      <c r="B705" s="33">
        <v>1</v>
      </c>
      <c r="C705" t="s">
        <v>66</v>
      </c>
      <c r="D705" t="s">
        <v>168</v>
      </c>
      <c r="E705">
        <v>10</v>
      </c>
      <c r="F705" s="2">
        <v>8.7671232876712329E-2</v>
      </c>
    </row>
    <row r="706" spans="2:6" x14ac:dyDescent="0.25">
      <c r="B706" s="33">
        <v>1</v>
      </c>
      <c r="C706" t="s">
        <v>77</v>
      </c>
      <c r="D706" t="s">
        <v>177</v>
      </c>
      <c r="E706">
        <v>8</v>
      </c>
      <c r="F706" s="2">
        <v>4.6575342465753428E-2</v>
      </c>
    </row>
    <row r="707" spans="2:6" x14ac:dyDescent="0.25">
      <c r="B707" s="33">
        <v>1</v>
      </c>
      <c r="C707" t="s">
        <v>64</v>
      </c>
      <c r="D707" t="s">
        <v>115</v>
      </c>
      <c r="E707">
        <v>14</v>
      </c>
      <c r="F707" s="2">
        <v>9.3150684931506855E-2</v>
      </c>
    </row>
    <row r="708" spans="2:6" x14ac:dyDescent="0.25">
      <c r="B708" s="33">
        <v>1</v>
      </c>
      <c r="C708" t="s">
        <v>103</v>
      </c>
      <c r="D708" t="s">
        <v>139</v>
      </c>
      <c r="E708">
        <v>8</v>
      </c>
      <c r="F708" s="2">
        <v>7.6712328767123292E-2</v>
      </c>
    </row>
    <row r="709" spans="2:6" x14ac:dyDescent="0.25">
      <c r="B709" s="33">
        <v>1</v>
      </c>
      <c r="C709" t="s">
        <v>77</v>
      </c>
      <c r="D709" t="s">
        <v>87</v>
      </c>
      <c r="E709">
        <v>14</v>
      </c>
      <c r="F709" s="2">
        <v>4.6575342465753428E-2</v>
      </c>
    </row>
    <row r="710" spans="2:6" x14ac:dyDescent="0.25">
      <c r="B710" s="33">
        <v>1</v>
      </c>
      <c r="C710" t="s">
        <v>66</v>
      </c>
      <c r="D710" t="s">
        <v>182</v>
      </c>
      <c r="E710">
        <v>15</v>
      </c>
      <c r="F710" s="2">
        <v>8.4931506849315067E-2</v>
      </c>
    </row>
    <row r="711" spans="2:6" x14ac:dyDescent="0.25">
      <c r="B711" s="33">
        <v>1</v>
      </c>
      <c r="C711" t="s">
        <v>1</v>
      </c>
      <c r="D711" t="s">
        <v>152</v>
      </c>
      <c r="E711">
        <v>11</v>
      </c>
      <c r="F711" s="2">
        <v>9.8630136986301367E-2</v>
      </c>
    </row>
    <row r="712" spans="2:6" x14ac:dyDescent="0.25">
      <c r="B712" s="33">
        <v>1</v>
      </c>
      <c r="C712" t="s">
        <v>72</v>
      </c>
      <c r="D712" t="s">
        <v>76</v>
      </c>
      <c r="E712">
        <v>8</v>
      </c>
      <c r="F712" s="2">
        <v>9.0410958904109592E-2</v>
      </c>
    </row>
    <row r="713" spans="2:6" x14ac:dyDescent="0.25">
      <c r="B713" s="33">
        <v>1</v>
      </c>
      <c r="C713" t="s">
        <v>66</v>
      </c>
      <c r="D713" t="s">
        <v>135</v>
      </c>
      <c r="E713">
        <v>13</v>
      </c>
      <c r="F713" s="2">
        <v>8.2191780821917804E-2</v>
      </c>
    </row>
    <row r="714" spans="2:6" x14ac:dyDescent="0.25">
      <c r="B714" s="33">
        <v>1</v>
      </c>
      <c r="C714" t="s">
        <v>0</v>
      </c>
      <c r="D714" t="s">
        <v>95</v>
      </c>
      <c r="E714">
        <v>8</v>
      </c>
      <c r="F714" s="2">
        <v>0.11780821917808219</v>
      </c>
    </row>
    <row r="715" spans="2:6" x14ac:dyDescent="0.25">
      <c r="B715" s="33">
        <v>1</v>
      </c>
      <c r="C715" t="s">
        <v>77</v>
      </c>
      <c r="D715" t="s">
        <v>87</v>
      </c>
      <c r="E715">
        <v>12</v>
      </c>
      <c r="F715" s="2">
        <v>4.6575342465753428E-2</v>
      </c>
    </row>
    <row r="716" spans="2:6" x14ac:dyDescent="0.25">
      <c r="B716" s="33">
        <v>1</v>
      </c>
      <c r="C716" t="s">
        <v>77</v>
      </c>
      <c r="D716" t="s">
        <v>87</v>
      </c>
      <c r="E716">
        <v>9</v>
      </c>
      <c r="F716" s="2">
        <v>4.6575342465753428E-2</v>
      </c>
    </row>
    <row r="717" spans="2:6" x14ac:dyDescent="0.25">
      <c r="B717" s="33">
        <v>1</v>
      </c>
      <c r="C717" t="s">
        <v>64</v>
      </c>
      <c r="D717" t="s">
        <v>115</v>
      </c>
      <c r="E717">
        <v>13</v>
      </c>
      <c r="F717" s="2">
        <v>9.3150684931506855E-2</v>
      </c>
    </row>
    <row r="718" spans="2:6" x14ac:dyDescent="0.25">
      <c r="B718" s="33">
        <v>1</v>
      </c>
      <c r="C718" t="s">
        <v>69</v>
      </c>
      <c r="D718" t="s">
        <v>183</v>
      </c>
      <c r="E718">
        <v>19</v>
      </c>
      <c r="F718" s="2">
        <v>3.5616438356164383E-2</v>
      </c>
    </row>
    <row r="719" spans="2:6" x14ac:dyDescent="0.25">
      <c r="B719" s="33">
        <v>1</v>
      </c>
      <c r="C719" t="s">
        <v>64</v>
      </c>
      <c r="D719" t="s">
        <v>175</v>
      </c>
      <c r="E719">
        <v>16</v>
      </c>
      <c r="F719" s="2">
        <v>4.9315068493150684E-2</v>
      </c>
    </row>
    <row r="720" spans="2:6" x14ac:dyDescent="0.25">
      <c r="B720" s="33">
        <v>1</v>
      </c>
      <c r="C720" t="s">
        <v>1</v>
      </c>
      <c r="D720" t="s">
        <v>155</v>
      </c>
      <c r="E720">
        <v>19</v>
      </c>
      <c r="F720" s="2">
        <v>8.7671232876712329E-2</v>
      </c>
    </row>
    <row r="721" spans="2:6" x14ac:dyDescent="0.25">
      <c r="B721" s="33">
        <v>1</v>
      </c>
      <c r="C721" t="s">
        <v>69</v>
      </c>
      <c r="D721" t="s">
        <v>148</v>
      </c>
      <c r="E721">
        <v>17</v>
      </c>
      <c r="F721" s="2">
        <v>3.5616438356164383E-2</v>
      </c>
    </row>
    <row r="722" spans="2:6" x14ac:dyDescent="0.25">
      <c r="B722" s="33">
        <v>1</v>
      </c>
      <c r="C722" t="s">
        <v>3</v>
      </c>
      <c r="D722" t="s">
        <v>84</v>
      </c>
      <c r="E722">
        <v>20</v>
      </c>
      <c r="F722" s="2">
        <v>5.2054794520547946E-2</v>
      </c>
    </row>
    <row r="723" spans="2:6" x14ac:dyDescent="0.25">
      <c r="B723" s="33">
        <v>1</v>
      </c>
      <c r="C723" t="s">
        <v>88</v>
      </c>
      <c r="D723" t="s">
        <v>134</v>
      </c>
      <c r="E723">
        <v>17</v>
      </c>
      <c r="F723" s="2">
        <v>0.10136986301369863</v>
      </c>
    </row>
    <row r="724" spans="2:6" x14ac:dyDescent="0.25">
      <c r="B724" s="33">
        <v>1</v>
      </c>
      <c r="C724" t="s">
        <v>77</v>
      </c>
      <c r="D724" t="s">
        <v>83</v>
      </c>
      <c r="E724">
        <v>16</v>
      </c>
      <c r="F724" s="2">
        <v>5.2054794520547946E-2</v>
      </c>
    </row>
    <row r="725" spans="2:6" x14ac:dyDescent="0.25">
      <c r="B725" s="33">
        <v>1</v>
      </c>
      <c r="C725" t="s">
        <v>2</v>
      </c>
      <c r="D725" t="s">
        <v>170</v>
      </c>
      <c r="E725">
        <v>17</v>
      </c>
      <c r="F725" s="2">
        <v>4.3835616438356165E-2</v>
      </c>
    </row>
    <row r="726" spans="2:6" x14ac:dyDescent="0.25">
      <c r="B726" s="33">
        <v>1</v>
      </c>
      <c r="C726" t="s">
        <v>103</v>
      </c>
      <c r="D726" t="s">
        <v>167</v>
      </c>
      <c r="E726">
        <v>18</v>
      </c>
      <c r="F726" s="2">
        <v>4.9315068493150684E-2</v>
      </c>
    </row>
    <row r="727" spans="2:6" x14ac:dyDescent="0.25">
      <c r="B727" s="33">
        <v>1</v>
      </c>
      <c r="C727" t="s">
        <v>69</v>
      </c>
      <c r="D727" t="s">
        <v>184</v>
      </c>
      <c r="E727">
        <v>18</v>
      </c>
      <c r="F727" s="2">
        <v>3.5616438356164383E-2</v>
      </c>
    </row>
    <row r="728" spans="2:6" x14ac:dyDescent="0.25">
      <c r="B728" s="33">
        <v>1</v>
      </c>
      <c r="C728" t="s">
        <v>2</v>
      </c>
      <c r="D728" t="s">
        <v>185</v>
      </c>
      <c r="E728">
        <v>17</v>
      </c>
      <c r="F728" s="2">
        <v>4.3835616438356165E-2</v>
      </c>
    </row>
    <row r="729" spans="2:6" x14ac:dyDescent="0.25">
      <c r="B729" s="33">
        <v>1</v>
      </c>
      <c r="C729" t="s">
        <v>3</v>
      </c>
      <c r="D729" t="s">
        <v>157</v>
      </c>
      <c r="E729">
        <v>16</v>
      </c>
      <c r="F729" s="2">
        <v>4.9315068493150684E-2</v>
      </c>
    </row>
    <row r="730" spans="2:6" x14ac:dyDescent="0.25">
      <c r="B730" s="33">
        <v>1</v>
      </c>
      <c r="C730" t="s">
        <v>1</v>
      </c>
      <c r="D730" t="s">
        <v>143</v>
      </c>
      <c r="E730">
        <v>16</v>
      </c>
      <c r="F730" s="2">
        <v>8.7671232876712329E-2</v>
      </c>
    </row>
    <row r="731" spans="2:6" x14ac:dyDescent="0.25">
      <c r="B731" s="33">
        <v>1</v>
      </c>
      <c r="C731" t="s">
        <v>77</v>
      </c>
      <c r="D731" t="s">
        <v>136</v>
      </c>
      <c r="E731">
        <v>18</v>
      </c>
      <c r="F731" s="2">
        <v>5.2054794520547946E-2</v>
      </c>
    </row>
    <row r="732" spans="2:6" x14ac:dyDescent="0.25">
      <c r="B732" s="33">
        <v>1</v>
      </c>
      <c r="C732" t="s">
        <v>1</v>
      </c>
      <c r="D732" t="s">
        <v>92</v>
      </c>
      <c r="E732">
        <v>21</v>
      </c>
      <c r="F732" s="2">
        <v>8.4931506849315067E-2</v>
      </c>
    </row>
    <row r="733" spans="2:6" x14ac:dyDescent="0.25">
      <c r="B733" s="33">
        <v>1</v>
      </c>
      <c r="C733" t="s">
        <v>74</v>
      </c>
      <c r="D733" t="s">
        <v>105</v>
      </c>
      <c r="E733">
        <v>17</v>
      </c>
      <c r="F733" s="2">
        <v>0.12602739726027398</v>
      </c>
    </row>
    <row r="734" spans="2:6" x14ac:dyDescent="0.25">
      <c r="B734" s="33">
        <v>1</v>
      </c>
      <c r="C734" t="s">
        <v>3</v>
      </c>
      <c r="D734" t="s">
        <v>186</v>
      </c>
      <c r="E734">
        <v>18</v>
      </c>
      <c r="F734" s="2">
        <v>4.9315068493150684E-2</v>
      </c>
    </row>
    <row r="735" spans="2:6" x14ac:dyDescent="0.25">
      <c r="B735" s="33">
        <v>1</v>
      </c>
      <c r="C735" t="s">
        <v>0</v>
      </c>
      <c r="D735" t="s">
        <v>95</v>
      </c>
      <c r="E735">
        <v>19</v>
      </c>
      <c r="F735" s="2">
        <v>0.23287671232876711</v>
      </c>
    </row>
    <row r="736" spans="2:6" x14ac:dyDescent="0.25">
      <c r="B736" s="33">
        <v>1</v>
      </c>
      <c r="C736" t="s">
        <v>90</v>
      </c>
      <c r="D736" t="s">
        <v>109</v>
      </c>
      <c r="E736">
        <v>16</v>
      </c>
      <c r="F736" s="2">
        <v>9.5890410958904104E-2</v>
      </c>
    </row>
    <row r="737" spans="2:6" x14ac:dyDescent="0.25">
      <c r="B737" s="33">
        <v>1</v>
      </c>
      <c r="C737" t="s">
        <v>3</v>
      </c>
      <c r="D737" t="s">
        <v>138</v>
      </c>
      <c r="E737">
        <v>16</v>
      </c>
      <c r="F737" s="2">
        <v>4.6575342465753428E-2</v>
      </c>
    </row>
    <row r="738" spans="2:6" x14ac:dyDescent="0.25">
      <c r="B738" s="33">
        <v>1</v>
      </c>
      <c r="C738" t="s">
        <v>64</v>
      </c>
      <c r="D738" t="s">
        <v>65</v>
      </c>
      <c r="E738">
        <v>19</v>
      </c>
      <c r="F738" s="2">
        <v>0.15890410958904111</v>
      </c>
    </row>
    <row r="739" spans="2:6" x14ac:dyDescent="0.25">
      <c r="B739" s="33">
        <v>1</v>
      </c>
      <c r="C739" t="s">
        <v>69</v>
      </c>
      <c r="D739" t="s">
        <v>132</v>
      </c>
      <c r="E739">
        <v>20</v>
      </c>
      <c r="F739" s="2">
        <v>3.287671232876712E-2</v>
      </c>
    </row>
    <row r="740" spans="2:6" x14ac:dyDescent="0.25">
      <c r="B740" s="33">
        <v>1</v>
      </c>
      <c r="C740" t="s">
        <v>6</v>
      </c>
      <c r="D740" t="s">
        <v>30</v>
      </c>
      <c r="E740">
        <v>20</v>
      </c>
      <c r="F740" s="2">
        <v>9.0410958904109592E-2</v>
      </c>
    </row>
    <row r="741" spans="2:6" x14ac:dyDescent="0.25">
      <c r="B741" s="33">
        <v>1</v>
      </c>
      <c r="C741" t="s">
        <v>77</v>
      </c>
      <c r="D741" t="s">
        <v>123</v>
      </c>
      <c r="E741">
        <v>18</v>
      </c>
      <c r="F741" s="2">
        <v>5.2054794520547946E-2</v>
      </c>
    </row>
    <row r="742" spans="2:6" x14ac:dyDescent="0.25">
      <c r="B742" s="33">
        <v>1</v>
      </c>
      <c r="C742" t="s">
        <v>77</v>
      </c>
      <c r="D742" t="s">
        <v>146</v>
      </c>
      <c r="E742">
        <v>16</v>
      </c>
      <c r="F742" s="2">
        <v>5.2054794520547946E-2</v>
      </c>
    </row>
    <row r="743" spans="2:6" x14ac:dyDescent="0.25">
      <c r="B743" s="33">
        <v>1</v>
      </c>
      <c r="C743" t="s">
        <v>77</v>
      </c>
      <c r="D743" t="s">
        <v>162</v>
      </c>
      <c r="E743">
        <v>19</v>
      </c>
      <c r="F743" s="2">
        <v>4.9315068493150684E-2</v>
      </c>
    </row>
    <row r="744" spans="2:6" x14ac:dyDescent="0.25">
      <c r="B744" s="33">
        <v>1</v>
      </c>
      <c r="C744" t="s">
        <v>64</v>
      </c>
      <c r="D744" t="s">
        <v>65</v>
      </c>
      <c r="E744">
        <v>20</v>
      </c>
      <c r="F744" s="2">
        <v>9.3150684931506855E-2</v>
      </c>
    </row>
    <row r="745" spans="2:6" x14ac:dyDescent="0.25">
      <c r="B745" s="33">
        <v>1</v>
      </c>
      <c r="C745" t="s">
        <v>74</v>
      </c>
      <c r="D745" t="s">
        <v>130</v>
      </c>
      <c r="E745">
        <v>20</v>
      </c>
      <c r="F745" s="2">
        <v>0.1095890410958904</v>
      </c>
    </row>
    <row r="746" spans="2:6" x14ac:dyDescent="0.25">
      <c r="B746" s="33">
        <v>1</v>
      </c>
      <c r="C746" t="s">
        <v>77</v>
      </c>
      <c r="D746" t="s">
        <v>146</v>
      </c>
      <c r="E746">
        <v>18</v>
      </c>
      <c r="F746" s="2">
        <v>4.6575342465753428E-2</v>
      </c>
    </row>
    <row r="747" spans="2:6" x14ac:dyDescent="0.25">
      <c r="B747" s="33">
        <v>1</v>
      </c>
      <c r="C747" t="s">
        <v>72</v>
      </c>
      <c r="D747" t="s">
        <v>76</v>
      </c>
      <c r="E747">
        <v>21</v>
      </c>
      <c r="F747" s="2">
        <v>0.11232876712328767</v>
      </c>
    </row>
    <row r="748" spans="2:6" x14ac:dyDescent="0.25">
      <c r="B748" s="33">
        <v>1</v>
      </c>
      <c r="C748" t="s">
        <v>66</v>
      </c>
      <c r="D748" t="s">
        <v>151</v>
      </c>
      <c r="E748">
        <v>19</v>
      </c>
      <c r="F748" s="2">
        <v>9.8630136986301367E-2</v>
      </c>
    </row>
    <row r="749" spans="2:6" x14ac:dyDescent="0.25">
      <c r="B749" s="33">
        <v>1</v>
      </c>
      <c r="C749" t="s">
        <v>88</v>
      </c>
      <c r="D749" t="s">
        <v>89</v>
      </c>
      <c r="E749">
        <v>21</v>
      </c>
      <c r="F749" s="2">
        <v>9.3150684931506855E-2</v>
      </c>
    </row>
    <row r="750" spans="2:6" x14ac:dyDescent="0.25">
      <c r="B750" s="33">
        <v>1</v>
      </c>
      <c r="C750" t="s">
        <v>1</v>
      </c>
      <c r="D750" t="s">
        <v>144</v>
      </c>
      <c r="E750">
        <v>19</v>
      </c>
      <c r="F750" s="2">
        <v>7.9452054794520555E-2</v>
      </c>
    </row>
    <row r="751" spans="2:6" x14ac:dyDescent="0.25">
      <c r="B751" s="33">
        <v>1</v>
      </c>
      <c r="C751" t="s">
        <v>88</v>
      </c>
      <c r="D751" t="s">
        <v>156</v>
      </c>
      <c r="E751">
        <v>19</v>
      </c>
      <c r="F751" s="2">
        <v>9.3150684931506855E-2</v>
      </c>
    </row>
    <row r="752" spans="2:6" x14ac:dyDescent="0.25">
      <c r="B752" s="33">
        <v>1</v>
      </c>
      <c r="C752" t="s">
        <v>4</v>
      </c>
      <c r="D752" t="s">
        <v>166</v>
      </c>
      <c r="E752">
        <v>16</v>
      </c>
      <c r="F752" s="2">
        <v>7.3972602739726029E-2</v>
      </c>
    </row>
    <row r="753" spans="2:6" x14ac:dyDescent="0.25">
      <c r="B753" s="33">
        <v>1</v>
      </c>
      <c r="C753" t="s">
        <v>90</v>
      </c>
      <c r="D753" t="s">
        <v>91</v>
      </c>
      <c r="E753">
        <v>22</v>
      </c>
      <c r="F753" s="2">
        <v>9.0410958904109592E-2</v>
      </c>
    </row>
    <row r="754" spans="2:6" x14ac:dyDescent="0.25">
      <c r="B754" s="33">
        <v>1</v>
      </c>
      <c r="C754" t="s">
        <v>6</v>
      </c>
      <c r="D754" t="s">
        <v>28</v>
      </c>
      <c r="E754">
        <v>12</v>
      </c>
      <c r="F754" s="2">
        <v>9.0410958904109592E-2</v>
      </c>
    </row>
    <row r="755" spans="2:6" x14ac:dyDescent="0.25">
      <c r="B755" s="33">
        <v>1</v>
      </c>
      <c r="C755" t="s">
        <v>64</v>
      </c>
      <c r="D755" t="s">
        <v>116</v>
      </c>
      <c r="E755">
        <v>0</v>
      </c>
      <c r="F755" s="2">
        <v>3.8356164383561646E-2</v>
      </c>
    </row>
    <row r="756" spans="2:6" x14ac:dyDescent="0.25">
      <c r="B756" s="33">
        <v>1</v>
      </c>
      <c r="C756" t="s">
        <v>88</v>
      </c>
      <c r="D756" t="s">
        <v>114</v>
      </c>
      <c r="E756">
        <v>2</v>
      </c>
      <c r="F756" s="2">
        <v>6.575342465753424E-2</v>
      </c>
    </row>
    <row r="757" spans="2:6" x14ac:dyDescent="0.25">
      <c r="B757" s="33">
        <v>1</v>
      </c>
      <c r="C757" t="s">
        <v>66</v>
      </c>
      <c r="D757" t="s">
        <v>122</v>
      </c>
      <c r="E757">
        <v>5</v>
      </c>
      <c r="F757" s="2">
        <v>4.9315068493150684E-2</v>
      </c>
    </row>
    <row r="758" spans="2:6" x14ac:dyDescent="0.25">
      <c r="B758" s="33">
        <v>1</v>
      </c>
      <c r="C758" t="s">
        <v>1</v>
      </c>
      <c r="D758" t="s">
        <v>82</v>
      </c>
      <c r="E758">
        <v>4</v>
      </c>
      <c r="F758" s="2">
        <v>4.1095890410958902E-2</v>
      </c>
    </row>
    <row r="759" spans="2:6" x14ac:dyDescent="0.25">
      <c r="B759" s="33">
        <v>1</v>
      </c>
      <c r="C759" t="s">
        <v>66</v>
      </c>
      <c r="D759" t="s">
        <v>67</v>
      </c>
      <c r="E759">
        <v>0</v>
      </c>
      <c r="F759" s="2">
        <v>4.6575342465753428E-2</v>
      </c>
    </row>
    <row r="760" spans="2:6" x14ac:dyDescent="0.25">
      <c r="B760" s="33">
        <v>1</v>
      </c>
      <c r="C760" t="s">
        <v>6</v>
      </c>
      <c r="D760" t="s">
        <v>43</v>
      </c>
      <c r="E760">
        <v>18</v>
      </c>
      <c r="F760" s="2">
        <v>9.0410958904109592E-2</v>
      </c>
    </row>
    <row r="761" spans="2:6" x14ac:dyDescent="0.25">
      <c r="B761" s="33">
        <v>1</v>
      </c>
      <c r="C761" t="s">
        <v>1</v>
      </c>
      <c r="D761" t="s">
        <v>92</v>
      </c>
      <c r="E761">
        <v>1</v>
      </c>
      <c r="F761" s="2">
        <v>4.1095890410958902E-2</v>
      </c>
    </row>
    <row r="762" spans="2:6" x14ac:dyDescent="0.25">
      <c r="B762" s="33">
        <v>1</v>
      </c>
      <c r="C762" t="s">
        <v>64</v>
      </c>
      <c r="D762" t="s">
        <v>115</v>
      </c>
      <c r="E762">
        <v>7</v>
      </c>
      <c r="F762" s="2">
        <v>3.8356164383561646E-2</v>
      </c>
    </row>
    <row r="763" spans="2:6" x14ac:dyDescent="0.25">
      <c r="B763" s="33">
        <v>1</v>
      </c>
      <c r="C763" t="s">
        <v>6</v>
      </c>
      <c r="D763" t="s">
        <v>23</v>
      </c>
      <c r="E763">
        <v>15</v>
      </c>
      <c r="F763" s="2">
        <v>8.7671232876712329E-2</v>
      </c>
    </row>
    <row r="764" spans="2:6" x14ac:dyDescent="0.25">
      <c r="B764" s="33">
        <v>1</v>
      </c>
      <c r="C764" t="s">
        <v>69</v>
      </c>
      <c r="D764" t="s">
        <v>113</v>
      </c>
      <c r="E764">
        <v>7</v>
      </c>
      <c r="F764" s="2">
        <v>3.0136986301369864E-2</v>
      </c>
    </row>
    <row r="765" spans="2:6" x14ac:dyDescent="0.25">
      <c r="B765" s="33">
        <v>1</v>
      </c>
      <c r="C765" t="s">
        <v>77</v>
      </c>
      <c r="D765" t="s">
        <v>83</v>
      </c>
      <c r="E765">
        <v>5</v>
      </c>
      <c r="F765" s="2">
        <v>1.643835616438356E-2</v>
      </c>
    </row>
    <row r="766" spans="2:6" x14ac:dyDescent="0.25">
      <c r="B766" s="33">
        <v>1</v>
      </c>
      <c r="C766" t="s">
        <v>64</v>
      </c>
      <c r="D766" t="s">
        <v>99</v>
      </c>
      <c r="E766">
        <v>1</v>
      </c>
      <c r="F766" s="2">
        <v>3.5616438356164383E-2</v>
      </c>
    </row>
    <row r="767" spans="2:6" x14ac:dyDescent="0.25">
      <c r="B767" s="33">
        <v>1</v>
      </c>
      <c r="C767" t="s">
        <v>6</v>
      </c>
      <c r="D767" t="s">
        <v>42</v>
      </c>
      <c r="E767">
        <v>13</v>
      </c>
      <c r="F767" s="2">
        <v>8.7671232876712329E-2</v>
      </c>
    </row>
    <row r="768" spans="2:6" x14ac:dyDescent="0.25">
      <c r="B768" s="33">
        <v>1</v>
      </c>
      <c r="C768" t="s">
        <v>77</v>
      </c>
      <c r="D768" t="s">
        <v>136</v>
      </c>
      <c r="E768">
        <v>10</v>
      </c>
      <c r="F768" s="2">
        <v>4.3835616438356165E-2</v>
      </c>
    </row>
    <row r="769" spans="2:6" x14ac:dyDescent="0.25">
      <c r="B769" s="33">
        <v>1</v>
      </c>
      <c r="C769" t="s">
        <v>69</v>
      </c>
      <c r="D769" t="s">
        <v>159</v>
      </c>
      <c r="E769">
        <v>9</v>
      </c>
      <c r="F769" s="2">
        <v>3.8356164383561646E-2</v>
      </c>
    </row>
    <row r="770" spans="2:6" x14ac:dyDescent="0.25">
      <c r="B770" s="33">
        <v>1</v>
      </c>
      <c r="C770" t="s">
        <v>6</v>
      </c>
      <c r="D770" t="s">
        <v>30</v>
      </c>
      <c r="E770">
        <v>12</v>
      </c>
      <c r="F770" s="2">
        <v>8.4931506849315067E-2</v>
      </c>
    </row>
    <row r="771" spans="2:6" x14ac:dyDescent="0.25">
      <c r="B771" s="33">
        <v>1</v>
      </c>
      <c r="C771" t="s">
        <v>3</v>
      </c>
      <c r="D771" t="s">
        <v>119</v>
      </c>
      <c r="E771">
        <v>11</v>
      </c>
      <c r="F771" s="2">
        <v>5.2054794520547946E-2</v>
      </c>
    </row>
    <row r="772" spans="2:6" x14ac:dyDescent="0.25">
      <c r="B772" s="33">
        <v>1</v>
      </c>
      <c r="C772" t="s">
        <v>2</v>
      </c>
      <c r="D772" t="s">
        <v>102</v>
      </c>
      <c r="E772">
        <v>14</v>
      </c>
      <c r="F772" s="2">
        <v>4.1095890410958902E-2</v>
      </c>
    </row>
    <row r="773" spans="2:6" x14ac:dyDescent="0.25">
      <c r="B773" s="33">
        <v>1</v>
      </c>
      <c r="C773" t="s">
        <v>1</v>
      </c>
      <c r="D773" t="s">
        <v>144</v>
      </c>
      <c r="E773">
        <v>10</v>
      </c>
      <c r="F773" s="2">
        <v>9.8630136986301367E-2</v>
      </c>
    </row>
    <row r="774" spans="2:6" x14ac:dyDescent="0.25">
      <c r="B774" s="33">
        <v>1</v>
      </c>
      <c r="C774" t="s">
        <v>1</v>
      </c>
      <c r="D774" t="s">
        <v>143</v>
      </c>
      <c r="E774">
        <v>14</v>
      </c>
      <c r="F774" s="2">
        <v>9.3150684931506855E-2</v>
      </c>
    </row>
    <row r="775" spans="2:6" x14ac:dyDescent="0.25">
      <c r="B775" s="33">
        <v>1</v>
      </c>
      <c r="C775" t="s">
        <v>77</v>
      </c>
      <c r="D775" t="s">
        <v>162</v>
      </c>
      <c r="E775">
        <v>10</v>
      </c>
      <c r="F775" s="2">
        <v>4.3835616438356165E-2</v>
      </c>
    </row>
    <row r="776" spans="2:6" x14ac:dyDescent="0.25">
      <c r="B776" s="33">
        <v>1</v>
      </c>
      <c r="C776" t="s">
        <v>1</v>
      </c>
      <c r="D776" t="s">
        <v>144</v>
      </c>
      <c r="E776">
        <v>15</v>
      </c>
      <c r="F776" s="2">
        <v>9.3150684931506855E-2</v>
      </c>
    </row>
    <row r="777" spans="2:6" x14ac:dyDescent="0.25">
      <c r="B777" s="33">
        <v>1</v>
      </c>
      <c r="C777" t="s">
        <v>74</v>
      </c>
      <c r="D777" t="s">
        <v>130</v>
      </c>
      <c r="E777">
        <v>15</v>
      </c>
      <c r="F777" s="2">
        <v>0.12602739726027398</v>
      </c>
    </row>
    <row r="778" spans="2:6" x14ac:dyDescent="0.25">
      <c r="B778" s="33">
        <v>1</v>
      </c>
      <c r="C778" t="s">
        <v>1</v>
      </c>
      <c r="D778" t="s">
        <v>176</v>
      </c>
      <c r="E778">
        <v>15</v>
      </c>
      <c r="F778" s="2">
        <v>9.3150684931506855E-2</v>
      </c>
    </row>
    <row r="779" spans="2:6" x14ac:dyDescent="0.25">
      <c r="B779" s="33">
        <v>1</v>
      </c>
      <c r="C779" t="s">
        <v>90</v>
      </c>
      <c r="D779" t="s">
        <v>120</v>
      </c>
      <c r="E779">
        <v>8</v>
      </c>
      <c r="F779" s="2">
        <v>0.13150684931506848</v>
      </c>
    </row>
    <row r="780" spans="2:6" x14ac:dyDescent="0.25">
      <c r="B780" s="33">
        <v>1</v>
      </c>
      <c r="C780" t="s">
        <v>72</v>
      </c>
      <c r="D780" t="s">
        <v>125</v>
      </c>
      <c r="E780">
        <v>13</v>
      </c>
      <c r="F780" s="2">
        <v>8.7671232876712329E-2</v>
      </c>
    </row>
    <row r="781" spans="2:6" x14ac:dyDescent="0.25">
      <c r="B781" s="33">
        <v>1</v>
      </c>
      <c r="C781" t="s">
        <v>103</v>
      </c>
      <c r="D781" t="s">
        <v>104</v>
      </c>
      <c r="E781">
        <v>15</v>
      </c>
      <c r="F781" s="2">
        <v>7.1232876712328766E-2</v>
      </c>
    </row>
    <row r="782" spans="2:6" x14ac:dyDescent="0.25">
      <c r="B782" s="33">
        <v>1</v>
      </c>
      <c r="C782" t="s">
        <v>103</v>
      </c>
      <c r="D782" t="s">
        <v>141</v>
      </c>
      <c r="E782">
        <v>14</v>
      </c>
      <c r="F782" s="2">
        <v>6.575342465753424E-2</v>
      </c>
    </row>
    <row r="783" spans="2:6" x14ac:dyDescent="0.25">
      <c r="B783" s="33">
        <v>1</v>
      </c>
      <c r="C783" t="s">
        <v>90</v>
      </c>
      <c r="D783" t="s">
        <v>120</v>
      </c>
      <c r="E783">
        <v>14</v>
      </c>
      <c r="F783" s="2">
        <v>0.1095890410958904</v>
      </c>
    </row>
    <row r="784" spans="2:6" x14ac:dyDescent="0.25">
      <c r="B784" s="33">
        <v>1</v>
      </c>
      <c r="C784" t="s">
        <v>64</v>
      </c>
      <c r="D784" t="s">
        <v>116</v>
      </c>
      <c r="E784">
        <v>15</v>
      </c>
      <c r="F784" s="2">
        <v>9.0410958904109592E-2</v>
      </c>
    </row>
    <row r="785" spans="2:6" x14ac:dyDescent="0.25">
      <c r="B785" s="33">
        <v>1</v>
      </c>
      <c r="C785" t="s">
        <v>66</v>
      </c>
      <c r="D785" t="s">
        <v>151</v>
      </c>
      <c r="E785">
        <v>12</v>
      </c>
      <c r="F785" s="2">
        <v>8.2191780821917804E-2</v>
      </c>
    </row>
    <row r="786" spans="2:6" x14ac:dyDescent="0.25">
      <c r="B786" s="33">
        <v>1</v>
      </c>
      <c r="C786" t="s">
        <v>69</v>
      </c>
      <c r="D786" t="s">
        <v>183</v>
      </c>
      <c r="E786">
        <v>15</v>
      </c>
      <c r="F786" s="2">
        <v>3.8356164383561646E-2</v>
      </c>
    </row>
    <row r="787" spans="2:6" x14ac:dyDescent="0.25">
      <c r="B787" s="33">
        <v>1</v>
      </c>
      <c r="C787" t="s">
        <v>6</v>
      </c>
      <c r="D787" t="s">
        <v>42</v>
      </c>
      <c r="E787">
        <v>10</v>
      </c>
      <c r="F787" s="2">
        <v>8.4931506849315067E-2</v>
      </c>
    </row>
    <row r="788" spans="2:6" x14ac:dyDescent="0.25">
      <c r="B788" s="33">
        <v>1</v>
      </c>
      <c r="C788" t="s">
        <v>103</v>
      </c>
      <c r="D788" t="s">
        <v>141</v>
      </c>
      <c r="E788">
        <v>9</v>
      </c>
      <c r="F788" s="2">
        <v>6.575342465753424E-2</v>
      </c>
    </row>
    <row r="789" spans="2:6" x14ac:dyDescent="0.25">
      <c r="B789" s="33">
        <v>1</v>
      </c>
      <c r="C789" t="s">
        <v>74</v>
      </c>
      <c r="D789" t="s">
        <v>105</v>
      </c>
      <c r="E789">
        <v>8</v>
      </c>
      <c r="F789" s="2">
        <v>0.12054794520547946</v>
      </c>
    </row>
    <row r="790" spans="2:6" x14ac:dyDescent="0.25">
      <c r="B790" s="33">
        <v>1</v>
      </c>
      <c r="C790" t="s">
        <v>66</v>
      </c>
      <c r="D790" t="s">
        <v>107</v>
      </c>
      <c r="E790">
        <v>8</v>
      </c>
      <c r="F790" s="2">
        <v>7.9452054794520555E-2</v>
      </c>
    </row>
    <row r="791" spans="2:6" x14ac:dyDescent="0.25">
      <c r="B791" s="33">
        <v>1</v>
      </c>
      <c r="C791" t="s">
        <v>72</v>
      </c>
      <c r="D791" t="s">
        <v>76</v>
      </c>
      <c r="E791">
        <v>11</v>
      </c>
      <c r="F791" s="2">
        <v>8.4931506849315067E-2</v>
      </c>
    </row>
    <row r="792" spans="2:6" x14ac:dyDescent="0.25">
      <c r="B792" s="33">
        <v>1</v>
      </c>
      <c r="C792" t="s">
        <v>88</v>
      </c>
      <c r="D792" t="s">
        <v>134</v>
      </c>
      <c r="E792">
        <v>11</v>
      </c>
      <c r="F792" s="2">
        <v>0.11232876712328767</v>
      </c>
    </row>
    <row r="793" spans="2:6" x14ac:dyDescent="0.25">
      <c r="B793" s="33">
        <v>1</v>
      </c>
      <c r="C793" t="s">
        <v>74</v>
      </c>
      <c r="D793" t="s">
        <v>75</v>
      </c>
      <c r="E793">
        <v>8</v>
      </c>
      <c r="F793" s="2">
        <v>0.12054794520547946</v>
      </c>
    </row>
    <row r="794" spans="2:6" x14ac:dyDescent="0.25">
      <c r="B794" s="33">
        <v>1</v>
      </c>
      <c r="C794" t="s">
        <v>103</v>
      </c>
      <c r="D794" t="s">
        <v>158</v>
      </c>
      <c r="E794">
        <v>10</v>
      </c>
      <c r="F794" s="2">
        <v>6.575342465753424E-2</v>
      </c>
    </row>
    <row r="795" spans="2:6" x14ac:dyDescent="0.25">
      <c r="B795" s="33">
        <v>1</v>
      </c>
      <c r="C795" t="s">
        <v>88</v>
      </c>
      <c r="D795" t="s">
        <v>156</v>
      </c>
      <c r="E795">
        <v>8</v>
      </c>
      <c r="F795" s="2">
        <v>0.1095890410958904</v>
      </c>
    </row>
    <row r="796" spans="2:6" x14ac:dyDescent="0.25">
      <c r="B796" s="33">
        <v>1</v>
      </c>
      <c r="C796" t="s">
        <v>90</v>
      </c>
      <c r="D796" t="s">
        <v>109</v>
      </c>
      <c r="E796">
        <v>15</v>
      </c>
      <c r="F796" s="2">
        <v>0.1095890410958904</v>
      </c>
    </row>
    <row r="797" spans="2:6" x14ac:dyDescent="0.25">
      <c r="B797" s="33">
        <v>1</v>
      </c>
      <c r="C797" t="s">
        <v>74</v>
      </c>
      <c r="D797" t="s">
        <v>130</v>
      </c>
      <c r="E797">
        <v>8</v>
      </c>
      <c r="F797" s="2">
        <v>0.12054794520547946</v>
      </c>
    </row>
    <row r="798" spans="2:6" x14ac:dyDescent="0.25">
      <c r="B798" s="33">
        <v>1</v>
      </c>
      <c r="C798" t="s">
        <v>88</v>
      </c>
      <c r="D798" t="s">
        <v>134</v>
      </c>
      <c r="E798">
        <v>10</v>
      </c>
      <c r="F798" s="2">
        <v>0.10684931506849316</v>
      </c>
    </row>
    <row r="799" spans="2:6" x14ac:dyDescent="0.25">
      <c r="B799" s="33">
        <v>1</v>
      </c>
      <c r="C799" t="s">
        <v>77</v>
      </c>
      <c r="D799" t="s">
        <v>162</v>
      </c>
      <c r="E799">
        <v>11</v>
      </c>
      <c r="F799" s="2">
        <v>4.1095890410958902E-2</v>
      </c>
    </row>
    <row r="800" spans="2:6" x14ac:dyDescent="0.25">
      <c r="B800" s="33">
        <v>1</v>
      </c>
      <c r="C800" t="s">
        <v>6</v>
      </c>
      <c r="D800" t="s">
        <v>30</v>
      </c>
      <c r="E800">
        <v>22</v>
      </c>
      <c r="F800" s="2">
        <v>8.2191780821917804E-2</v>
      </c>
    </row>
    <row r="801" spans="2:6" x14ac:dyDescent="0.25">
      <c r="B801" s="33">
        <v>1</v>
      </c>
      <c r="C801" t="s">
        <v>64</v>
      </c>
      <c r="D801" t="s">
        <v>71</v>
      </c>
      <c r="E801">
        <v>16</v>
      </c>
      <c r="F801" s="2">
        <v>0.1095890410958904</v>
      </c>
    </row>
    <row r="802" spans="2:6" x14ac:dyDescent="0.25">
      <c r="B802" s="33">
        <v>1</v>
      </c>
      <c r="C802" t="s">
        <v>72</v>
      </c>
      <c r="D802" t="s">
        <v>187</v>
      </c>
      <c r="E802">
        <v>16</v>
      </c>
      <c r="F802" s="2">
        <v>9.8630136986301367E-2</v>
      </c>
    </row>
    <row r="803" spans="2:6" x14ac:dyDescent="0.25">
      <c r="B803" s="33">
        <v>1</v>
      </c>
      <c r="C803" t="s">
        <v>69</v>
      </c>
      <c r="D803" t="s">
        <v>70</v>
      </c>
      <c r="E803">
        <v>16</v>
      </c>
      <c r="F803" s="2">
        <v>3.287671232876712E-2</v>
      </c>
    </row>
    <row r="804" spans="2:6" x14ac:dyDescent="0.25">
      <c r="B804" s="33">
        <v>1</v>
      </c>
      <c r="C804" t="s">
        <v>66</v>
      </c>
      <c r="D804" t="s">
        <v>107</v>
      </c>
      <c r="E804">
        <v>17</v>
      </c>
      <c r="F804" s="2">
        <v>9.5890410958904104E-2</v>
      </c>
    </row>
    <row r="805" spans="2:6" x14ac:dyDescent="0.25">
      <c r="B805" s="33">
        <v>1</v>
      </c>
      <c r="C805" t="s">
        <v>1</v>
      </c>
      <c r="D805" t="s">
        <v>176</v>
      </c>
      <c r="E805">
        <v>18</v>
      </c>
      <c r="F805" s="2">
        <v>7.9452054794520555E-2</v>
      </c>
    </row>
    <row r="806" spans="2:6" x14ac:dyDescent="0.25">
      <c r="B806" s="33">
        <v>1</v>
      </c>
      <c r="C806" t="s">
        <v>69</v>
      </c>
      <c r="D806" t="s">
        <v>148</v>
      </c>
      <c r="E806">
        <v>16</v>
      </c>
      <c r="F806" s="2">
        <v>3.287671232876712E-2</v>
      </c>
    </row>
    <row r="807" spans="2:6" x14ac:dyDescent="0.25">
      <c r="B807" s="33">
        <v>1</v>
      </c>
      <c r="C807" t="s">
        <v>66</v>
      </c>
      <c r="D807" t="s">
        <v>93</v>
      </c>
      <c r="E807">
        <v>20</v>
      </c>
      <c r="F807" s="2">
        <v>9.3150684931506855E-2</v>
      </c>
    </row>
    <row r="808" spans="2:6" x14ac:dyDescent="0.25">
      <c r="B808" s="33">
        <v>1</v>
      </c>
      <c r="C808" t="s">
        <v>4</v>
      </c>
      <c r="D808" t="s">
        <v>106</v>
      </c>
      <c r="E808">
        <v>18</v>
      </c>
      <c r="F808" s="2">
        <v>7.3972602739726029E-2</v>
      </c>
    </row>
    <row r="809" spans="2:6" x14ac:dyDescent="0.25">
      <c r="B809" s="33">
        <v>1</v>
      </c>
      <c r="C809" t="s">
        <v>77</v>
      </c>
      <c r="D809" t="s">
        <v>78</v>
      </c>
      <c r="E809">
        <v>20</v>
      </c>
      <c r="F809" s="2">
        <v>4.6575342465753428E-2</v>
      </c>
    </row>
    <row r="810" spans="2:6" x14ac:dyDescent="0.25">
      <c r="B810" s="33">
        <v>1</v>
      </c>
      <c r="C810" t="s">
        <v>72</v>
      </c>
      <c r="D810" t="s">
        <v>73</v>
      </c>
      <c r="E810">
        <v>20</v>
      </c>
      <c r="F810" s="2">
        <v>9.5890410958904104E-2</v>
      </c>
    </row>
    <row r="811" spans="2:6" x14ac:dyDescent="0.25">
      <c r="B811" s="33">
        <v>1</v>
      </c>
      <c r="C811" t="s">
        <v>77</v>
      </c>
      <c r="D811" t="s">
        <v>78</v>
      </c>
      <c r="E811">
        <v>17</v>
      </c>
      <c r="F811" s="2">
        <v>4.6575342465753428E-2</v>
      </c>
    </row>
    <row r="812" spans="2:6" x14ac:dyDescent="0.25">
      <c r="B812" s="33">
        <v>1</v>
      </c>
      <c r="C812" t="s">
        <v>88</v>
      </c>
      <c r="D812" t="s">
        <v>156</v>
      </c>
      <c r="E812">
        <v>17</v>
      </c>
      <c r="F812" s="2">
        <v>8.4931506849315067E-2</v>
      </c>
    </row>
    <row r="813" spans="2:6" x14ac:dyDescent="0.25">
      <c r="B813" s="33">
        <v>1</v>
      </c>
      <c r="C813" t="s">
        <v>2</v>
      </c>
      <c r="D813" t="s">
        <v>170</v>
      </c>
      <c r="E813">
        <v>16</v>
      </c>
      <c r="F813" s="2">
        <v>3.8356164383561646E-2</v>
      </c>
    </row>
    <row r="814" spans="2:6" x14ac:dyDescent="0.25">
      <c r="B814" s="33">
        <v>1</v>
      </c>
      <c r="C814" t="s">
        <v>6</v>
      </c>
      <c r="D814" t="s">
        <v>42</v>
      </c>
      <c r="E814">
        <v>11</v>
      </c>
      <c r="F814" s="2">
        <v>8.2191780821917804E-2</v>
      </c>
    </row>
    <row r="815" spans="2:6" x14ac:dyDescent="0.25">
      <c r="B815" s="33">
        <v>1</v>
      </c>
      <c r="C815" t="s">
        <v>3</v>
      </c>
      <c r="D815" t="s">
        <v>188</v>
      </c>
      <c r="E815">
        <v>18</v>
      </c>
      <c r="F815" s="2">
        <v>4.3835616438356165E-2</v>
      </c>
    </row>
    <row r="816" spans="2:6" x14ac:dyDescent="0.25">
      <c r="B816" s="33">
        <v>1</v>
      </c>
      <c r="C816" t="s">
        <v>103</v>
      </c>
      <c r="D816" t="s">
        <v>137</v>
      </c>
      <c r="E816">
        <v>21</v>
      </c>
      <c r="F816" s="2">
        <v>4.9315068493150684E-2</v>
      </c>
    </row>
    <row r="817" spans="2:6" x14ac:dyDescent="0.25">
      <c r="B817" s="33">
        <v>1</v>
      </c>
      <c r="C817" t="s">
        <v>72</v>
      </c>
      <c r="D817" t="s">
        <v>125</v>
      </c>
      <c r="E817">
        <v>18</v>
      </c>
      <c r="F817" s="2">
        <v>9.5890410958904104E-2</v>
      </c>
    </row>
    <row r="818" spans="2:6" x14ac:dyDescent="0.25">
      <c r="B818" s="33">
        <v>1</v>
      </c>
      <c r="C818" t="s">
        <v>126</v>
      </c>
      <c r="D818" t="s">
        <v>131</v>
      </c>
      <c r="E818">
        <v>17</v>
      </c>
      <c r="F818" s="2">
        <v>6.3013698630136991E-2</v>
      </c>
    </row>
    <row r="819" spans="2:6" x14ac:dyDescent="0.25">
      <c r="B819" s="33">
        <v>1</v>
      </c>
      <c r="C819" t="s">
        <v>90</v>
      </c>
      <c r="D819" t="s">
        <v>120</v>
      </c>
      <c r="E819">
        <v>17</v>
      </c>
      <c r="F819" s="2">
        <v>9.0410958904109592E-2</v>
      </c>
    </row>
    <row r="820" spans="2:6" x14ac:dyDescent="0.25">
      <c r="B820" s="33">
        <v>1</v>
      </c>
      <c r="C820" t="s">
        <v>74</v>
      </c>
      <c r="D820" t="s">
        <v>130</v>
      </c>
      <c r="E820">
        <v>0</v>
      </c>
      <c r="F820" s="2">
        <v>5.7534246575342465E-2</v>
      </c>
    </row>
    <row r="821" spans="2:6" x14ac:dyDescent="0.25">
      <c r="B821" s="33">
        <v>1</v>
      </c>
      <c r="C821" t="s">
        <v>88</v>
      </c>
      <c r="D821" t="s">
        <v>156</v>
      </c>
      <c r="E821">
        <v>7</v>
      </c>
      <c r="F821" s="2">
        <v>6.3013698630136991E-2</v>
      </c>
    </row>
    <row r="822" spans="2:6" x14ac:dyDescent="0.25">
      <c r="B822" s="33">
        <v>1</v>
      </c>
      <c r="C822" t="s">
        <v>88</v>
      </c>
      <c r="D822" t="s">
        <v>117</v>
      </c>
      <c r="E822">
        <v>1</v>
      </c>
      <c r="F822" s="2">
        <v>5.4794520547945202E-2</v>
      </c>
    </row>
    <row r="823" spans="2:6" x14ac:dyDescent="0.25">
      <c r="B823" s="33">
        <v>1</v>
      </c>
      <c r="C823" t="s">
        <v>1</v>
      </c>
      <c r="D823" t="s">
        <v>82</v>
      </c>
      <c r="E823">
        <v>1</v>
      </c>
      <c r="F823" s="2">
        <v>4.1095890410958902E-2</v>
      </c>
    </row>
    <row r="824" spans="2:6" x14ac:dyDescent="0.25">
      <c r="B824" s="33">
        <v>1</v>
      </c>
      <c r="C824" t="s">
        <v>66</v>
      </c>
      <c r="D824" t="s">
        <v>129</v>
      </c>
      <c r="E824">
        <v>6</v>
      </c>
      <c r="F824" s="2">
        <v>4.6575342465753428E-2</v>
      </c>
    </row>
    <row r="825" spans="2:6" x14ac:dyDescent="0.25">
      <c r="B825" s="33">
        <v>1</v>
      </c>
      <c r="C825" t="s">
        <v>103</v>
      </c>
      <c r="D825" t="s">
        <v>45</v>
      </c>
      <c r="E825">
        <v>7</v>
      </c>
      <c r="F825" s="2">
        <v>2.1917808219178082E-2</v>
      </c>
    </row>
    <row r="826" spans="2:6" x14ac:dyDescent="0.25">
      <c r="B826" s="33">
        <v>1</v>
      </c>
      <c r="C826" t="s">
        <v>88</v>
      </c>
      <c r="D826" t="s">
        <v>117</v>
      </c>
      <c r="E826">
        <v>6</v>
      </c>
      <c r="F826" s="2">
        <v>5.4794520547945202E-2</v>
      </c>
    </row>
    <row r="827" spans="2:6" x14ac:dyDescent="0.25">
      <c r="B827" s="33">
        <v>1</v>
      </c>
      <c r="C827" t="s">
        <v>1</v>
      </c>
      <c r="D827" t="s">
        <v>110</v>
      </c>
      <c r="E827">
        <v>6</v>
      </c>
      <c r="F827" s="2">
        <v>3.8356164383561646E-2</v>
      </c>
    </row>
    <row r="828" spans="2:6" x14ac:dyDescent="0.25">
      <c r="B828" s="33">
        <v>1</v>
      </c>
      <c r="C828" t="s">
        <v>103</v>
      </c>
      <c r="D828" t="s">
        <v>137</v>
      </c>
      <c r="E828">
        <v>7</v>
      </c>
      <c r="F828" s="2">
        <v>3.287671232876712E-2</v>
      </c>
    </row>
    <row r="829" spans="2:6" x14ac:dyDescent="0.25">
      <c r="B829" s="33">
        <v>1</v>
      </c>
      <c r="C829" t="s">
        <v>88</v>
      </c>
      <c r="D829" t="s">
        <v>156</v>
      </c>
      <c r="E829">
        <v>11</v>
      </c>
      <c r="F829" s="2">
        <v>0.10684931506849316</v>
      </c>
    </row>
    <row r="830" spans="2:6" x14ac:dyDescent="0.25">
      <c r="B830" s="33">
        <v>1</v>
      </c>
      <c r="C830" t="s">
        <v>64</v>
      </c>
      <c r="D830" t="s">
        <v>65</v>
      </c>
      <c r="E830">
        <v>11</v>
      </c>
      <c r="F830" s="2">
        <v>9.0410958904109592E-2</v>
      </c>
    </row>
    <row r="831" spans="2:6" x14ac:dyDescent="0.25">
      <c r="B831" s="33">
        <v>1</v>
      </c>
      <c r="C831" t="s">
        <v>1</v>
      </c>
      <c r="D831" t="s">
        <v>143</v>
      </c>
      <c r="E831">
        <v>13</v>
      </c>
      <c r="F831" s="2">
        <v>9.0410958904109592E-2</v>
      </c>
    </row>
    <row r="832" spans="2:6" x14ac:dyDescent="0.25">
      <c r="B832" s="33">
        <v>1</v>
      </c>
      <c r="C832" t="s">
        <v>64</v>
      </c>
      <c r="D832" t="s">
        <v>121</v>
      </c>
      <c r="E832">
        <v>14</v>
      </c>
      <c r="F832" s="2">
        <v>9.0410958904109592E-2</v>
      </c>
    </row>
    <row r="833" spans="2:6" x14ac:dyDescent="0.25">
      <c r="B833" s="33">
        <v>1</v>
      </c>
      <c r="C833" t="s">
        <v>69</v>
      </c>
      <c r="D833" t="s">
        <v>86</v>
      </c>
      <c r="E833">
        <v>13</v>
      </c>
      <c r="F833" s="2">
        <v>3.5616438356164383E-2</v>
      </c>
    </row>
    <row r="834" spans="2:6" x14ac:dyDescent="0.25">
      <c r="B834" s="33">
        <v>1</v>
      </c>
      <c r="C834" t="s">
        <v>6</v>
      </c>
      <c r="D834" t="s">
        <v>23</v>
      </c>
      <c r="E834">
        <v>13</v>
      </c>
      <c r="F834" s="2">
        <v>8.2191780821917804E-2</v>
      </c>
    </row>
    <row r="835" spans="2:6" x14ac:dyDescent="0.25">
      <c r="B835" s="33">
        <v>1</v>
      </c>
      <c r="C835" t="s">
        <v>74</v>
      </c>
      <c r="D835" t="s">
        <v>130</v>
      </c>
      <c r="E835">
        <v>9</v>
      </c>
      <c r="F835" s="2">
        <v>0.12054794520547946</v>
      </c>
    </row>
    <row r="836" spans="2:6" x14ac:dyDescent="0.25">
      <c r="B836" s="33">
        <v>1</v>
      </c>
      <c r="C836" t="s">
        <v>72</v>
      </c>
      <c r="D836" t="s">
        <v>125</v>
      </c>
      <c r="E836">
        <v>8</v>
      </c>
      <c r="F836" s="2">
        <v>8.2191780821917804E-2</v>
      </c>
    </row>
    <row r="837" spans="2:6" x14ac:dyDescent="0.25">
      <c r="B837" s="33">
        <v>1</v>
      </c>
      <c r="C837" t="s">
        <v>77</v>
      </c>
      <c r="D837" t="s">
        <v>145</v>
      </c>
      <c r="E837">
        <v>11</v>
      </c>
      <c r="F837" s="2">
        <v>4.1095890410958902E-2</v>
      </c>
    </row>
    <row r="838" spans="2:6" x14ac:dyDescent="0.25">
      <c r="B838" s="33">
        <v>1</v>
      </c>
      <c r="C838" t="s">
        <v>74</v>
      </c>
      <c r="D838" t="s">
        <v>105</v>
      </c>
      <c r="E838">
        <v>10</v>
      </c>
      <c r="F838" s="2">
        <v>0.11780821917808219</v>
      </c>
    </row>
    <row r="839" spans="2:6" x14ac:dyDescent="0.25">
      <c r="B839" s="33">
        <v>1</v>
      </c>
      <c r="C839" t="s">
        <v>6</v>
      </c>
      <c r="D839" t="s">
        <v>21</v>
      </c>
      <c r="E839">
        <v>21</v>
      </c>
      <c r="F839" s="2">
        <v>8.2191780821917804E-2</v>
      </c>
    </row>
    <row r="840" spans="2:6" x14ac:dyDescent="0.25">
      <c r="B840" s="33">
        <v>1</v>
      </c>
      <c r="C840" t="s">
        <v>1</v>
      </c>
      <c r="D840" t="s">
        <v>112</v>
      </c>
      <c r="E840">
        <v>15</v>
      </c>
      <c r="F840" s="2">
        <v>9.0410958904109592E-2</v>
      </c>
    </row>
    <row r="841" spans="2:6" x14ac:dyDescent="0.25">
      <c r="B841" s="33">
        <v>1</v>
      </c>
      <c r="C841" t="s">
        <v>1</v>
      </c>
      <c r="D841" t="s">
        <v>144</v>
      </c>
      <c r="E841">
        <v>9</v>
      </c>
      <c r="F841" s="2">
        <v>9.0410958904109592E-2</v>
      </c>
    </row>
    <row r="842" spans="2:6" x14ac:dyDescent="0.25">
      <c r="B842" s="33">
        <v>1</v>
      </c>
      <c r="C842" t="s">
        <v>64</v>
      </c>
      <c r="D842" t="s">
        <v>116</v>
      </c>
      <c r="E842">
        <v>12</v>
      </c>
      <c r="F842" s="2">
        <v>9.0410958904109592E-2</v>
      </c>
    </row>
    <row r="843" spans="2:6" x14ac:dyDescent="0.25">
      <c r="B843" s="33">
        <v>1</v>
      </c>
      <c r="C843" t="s">
        <v>77</v>
      </c>
      <c r="D843" t="s">
        <v>142</v>
      </c>
      <c r="E843">
        <v>13</v>
      </c>
      <c r="F843" s="2">
        <v>4.1095890410958902E-2</v>
      </c>
    </row>
    <row r="844" spans="2:6" x14ac:dyDescent="0.25">
      <c r="B844" s="33">
        <v>1</v>
      </c>
      <c r="C844" t="s">
        <v>72</v>
      </c>
      <c r="D844" t="s">
        <v>73</v>
      </c>
      <c r="E844">
        <v>14</v>
      </c>
      <c r="F844" s="2">
        <v>8.2191780821917804E-2</v>
      </c>
    </row>
    <row r="845" spans="2:6" x14ac:dyDescent="0.25">
      <c r="B845" s="33">
        <v>1</v>
      </c>
      <c r="C845" t="s">
        <v>72</v>
      </c>
      <c r="D845" t="s">
        <v>125</v>
      </c>
      <c r="E845">
        <v>10</v>
      </c>
      <c r="F845" s="2">
        <v>7.9452054794520555E-2</v>
      </c>
    </row>
    <row r="846" spans="2:6" x14ac:dyDescent="0.25">
      <c r="B846" s="33">
        <v>1</v>
      </c>
      <c r="C846" t="s">
        <v>1</v>
      </c>
      <c r="D846" t="s">
        <v>155</v>
      </c>
      <c r="E846">
        <v>15</v>
      </c>
      <c r="F846" s="2">
        <v>8.7671232876712329E-2</v>
      </c>
    </row>
    <row r="847" spans="2:6" x14ac:dyDescent="0.25">
      <c r="B847" s="33">
        <v>1</v>
      </c>
      <c r="C847" t="s">
        <v>2</v>
      </c>
      <c r="D847" t="s">
        <v>102</v>
      </c>
      <c r="E847">
        <v>12</v>
      </c>
      <c r="F847" s="2">
        <v>3.8356164383561646E-2</v>
      </c>
    </row>
    <row r="848" spans="2:6" x14ac:dyDescent="0.25">
      <c r="B848" s="33">
        <v>1</v>
      </c>
      <c r="C848" t="s">
        <v>0</v>
      </c>
      <c r="D848" t="s">
        <v>133</v>
      </c>
      <c r="E848">
        <v>12</v>
      </c>
      <c r="F848" s="2">
        <v>0.1095890410958904</v>
      </c>
    </row>
    <row r="849" spans="2:6" x14ac:dyDescent="0.25">
      <c r="B849" s="33">
        <v>1</v>
      </c>
      <c r="C849" t="s">
        <v>0</v>
      </c>
      <c r="D849" t="s">
        <v>133</v>
      </c>
      <c r="E849">
        <v>15</v>
      </c>
      <c r="F849" s="2">
        <v>0.10410958904109589</v>
      </c>
    </row>
    <row r="850" spans="2:6" x14ac:dyDescent="0.25">
      <c r="B850" s="33">
        <v>1</v>
      </c>
      <c r="C850" t="s">
        <v>66</v>
      </c>
      <c r="D850" t="s">
        <v>93</v>
      </c>
      <c r="E850">
        <v>8</v>
      </c>
      <c r="F850" s="2">
        <v>7.9452054794520555E-2</v>
      </c>
    </row>
    <row r="851" spans="2:6" x14ac:dyDescent="0.25">
      <c r="B851" s="33">
        <v>1</v>
      </c>
      <c r="C851" t="s">
        <v>66</v>
      </c>
      <c r="D851" t="s">
        <v>107</v>
      </c>
      <c r="E851">
        <v>14</v>
      </c>
      <c r="F851" s="2">
        <v>7.9452054794520555E-2</v>
      </c>
    </row>
    <row r="852" spans="2:6" x14ac:dyDescent="0.25">
      <c r="B852" s="33">
        <v>1</v>
      </c>
      <c r="C852" t="s">
        <v>0</v>
      </c>
      <c r="D852" t="s">
        <v>111</v>
      </c>
      <c r="E852">
        <v>14</v>
      </c>
      <c r="F852" s="2">
        <v>0.10136986301369863</v>
      </c>
    </row>
    <row r="853" spans="2:6" x14ac:dyDescent="0.25">
      <c r="B853" s="33">
        <v>1</v>
      </c>
      <c r="C853" t="s">
        <v>6</v>
      </c>
      <c r="D853" t="s">
        <v>34</v>
      </c>
      <c r="E853">
        <v>7</v>
      </c>
      <c r="F853" s="2">
        <v>8.2191780821917804E-2</v>
      </c>
    </row>
    <row r="854" spans="2:6" x14ac:dyDescent="0.25">
      <c r="B854" s="33">
        <v>1</v>
      </c>
      <c r="C854" t="s">
        <v>90</v>
      </c>
      <c r="D854" t="s">
        <v>164</v>
      </c>
      <c r="E854">
        <v>9</v>
      </c>
      <c r="F854" s="2">
        <v>0.1095890410958904</v>
      </c>
    </row>
    <row r="855" spans="2:6" x14ac:dyDescent="0.25">
      <c r="B855" s="33">
        <v>1</v>
      </c>
      <c r="C855" t="s">
        <v>69</v>
      </c>
      <c r="D855" t="s">
        <v>140</v>
      </c>
      <c r="E855">
        <v>8</v>
      </c>
      <c r="F855" s="2">
        <v>3.5616438356164383E-2</v>
      </c>
    </row>
    <row r="856" spans="2:6" x14ac:dyDescent="0.25">
      <c r="B856" s="33">
        <v>1</v>
      </c>
      <c r="C856" t="s">
        <v>66</v>
      </c>
      <c r="D856" t="s">
        <v>107</v>
      </c>
      <c r="E856">
        <v>12</v>
      </c>
      <c r="F856" s="2">
        <v>7.9452054794520555E-2</v>
      </c>
    </row>
    <row r="857" spans="2:6" x14ac:dyDescent="0.25">
      <c r="B857" s="33">
        <v>1</v>
      </c>
      <c r="C857" t="s">
        <v>64</v>
      </c>
      <c r="D857" t="s">
        <v>115</v>
      </c>
      <c r="E857">
        <v>12</v>
      </c>
      <c r="F857" s="2">
        <v>9.0410958904109592E-2</v>
      </c>
    </row>
    <row r="858" spans="2:6" x14ac:dyDescent="0.25">
      <c r="B858" s="33">
        <v>1</v>
      </c>
      <c r="C858" t="s">
        <v>6</v>
      </c>
      <c r="D858" t="s">
        <v>28</v>
      </c>
      <c r="E858">
        <v>14</v>
      </c>
      <c r="F858" s="2">
        <v>7.9452054794520555E-2</v>
      </c>
    </row>
    <row r="859" spans="2:6" x14ac:dyDescent="0.25">
      <c r="B859" s="33">
        <v>1</v>
      </c>
      <c r="C859" t="s">
        <v>103</v>
      </c>
      <c r="D859" t="s">
        <v>158</v>
      </c>
      <c r="E859">
        <v>9</v>
      </c>
      <c r="F859" s="2">
        <v>6.575342465753424E-2</v>
      </c>
    </row>
    <row r="860" spans="2:6" x14ac:dyDescent="0.25">
      <c r="B860" s="33">
        <v>1</v>
      </c>
      <c r="C860" t="s">
        <v>69</v>
      </c>
      <c r="D860" t="s">
        <v>159</v>
      </c>
      <c r="E860">
        <v>10</v>
      </c>
      <c r="F860" s="2">
        <v>3.5616438356164383E-2</v>
      </c>
    </row>
    <row r="861" spans="2:6" x14ac:dyDescent="0.25">
      <c r="B861" s="33">
        <v>1</v>
      </c>
      <c r="C861" t="s">
        <v>3</v>
      </c>
      <c r="D861" t="s">
        <v>100</v>
      </c>
      <c r="E861">
        <v>15</v>
      </c>
      <c r="F861" s="2">
        <v>5.2054794520547946E-2</v>
      </c>
    </row>
    <row r="862" spans="2:6" x14ac:dyDescent="0.25">
      <c r="B862" s="33">
        <v>1</v>
      </c>
      <c r="C862" t="s">
        <v>90</v>
      </c>
      <c r="D862" t="s">
        <v>164</v>
      </c>
      <c r="E862">
        <v>11</v>
      </c>
      <c r="F862" s="2">
        <v>0.10684931506849316</v>
      </c>
    </row>
    <row r="863" spans="2:6" x14ac:dyDescent="0.25">
      <c r="B863" s="33">
        <v>1</v>
      </c>
      <c r="C863" t="s">
        <v>66</v>
      </c>
      <c r="D863" t="s">
        <v>151</v>
      </c>
      <c r="E863">
        <v>15</v>
      </c>
      <c r="F863" s="2">
        <v>7.6712328767123292E-2</v>
      </c>
    </row>
    <row r="864" spans="2:6" x14ac:dyDescent="0.25">
      <c r="B864" s="33">
        <v>1</v>
      </c>
      <c r="C864" t="s">
        <v>74</v>
      </c>
      <c r="D864" t="s">
        <v>174</v>
      </c>
      <c r="E864">
        <v>16</v>
      </c>
      <c r="F864" s="2">
        <v>0.10410958904109589</v>
      </c>
    </row>
    <row r="865" spans="2:6" x14ac:dyDescent="0.25">
      <c r="B865" s="33">
        <v>1</v>
      </c>
      <c r="C865" t="s">
        <v>69</v>
      </c>
      <c r="D865" t="s">
        <v>128</v>
      </c>
      <c r="E865">
        <v>16</v>
      </c>
      <c r="F865" s="2">
        <v>3.287671232876712E-2</v>
      </c>
    </row>
    <row r="866" spans="2:6" x14ac:dyDescent="0.25">
      <c r="B866" s="33">
        <v>1</v>
      </c>
      <c r="C866" t="s">
        <v>1</v>
      </c>
      <c r="D866" t="s">
        <v>189</v>
      </c>
      <c r="E866">
        <v>16</v>
      </c>
      <c r="F866" s="2">
        <v>7.9452054794520555E-2</v>
      </c>
    </row>
    <row r="867" spans="2:6" x14ac:dyDescent="0.25">
      <c r="B867" s="33">
        <v>1</v>
      </c>
      <c r="C867" t="s">
        <v>66</v>
      </c>
      <c r="D867" t="s">
        <v>122</v>
      </c>
      <c r="E867">
        <v>21</v>
      </c>
      <c r="F867" s="2">
        <v>9.0410958904109592E-2</v>
      </c>
    </row>
    <row r="868" spans="2:6" x14ac:dyDescent="0.25">
      <c r="B868" s="33">
        <v>1</v>
      </c>
      <c r="C868" t="s">
        <v>6</v>
      </c>
      <c r="D868" t="s">
        <v>34</v>
      </c>
      <c r="E868">
        <v>8</v>
      </c>
      <c r="F868" s="2">
        <v>7.9452054794520555E-2</v>
      </c>
    </row>
    <row r="869" spans="2:6" x14ac:dyDescent="0.25">
      <c r="B869" s="33">
        <v>1</v>
      </c>
      <c r="C869" t="s">
        <v>77</v>
      </c>
      <c r="D869" t="s">
        <v>101</v>
      </c>
      <c r="E869">
        <v>18</v>
      </c>
      <c r="F869" s="2">
        <v>4.3835616438356165E-2</v>
      </c>
    </row>
    <row r="870" spans="2:6" x14ac:dyDescent="0.25">
      <c r="B870" s="33">
        <v>1</v>
      </c>
      <c r="C870" t="s">
        <v>103</v>
      </c>
      <c r="D870" t="s">
        <v>167</v>
      </c>
      <c r="E870">
        <v>16</v>
      </c>
      <c r="F870" s="2">
        <v>4.6575342465753428E-2</v>
      </c>
    </row>
    <row r="871" spans="2:6" x14ac:dyDescent="0.25">
      <c r="B871" s="33">
        <v>1</v>
      </c>
      <c r="C871" t="s">
        <v>69</v>
      </c>
      <c r="D871" t="s">
        <v>183</v>
      </c>
      <c r="E871">
        <v>16</v>
      </c>
      <c r="F871" s="2">
        <v>3.287671232876712E-2</v>
      </c>
    </row>
    <row r="872" spans="2:6" x14ac:dyDescent="0.25">
      <c r="B872" s="33">
        <v>1</v>
      </c>
      <c r="C872" t="s">
        <v>1</v>
      </c>
      <c r="D872" t="s">
        <v>144</v>
      </c>
      <c r="E872">
        <v>16</v>
      </c>
      <c r="F872" s="2">
        <v>7.6712328767123292E-2</v>
      </c>
    </row>
    <row r="873" spans="2:6" x14ac:dyDescent="0.25">
      <c r="B873" s="33">
        <v>1</v>
      </c>
      <c r="C873" t="s">
        <v>69</v>
      </c>
      <c r="D873" t="s">
        <v>190</v>
      </c>
      <c r="E873">
        <v>19</v>
      </c>
      <c r="F873" s="2">
        <v>3.287671232876712E-2</v>
      </c>
    </row>
    <row r="874" spans="2:6" x14ac:dyDescent="0.25">
      <c r="B874" s="33">
        <v>1</v>
      </c>
      <c r="C874" t="s">
        <v>3</v>
      </c>
      <c r="D874" t="s">
        <v>100</v>
      </c>
      <c r="E874">
        <v>20</v>
      </c>
      <c r="F874" s="2">
        <v>4.3835616438356165E-2</v>
      </c>
    </row>
    <row r="875" spans="2:6" x14ac:dyDescent="0.25">
      <c r="B875" s="33">
        <v>1</v>
      </c>
      <c r="C875" t="s">
        <v>69</v>
      </c>
      <c r="D875" t="s">
        <v>132</v>
      </c>
      <c r="E875">
        <v>21</v>
      </c>
      <c r="F875" s="2">
        <v>3.287671232876712E-2</v>
      </c>
    </row>
    <row r="876" spans="2:6" x14ac:dyDescent="0.25">
      <c r="B876" s="33">
        <v>1</v>
      </c>
      <c r="C876" t="s">
        <v>69</v>
      </c>
      <c r="D876" t="s">
        <v>86</v>
      </c>
      <c r="E876">
        <v>21</v>
      </c>
      <c r="F876" s="2">
        <v>3.0136986301369864E-2</v>
      </c>
    </row>
    <row r="877" spans="2:6" x14ac:dyDescent="0.25">
      <c r="B877" s="33">
        <v>1</v>
      </c>
      <c r="C877" t="s">
        <v>3</v>
      </c>
      <c r="D877" t="s">
        <v>84</v>
      </c>
      <c r="E877">
        <v>19</v>
      </c>
      <c r="F877" s="2">
        <v>4.1095890410958902E-2</v>
      </c>
    </row>
    <row r="878" spans="2:6" x14ac:dyDescent="0.25">
      <c r="B878" s="33">
        <v>1</v>
      </c>
      <c r="C878" t="s">
        <v>64</v>
      </c>
      <c r="D878" t="s">
        <v>116</v>
      </c>
      <c r="E878">
        <v>18</v>
      </c>
      <c r="F878" s="2">
        <v>0.12328767123287671</v>
      </c>
    </row>
    <row r="879" spans="2:6" x14ac:dyDescent="0.25">
      <c r="B879" s="33">
        <v>1</v>
      </c>
      <c r="C879" t="s">
        <v>6</v>
      </c>
      <c r="D879" t="s">
        <v>21</v>
      </c>
      <c r="E879">
        <v>8</v>
      </c>
      <c r="F879" s="2">
        <v>7.9452054794520555E-2</v>
      </c>
    </row>
    <row r="880" spans="2:6" x14ac:dyDescent="0.25">
      <c r="B880" s="33">
        <v>1</v>
      </c>
      <c r="C880" t="s">
        <v>74</v>
      </c>
      <c r="D880" t="s">
        <v>130</v>
      </c>
      <c r="E880">
        <v>22</v>
      </c>
      <c r="F880" s="2">
        <v>9.5890410958904104E-2</v>
      </c>
    </row>
    <row r="881" spans="2:6" x14ac:dyDescent="0.25">
      <c r="B881" s="33">
        <v>1</v>
      </c>
      <c r="C881" t="s">
        <v>77</v>
      </c>
      <c r="D881" t="s">
        <v>78</v>
      </c>
      <c r="E881">
        <v>21</v>
      </c>
      <c r="F881" s="2">
        <v>4.3835616438356165E-2</v>
      </c>
    </row>
    <row r="882" spans="2:6" x14ac:dyDescent="0.25">
      <c r="B882" s="33">
        <v>1</v>
      </c>
      <c r="C882" t="s">
        <v>64</v>
      </c>
      <c r="D882" t="s">
        <v>116</v>
      </c>
      <c r="E882">
        <v>19</v>
      </c>
      <c r="F882" s="2">
        <v>7.9452054794520555E-2</v>
      </c>
    </row>
    <row r="883" spans="2:6" x14ac:dyDescent="0.25">
      <c r="B883" s="33">
        <v>1</v>
      </c>
      <c r="C883" t="s">
        <v>3</v>
      </c>
      <c r="D883" t="s">
        <v>84</v>
      </c>
      <c r="E883">
        <v>21</v>
      </c>
      <c r="F883" s="2">
        <v>4.1095890410958902E-2</v>
      </c>
    </row>
    <row r="884" spans="2:6" x14ac:dyDescent="0.25">
      <c r="B884" s="33">
        <v>1</v>
      </c>
      <c r="C884" t="s">
        <v>69</v>
      </c>
      <c r="D884" t="s">
        <v>86</v>
      </c>
      <c r="E884">
        <v>17</v>
      </c>
      <c r="F884" s="2">
        <v>3.0136986301369864E-2</v>
      </c>
    </row>
    <row r="885" spans="2:6" x14ac:dyDescent="0.25">
      <c r="B885" s="33">
        <v>1</v>
      </c>
      <c r="C885" t="s">
        <v>1</v>
      </c>
      <c r="D885" t="s">
        <v>152</v>
      </c>
      <c r="E885">
        <v>17</v>
      </c>
      <c r="F885" s="2">
        <v>7.6712328767123292E-2</v>
      </c>
    </row>
    <row r="886" spans="2:6" x14ac:dyDescent="0.25">
      <c r="B886" s="33">
        <v>1</v>
      </c>
      <c r="C886" t="s">
        <v>6</v>
      </c>
      <c r="D886" t="s">
        <v>32</v>
      </c>
      <c r="E886">
        <v>21</v>
      </c>
      <c r="F886" s="2">
        <v>7.9452054794520555E-2</v>
      </c>
    </row>
    <row r="887" spans="2:6" x14ac:dyDescent="0.25">
      <c r="B887" s="33">
        <v>1</v>
      </c>
      <c r="C887" t="s">
        <v>6</v>
      </c>
      <c r="D887" t="s">
        <v>42</v>
      </c>
      <c r="E887">
        <v>15</v>
      </c>
      <c r="F887" s="2">
        <v>7.6712328767123292E-2</v>
      </c>
    </row>
    <row r="888" spans="2:6" x14ac:dyDescent="0.25">
      <c r="B888" s="33">
        <v>1</v>
      </c>
      <c r="C888" t="s">
        <v>77</v>
      </c>
      <c r="D888" t="s">
        <v>145</v>
      </c>
      <c r="E888">
        <v>17</v>
      </c>
      <c r="F888" s="2">
        <v>4.1095890410958902E-2</v>
      </c>
    </row>
    <row r="889" spans="2:6" x14ac:dyDescent="0.25">
      <c r="B889" s="33">
        <v>1</v>
      </c>
      <c r="C889" t="s">
        <v>6</v>
      </c>
      <c r="D889" t="s">
        <v>25</v>
      </c>
      <c r="E889">
        <v>19</v>
      </c>
      <c r="F889" s="2">
        <v>7.6712328767123292E-2</v>
      </c>
    </row>
    <row r="890" spans="2:6" x14ac:dyDescent="0.25">
      <c r="B890" s="33">
        <v>1</v>
      </c>
      <c r="C890" t="s">
        <v>3</v>
      </c>
      <c r="D890" t="s">
        <v>191</v>
      </c>
      <c r="E890">
        <v>17</v>
      </c>
      <c r="F890" s="2">
        <v>4.1095890410958902E-2</v>
      </c>
    </row>
    <row r="891" spans="2:6" x14ac:dyDescent="0.25">
      <c r="B891" s="33">
        <v>1</v>
      </c>
      <c r="C891" t="s">
        <v>1</v>
      </c>
      <c r="D891" t="s">
        <v>143</v>
      </c>
      <c r="E891">
        <v>19</v>
      </c>
      <c r="F891" s="2">
        <v>7.3972602739726029E-2</v>
      </c>
    </row>
    <row r="892" spans="2:6" x14ac:dyDescent="0.25">
      <c r="B892" s="33">
        <v>1</v>
      </c>
      <c r="C892" t="s">
        <v>1</v>
      </c>
      <c r="D892" t="s">
        <v>155</v>
      </c>
      <c r="E892">
        <v>20</v>
      </c>
      <c r="F892" s="2">
        <v>7.1232876712328766E-2</v>
      </c>
    </row>
    <row r="893" spans="2:6" x14ac:dyDescent="0.25">
      <c r="B893" s="33">
        <v>1</v>
      </c>
      <c r="C893" t="s">
        <v>6</v>
      </c>
      <c r="D893" t="s">
        <v>34</v>
      </c>
      <c r="E893">
        <v>20</v>
      </c>
      <c r="F893" s="2">
        <v>7.6712328767123292E-2</v>
      </c>
    </row>
    <row r="894" spans="2:6" x14ac:dyDescent="0.25">
      <c r="B894" s="33">
        <v>1</v>
      </c>
      <c r="C894" t="s">
        <v>64</v>
      </c>
      <c r="D894" t="s">
        <v>65</v>
      </c>
      <c r="E894">
        <v>21</v>
      </c>
      <c r="F894" s="2">
        <v>6.0273972602739728E-2</v>
      </c>
    </row>
    <row r="895" spans="2:6" x14ac:dyDescent="0.25">
      <c r="B895" s="33">
        <v>1</v>
      </c>
      <c r="C895" t="s">
        <v>64</v>
      </c>
      <c r="D895" t="s">
        <v>121</v>
      </c>
      <c r="E895">
        <v>21</v>
      </c>
      <c r="F895" s="2">
        <v>7.6712328767123292E-2</v>
      </c>
    </row>
    <row r="896" spans="2:6" x14ac:dyDescent="0.25">
      <c r="B896" s="33">
        <v>1</v>
      </c>
      <c r="C896" t="s">
        <v>6</v>
      </c>
      <c r="D896" t="s">
        <v>23</v>
      </c>
      <c r="E896">
        <v>14</v>
      </c>
      <c r="F896" s="2">
        <v>7.3972602739726029E-2</v>
      </c>
    </row>
    <row r="897" spans="2:6" x14ac:dyDescent="0.25">
      <c r="B897" s="33">
        <v>1</v>
      </c>
      <c r="C897" t="s">
        <v>72</v>
      </c>
      <c r="D897" t="s">
        <v>163</v>
      </c>
      <c r="E897">
        <v>16</v>
      </c>
      <c r="F897" s="2">
        <v>9.3150684931506855E-2</v>
      </c>
    </row>
    <row r="898" spans="2:6" x14ac:dyDescent="0.25">
      <c r="B898" s="33">
        <v>1</v>
      </c>
      <c r="C898" t="s">
        <v>64</v>
      </c>
      <c r="D898" t="s">
        <v>116</v>
      </c>
      <c r="E898">
        <v>23</v>
      </c>
      <c r="F898" s="2">
        <v>3.8356164383561646E-2</v>
      </c>
    </row>
    <row r="899" spans="2:6" x14ac:dyDescent="0.25">
      <c r="B899" s="33">
        <v>1</v>
      </c>
      <c r="C899" t="s">
        <v>69</v>
      </c>
      <c r="D899" t="s">
        <v>132</v>
      </c>
      <c r="E899">
        <v>7</v>
      </c>
      <c r="F899" s="2">
        <v>2.7397260273972601E-2</v>
      </c>
    </row>
    <row r="900" spans="2:6" x14ac:dyDescent="0.25">
      <c r="B900" s="33">
        <v>1</v>
      </c>
      <c r="C900" t="s">
        <v>72</v>
      </c>
      <c r="D900" t="s">
        <v>73</v>
      </c>
      <c r="E900">
        <v>0</v>
      </c>
      <c r="F900" s="2">
        <v>6.3013698630136991E-2</v>
      </c>
    </row>
    <row r="901" spans="2:6" x14ac:dyDescent="0.25">
      <c r="B901" s="33">
        <v>1</v>
      </c>
      <c r="C901" t="s">
        <v>90</v>
      </c>
      <c r="D901" t="s">
        <v>109</v>
      </c>
      <c r="E901">
        <v>1</v>
      </c>
      <c r="F901" s="2">
        <v>4.9315068493150684E-2</v>
      </c>
    </row>
    <row r="902" spans="2:6" x14ac:dyDescent="0.25">
      <c r="B902" s="33">
        <v>1</v>
      </c>
      <c r="C902" t="s">
        <v>0</v>
      </c>
      <c r="D902" t="s">
        <v>111</v>
      </c>
      <c r="E902">
        <v>0</v>
      </c>
      <c r="F902" s="2">
        <v>5.2054794520547946E-2</v>
      </c>
    </row>
    <row r="903" spans="2:6" x14ac:dyDescent="0.25">
      <c r="B903" s="33">
        <v>1</v>
      </c>
      <c r="C903" t="s">
        <v>1</v>
      </c>
      <c r="D903" t="s">
        <v>92</v>
      </c>
      <c r="E903">
        <v>0</v>
      </c>
      <c r="F903" s="2">
        <v>3.8356164383561646E-2</v>
      </c>
    </row>
    <row r="904" spans="2:6" x14ac:dyDescent="0.25">
      <c r="B904" s="33">
        <v>1</v>
      </c>
      <c r="C904" t="s">
        <v>4</v>
      </c>
      <c r="D904" t="s">
        <v>106</v>
      </c>
      <c r="E904">
        <v>6</v>
      </c>
      <c r="F904" s="2">
        <v>1.3698630136986301E-2</v>
      </c>
    </row>
    <row r="905" spans="2:6" x14ac:dyDescent="0.25">
      <c r="B905" s="33">
        <v>1</v>
      </c>
      <c r="C905" t="s">
        <v>74</v>
      </c>
      <c r="D905" t="s">
        <v>105</v>
      </c>
      <c r="E905">
        <v>7</v>
      </c>
      <c r="F905" s="2">
        <v>5.2054794520547946E-2</v>
      </c>
    </row>
    <row r="906" spans="2:6" x14ac:dyDescent="0.25">
      <c r="B906" s="33">
        <v>1</v>
      </c>
      <c r="C906" t="s">
        <v>88</v>
      </c>
      <c r="D906" t="s">
        <v>114</v>
      </c>
      <c r="E906">
        <v>6</v>
      </c>
      <c r="F906" s="2">
        <v>5.4794520547945202E-2</v>
      </c>
    </row>
    <row r="907" spans="2:6" x14ac:dyDescent="0.25">
      <c r="B907" s="33">
        <v>1</v>
      </c>
      <c r="C907" t="s">
        <v>6</v>
      </c>
      <c r="D907" t="s">
        <v>21</v>
      </c>
      <c r="E907">
        <v>0</v>
      </c>
      <c r="F907" s="2">
        <v>7.3972602739726029E-2</v>
      </c>
    </row>
    <row r="908" spans="2:6" x14ac:dyDescent="0.25">
      <c r="B908" s="33">
        <v>1</v>
      </c>
      <c r="C908" t="s">
        <v>72</v>
      </c>
      <c r="D908" t="s">
        <v>149</v>
      </c>
      <c r="E908">
        <v>7</v>
      </c>
      <c r="F908" s="2">
        <v>5.7534246575342465E-2</v>
      </c>
    </row>
    <row r="909" spans="2:6" x14ac:dyDescent="0.25">
      <c r="B909" s="33">
        <v>1</v>
      </c>
      <c r="C909" t="s">
        <v>74</v>
      </c>
      <c r="D909" t="s">
        <v>105</v>
      </c>
      <c r="E909">
        <v>13</v>
      </c>
      <c r="F909" s="2">
        <v>0.1095890410958904</v>
      </c>
    </row>
    <row r="910" spans="2:6" x14ac:dyDescent="0.25">
      <c r="B910" s="33">
        <v>1</v>
      </c>
      <c r="C910" t="s">
        <v>103</v>
      </c>
      <c r="D910" t="s">
        <v>139</v>
      </c>
      <c r="E910">
        <v>11</v>
      </c>
      <c r="F910" s="2">
        <v>6.3013698630136991E-2</v>
      </c>
    </row>
    <row r="911" spans="2:6" x14ac:dyDescent="0.25">
      <c r="B911" s="33">
        <v>1</v>
      </c>
      <c r="C911" t="s">
        <v>6</v>
      </c>
      <c r="D911" t="s">
        <v>23</v>
      </c>
      <c r="E911">
        <v>7</v>
      </c>
      <c r="F911" s="2">
        <v>7.3972602739726029E-2</v>
      </c>
    </row>
    <row r="912" spans="2:6" x14ac:dyDescent="0.25">
      <c r="B912" s="33">
        <v>1</v>
      </c>
      <c r="C912" t="s">
        <v>64</v>
      </c>
      <c r="D912" t="s">
        <v>68</v>
      </c>
      <c r="E912">
        <v>13</v>
      </c>
      <c r="F912" s="2">
        <v>9.0410958904109592E-2</v>
      </c>
    </row>
    <row r="913" spans="2:6" x14ac:dyDescent="0.25">
      <c r="B913" s="33">
        <v>1</v>
      </c>
      <c r="C913" t="s">
        <v>88</v>
      </c>
      <c r="D913" t="s">
        <v>114</v>
      </c>
      <c r="E913">
        <v>12</v>
      </c>
      <c r="F913" s="2">
        <v>0.10410958904109589</v>
      </c>
    </row>
    <row r="914" spans="2:6" x14ac:dyDescent="0.25">
      <c r="B914" s="33">
        <v>1</v>
      </c>
      <c r="C914" t="s">
        <v>74</v>
      </c>
      <c r="D914" t="s">
        <v>105</v>
      </c>
      <c r="E914">
        <v>14</v>
      </c>
      <c r="F914" s="2">
        <v>0.1095890410958904</v>
      </c>
    </row>
    <row r="915" spans="2:6" x14ac:dyDescent="0.25">
      <c r="B915" s="33">
        <v>1</v>
      </c>
      <c r="C915" t="s">
        <v>69</v>
      </c>
      <c r="D915" t="s">
        <v>86</v>
      </c>
      <c r="E915">
        <v>12</v>
      </c>
      <c r="F915" s="2">
        <v>3.5616438356164383E-2</v>
      </c>
    </row>
    <row r="916" spans="2:6" x14ac:dyDescent="0.25">
      <c r="B916" s="33">
        <v>1</v>
      </c>
      <c r="C916" t="s">
        <v>66</v>
      </c>
      <c r="D916" t="s">
        <v>151</v>
      </c>
      <c r="E916">
        <v>13</v>
      </c>
      <c r="F916" s="2">
        <v>7.6712328767123292E-2</v>
      </c>
    </row>
    <row r="917" spans="2:6" x14ac:dyDescent="0.25">
      <c r="B917" s="33">
        <v>1</v>
      </c>
      <c r="C917" t="s">
        <v>1</v>
      </c>
      <c r="D917" t="s">
        <v>144</v>
      </c>
      <c r="E917">
        <v>12</v>
      </c>
      <c r="F917" s="2">
        <v>8.7671232876712329E-2</v>
      </c>
    </row>
    <row r="918" spans="2:6" x14ac:dyDescent="0.25">
      <c r="B918" s="33">
        <v>1</v>
      </c>
      <c r="C918" t="s">
        <v>6</v>
      </c>
      <c r="D918" t="s">
        <v>34</v>
      </c>
      <c r="E918">
        <v>11</v>
      </c>
      <c r="F918" s="2">
        <v>7.3972602739726029E-2</v>
      </c>
    </row>
    <row r="919" spans="2:6" x14ac:dyDescent="0.25">
      <c r="B919" s="33">
        <v>1</v>
      </c>
      <c r="C919" t="s">
        <v>3</v>
      </c>
      <c r="D919" t="s">
        <v>79</v>
      </c>
      <c r="E919">
        <v>8</v>
      </c>
      <c r="F919" s="2">
        <v>5.2054794520547946E-2</v>
      </c>
    </row>
    <row r="920" spans="2:6" x14ac:dyDescent="0.25">
      <c r="B920" s="33">
        <v>1</v>
      </c>
      <c r="C920" t="s">
        <v>77</v>
      </c>
      <c r="D920" t="s">
        <v>162</v>
      </c>
      <c r="E920">
        <v>9</v>
      </c>
      <c r="F920" s="2">
        <v>3.8356164383561646E-2</v>
      </c>
    </row>
    <row r="921" spans="2:6" x14ac:dyDescent="0.25">
      <c r="B921" s="33">
        <v>1</v>
      </c>
      <c r="C921" t="s">
        <v>69</v>
      </c>
      <c r="D921" t="s">
        <v>132</v>
      </c>
      <c r="E921">
        <v>14</v>
      </c>
      <c r="F921" s="2">
        <v>3.5616438356164383E-2</v>
      </c>
    </row>
    <row r="922" spans="2:6" x14ac:dyDescent="0.25">
      <c r="B922" s="33">
        <v>1</v>
      </c>
      <c r="C922" t="s">
        <v>77</v>
      </c>
      <c r="D922" t="s">
        <v>101</v>
      </c>
      <c r="E922">
        <v>11</v>
      </c>
      <c r="F922" s="2">
        <v>3.8356164383561646E-2</v>
      </c>
    </row>
    <row r="923" spans="2:6" x14ac:dyDescent="0.25">
      <c r="B923" s="33">
        <v>1</v>
      </c>
      <c r="C923" t="s">
        <v>4</v>
      </c>
      <c r="D923" t="s">
        <v>153</v>
      </c>
      <c r="E923">
        <v>13</v>
      </c>
      <c r="F923" s="2">
        <v>7.6712328767123292E-2</v>
      </c>
    </row>
    <row r="924" spans="2:6" x14ac:dyDescent="0.25">
      <c r="B924" s="33">
        <v>1</v>
      </c>
      <c r="C924" t="s">
        <v>1</v>
      </c>
      <c r="D924" t="s">
        <v>144</v>
      </c>
      <c r="E924">
        <v>11</v>
      </c>
      <c r="F924" s="2">
        <v>8.7671232876712329E-2</v>
      </c>
    </row>
    <row r="925" spans="2:6" x14ac:dyDescent="0.25">
      <c r="B925" s="33">
        <v>1</v>
      </c>
      <c r="C925" t="s">
        <v>3</v>
      </c>
      <c r="D925" t="s">
        <v>79</v>
      </c>
      <c r="E925">
        <v>11</v>
      </c>
      <c r="F925" s="2">
        <v>5.2054794520547946E-2</v>
      </c>
    </row>
    <row r="926" spans="2:6" x14ac:dyDescent="0.25">
      <c r="B926" s="33">
        <v>1</v>
      </c>
      <c r="C926" t="s">
        <v>1</v>
      </c>
      <c r="D926" t="s">
        <v>92</v>
      </c>
      <c r="E926">
        <v>8</v>
      </c>
      <c r="F926" s="2">
        <v>8.7671232876712329E-2</v>
      </c>
    </row>
    <row r="927" spans="2:6" x14ac:dyDescent="0.25">
      <c r="B927" s="33">
        <v>1</v>
      </c>
      <c r="C927" t="s">
        <v>74</v>
      </c>
      <c r="D927" t="s">
        <v>75</v>
      </c>
      <c r="E927">
        <v>13</v>
      </c>
      <c r="F927" s="2">
        <v>0.1095890410958904</v>
      </c>
    </row>
    <row r="928" spans="2:6" x14ac:dyDescent="0.25">
      <c r="B928" s="33">
        <v>1</v>
      </c>
      <c r="C928" t="s">
        <v>69</v>
      </c>
      <c r="D928" t="s">
        <v>132</v>
      </c>
      <c r="E928">
        <v>15</v>
      </c>
      <c r="F928" s="2">
        <v>3.5616438356164383E-2</v>
      </c>
    </row>
    <row r="929" spans="2:6" x14ac:dyDescent="0.25">
      <c r="B929" s="33">
        <v>1</v>
      </c>
      <c r="C929" t="s">
        <v>88</v>
      </c>
      <c r="D929" t="s">
        <v>156</v>
      </c>
      <c r="E929">
        <v>10</v>
      </c>
      <c r="F929" s="2">
        <v>0.10136986301369863</v>
      </c>
    </row>
    <row r="930" spans="2:6" x14ac:dyDescent="0.25">
      <c r="B930" s="33">
        <v>1</v>
      </c>
      <c r="C930" t="s">
        <v>66</v>
      </c>
      <c r="D930" t="s">
        <v>122</v>
      </c>
      <c r="E930">
        <v>8</v>
      </c>
      <c r="F930" s="2">
        <v>7.6712328767123292E-2</v>
      </c>
    </row>
    <row r="931" spans="2:6" x14ac:dyDescent="0.25">
      <c r="B931" s="33">
        <v>1</v>
      </c>
      <c r="C931" t="s">
        <v>3</v>
      </c>
      <c r="D931" t="s">
        <v>173</v>
      </c>
      <c r="E931">
        <v>9</v>
      </c>
      <c r="F931" s="2">
        <v>5.2054794520547946E-2</v>
      </c>
    </row>
    <row r="932" spans="2:6" x14ac:dyDescent="0.25">
      <c r="B932" s="33">
        <v>1</v>
      </c>
      <c r="C932" t="s">
        <v>4</v>
      </c>
      <c r="D932" t="s">
        <v>153</v>
      </c>
      <c r="E932">
        <v>10</v>
      </c>
      <c r="F932" s="2">
        <v>7.3972602739726029E-2</v>
      </c>
    </row>
    <row r="933" spans="2:6" x14ac:dyDescent="0.25">
      <c r="B933" s="33">
        <v>1</v>
      </c>
      <c r="C933" t="s">
        <v>6</v>
      </c>
      <c r="D933" t="s">
        <v>42</v>
      </c>
      <c r="E933">
        <v>20</v>
      </c>
      <c r="F933" s="2">
        <v>7.3972602739726029E-2</v>
      </c>
    </row>
    <row r="934" spans="2:6" x14ac:dyDescent="0.25">
      <c r="B934" s="33">
        <v>1</v>
      </c>
      <c r="C934" t="s">
        <v>64</v>
      </c>
      <c r="D934" t="s">
        <v>65</v>
      </c>
      <c r="E934">
        <v>8</v>
      </c>
      <c r="F934" s="2">
        <v>8.7671232876712329E-2</v>
      </c>
    </row>
    <row r="935" spans="2:6" x14ac:dyDescent="0.25">
      <c r="B935" s="33">
        <v>1</v>
      </c>
      <c r="C935" t="s">
        <v>77</v>
      </c>
      <c r="D935" t="s">
        <v>162</v>
      </c>
      <c r="E935">
        <v>14</v>
      </c>
      <c r="F935" s="2">
        <v>3.8356164383561646E-2</v>
      </c>
    </row>
    <row r="936" spans="2:6" x14ac:dyDescent="0.25">
      <c r="B936" s="33">
        <v>1</v>
      </c>
      <c r="C936" t="s">
        <v>6</v>
      </c>
      <c r="D936" t="s">
        <v>28</v>
      </c>
      <c r="E936">
        <v>21</v>
      </c>
      <c r="F936" s="2">
        <v>7.1232876712328766E-2</v>
      </c>
    </row>
    <row r="937" spans="2:6" x14ac:dyDescent="0.25">
      <c r="B937" s="33">
        <v>1</v>
      </c>
      <c r="C937" t="s">
        <v>66</v>
      </c>
      <c r="D937" t="s">
        <v>122</v>
      </c>
      <c r="E937">
        <v>11</v>
      </c>
      <c r="F937" s="2">
        <v>7.6712328767123292E-2</v>
      </c>
    </row>
    <row r="938" spans="2:6" x14ac:dyDescent="0.25">
      <c r="B938" s="33">
        <v>1</v>
      </c>
      <c r="C938" t="s">
        <v>74</v>
      </c>
      <c r="D938" t="s">
        <v>105</v>
      </c>
      <c r="E938">
        <v>11</v>
      </c>
      <c r="F938" s="2">
        <v>0.10684931506849316</v>
      </c>
    </row>
    <row r="939" spans="2:6" x14ac:dyDescent="0.25">
      <c r="B939" s="33">
        <v>1</v>
      </c>
      <c r="C939" t="s">
        <v>2</v>
      </c>
      <c r="D939" t="s">
        <v>96</v>
      </c>
      <c r="E939">
        <v>10</v>
      </c>
      <c r="F939" s="2">
        <v>3.5616438356164383E-2</v>
      </c>
    </row>
    <row r="940" spans="2:6" x14ac:dyDescent="0.25">
      <c r="B940" s="33">
        <v>1</v>
      </c>
      <c r="C940" t="s">
        <v>1</v>
      </c>
      <c r="D940" t="s">
        <v>155</v>
      </c>
      <c r="E940">
        <v>10</v>
      </c>
      <c r="F940" s="2">
        <v>8.2191780821917804E-2</v>
      </c>
    </row>
    <row r="941" spans="2:6" x14ac:dyDescent="0.25">
      <c r="B941" s="33">
        <v>1</v>
      </c>
      <c r="C941" t="s">
        <v>1</v>
      </c>
      <c r="D941" t="s">
        <v>155</v>
      </c>
      <c r="E941">
        <v>12</v>
      </c>
      <c r="F941" s="2">
        <v>8.2191780821917804E-2</v>
      </c>
    </row>
    <row r="942" spans="2:6" x14ac:dyDescent="0.25">
      <c r="B942" s="33">
        <v>1</v>
      </c>
      <c r="C942" t="s">
        <v>72</v>
      </c>
      <c r="D942" t="s">
        <v>76</v>
      </c>
      <c r="E942">
        <v>14</v>
      </c>
      <c r="F942" s="2">
        <v>7.6712328767123292E-2</v>
      </c>
    </row>
    <row r="943" spans="2:6" x14ac:dyDescent="0.25">
      <c r="B943" s="33">
        <v>1</v>
      </c>
      <c r="C943" t="s">
        <v>77</v>
      </c>
      <c r="D943" t="s">
        <v>192</v>
      </c>
      <c r="E943">
        <v>8</v>
      </c>
      <c r="F943" s="2">
        <v>3.8356164383561646E-2</v>
      </c>
    </row>
    <row r="944" spans="2:6" x14ac:dyDescent="0.25">
      <c r="B944" s="33">
        <v>1</v>
      </c>
      <c r="C944" t="s">
        <v>66</v>
      </c>
      <c r="D944" t="s">
        <v>80</v>
      </c>
      <c r="E944">
        <v>23</v>
      </c>
      <c r="F944" s="2">
        <v>8.7671232876712329E-2</v>
      </c>
    </row>
    <row r="945" spans="2:6" x14ac:dyDescent="0.25">
      <c r="B945" s="33">
        <v>1</v>
      </c>
      <c r="C945" t="s">
        <v>126</v>
      </c>
      <c r="D945" t="s">
        <v>127</v>
      </c>
      <c r="E945">
        <v>16</v>
      </c>
      <c r="F945" s="2">
        <v>5.7534246575342465E-2</v>
      </c>
    </row>
    <row r="946" spans="2:6" x14ac:dyDescent="0.25">
      <c r="B946" s="33">
        <v>1</v>
      </c>
      <c r="C946" t="s">
        <v>64</v>
      </c>
      <c r="D946" t="s">
        <v>121</v>
      </c>
      <c r="E946">
        <v>16</v>
      </c>
      <c r="F946" s="2">
        <v>0.10136986301369863</v>
      </c>
    </row>
    <row r="947" spans="2:6" x14ac:dyDescent="0.25">
      <c r="B947" s="33">
        <v>1</v>
      </c>
      <c r="C947" t="s">
        <v>77</v>
      </c>
      <c r="D947" t="s">
        <v>78</v>
      </c>
      <c r="E947">
        <v>16</v>
      </c>
      <c r="F947" s="2">
        <v>4.1095890410958902E-2</v>
      </c>
    </row>
    <row r="948" spans="2:6" x14ac:dyDescent="0.25">
      <c r="B948" s="33">
        <v>1</v>
      </c>
      <c r="C948" t="s">
        <v>3</v>
      </c>
      <c r="D948" t="s">
        <v>188</v>
      </c>
      <c r="E948">
        <v>19</v>
      </c>
      <c r="F948" s="2">
        <v>4.1095890410958902E-2</v>
      </c>
    </row>
    <row r="949" spans="2:6" x14ac:dyDescent="0.25">
      <c r="B949" s="33">
        <v>1</v>
      </c>
      <c r="C949" t="s">
        <v>6</v>
      </c>
      <c r="D949" t="s">
        <v>25</v>
      </c>
      <c r="E949">
        <v>9</v>
      </c>
      <c r="F949" s="2">
        <v>7.1232876712328766E-2</v>
      </c>
    </row>
    <row r="950" spans="2:6" x14ac:dyDescent="0.25">
      <c r="B950" s="33">
        <v>1</v>
      </c>
      <c r="C950" t="s">
        <v>74</v>
      </c>
      <c r="D950" t="s">
        <v>130</v>
      </c>
      <c r="E950">
        <v>18</v>
      </c>
      <c r="F950" s="2">
        <v>8.7671232876712329E-2</v>
      </c>
    </row>
    <row r="951" spans="2:6" x14ac:dyDescent="0.25">
      <c r="B951" s="33">
        <v>1</v>
      </c>
      <c r="C951" t="s">
        <v>77</v>
      </c>
      <c r="D951" t="s">
        <v>193</v>
      </c>
      <c r="E951">
        <v>16</v>
      </c>
      <c r="F951" s="2">
        <v>4.1095890410958902E-2</v>
      </c>
    </row>
    <row r="952" spans="2:6" x14ac:dyDescent="0.25">
      <c r="B952" s="33">
        <v>1</v>
      </c>
      <c r="C952" t="s">
        <v>66</v>
      </c>
      <c r="D952" t="s">
        <v>135</v>
      </c>
      <c r="E952">
        <v>17</v>
      </c>
      <c r="F952" s="2">
        <v>8.7671232876712329E-2</v>
      </c>
    </row>
    <row r="953" spans="2:6" x14ac:dyDescent="0.25">
      <c r="B953" s="33">
        <v>1</v>
      </c>
      <c r="C953" t="s">
        <v>88</v>
      </c>
      <c r="D953" t="s">
        <v>114</v>
      </c>
      <c r="E953">
        <v>20</v>
      </c>
      <c r="F953" s="2">
        <v>8.2191780821917804E-2</v>
      </c>
    </row>
    <row r="954" spans="2:6" x14ac:dyDescent="0.25">
      <c r="B954" s="33">
        <v>1</v>
      </c>
      <c r="C954" t="s">
        <v>77</v>
      </c>
      <c r="D954" t="s">
        <v>83</v>
      </c>
      <c r="E954">
        <v>20</v>
      </c>
      <c r="F954" s="2">
        <v>4.1095890410958902E-2</v>
      </c>
    </row>
    <row r="955" spans="2:6" x14ac:dyDescent="0.25">
      <c r="B955" s="33">
        <v>1</v>
      </c>
      <c r="C955" t="s">
        <v>66</v>
      </c>
      <c r="D955" t="s">
        <v>93</v>
      </c>
      <c r="E955">
        <v>16</v>
      </c>
      <c r="F955" s="2">
        <v>8.4931506849315067E-2</v>
      </c>
    </row>
    <row r="956" spans="2:6" x14ac:dyDescent="0.25">
      <c r="B956" s="33">
        <v>1</v>
      </c>
      <c r="C956" t="s">
        <v>3</v>
      </c>
      <c r="D956" t="s">
        <v>108</v>
      </c>
      <c r="E956">
        <v>18</v>
      </c>
      <c r="F956" s="2">
        <v>4.1095890410958902E-2</v>
      </c>
    </row>
    <row r="957" spans="2:6" x14ac:dyDescent="0.25">
      <c r="B957" s="33">
        <v>1</v>
      </c>
      <c r="C957" t="s">
        <v>72</v>
      </c>
      <c r="D957" t="s">
        <v>125</v>
      </c>
      <c r="E957">
        <v>22</v>
      </c>
      <c r="F957" s="2">
        <v>8.4931506849315067E-2</v>
      </c>
    </row>
    <row r="958" spans="2:6" x14ac:dyDescent="0.25">
      <c r="B958" s="33">
        <v>1</v>
      </c>
      <c r="C958" t="s">
        <v>3</v>
      </c>
      <c r="D958" t="s">
        <v>79</v>
      </c>
      <c r="E958">
        <v>18</v>
      </c>
      <c r="F958" s="2">
        <v>4.1095890410958902E-2</v>
      </c>
    </row>
    <row r="959" spans="2:6" x14ac:dyDescent="0.25">
      <c r="B959" s="33">
        <v>1</v>
      </c>
      <c r="C959" t="s">
        <v>1</v>
      </c>
      <c r="D959" t="s">
        <v>92</v>
      </c>
      <c r="E959">
        <v>23</v>
      </c>
      <c r="F959" s="2">
        <v>6.8493150684931503E-2</v>
      </c>
    </row>
    <row r="960" spans="2:6" x14ac:dyDescent="0.25">
      <c r="B960" s="33">
        <v>1</v>
      </c>
      <c r="C960" t="s">
        <v>6</v>
      </c>
      <c r="D960" t="s">
        <v>34</v>
      </c>
      <c r="E960">
        <v>19</v>
      </c>
      <c r="F960" s="2">
        <v>7.1232876712328766E-2</v>
      </c>
    </row>
    <row r="961" spans="2:6" x14ac:dyDescent="0.25">
      <c r="B961" s="33">
        <v>1</v>
      </c>
      <c r="C961" t="s">
        <v>66</v>
      </c>
      <c r="D961" t="s">
        <v>93</v>
      </c>
      <c r="E961">
        <v>2</v>
      </c>
      <c r="F961" s="2">
        <v>4.6575342465753428E-2</v>
      </c>
    </row>
    <row r="962" spans="2:6" x14ac:dyDescent="0.25">
      <c r="B962" s="33">
        <v>1</v>
      </c>
      <c r="C962" t="s">
        <v>0</v>
      </c>
      <c r="D962" t="s">
        <v>95</v>
      </c>
      <c r="E962">
        <v>7</v>
      </c>
      <c r="F962" s="2">
        <v>4.9315068493150684E-2</v>
      </c>
    </row>
    <row r="963" spans="2:6" x14ac:dyDescent="0.25">
      <c r="B963" s="33">
        <v>1</v>
      </c>
      <c r="C963" t="s">
        <v>6</v>
      </c>
      <c r="D963" t="s">
        <v>42</v>
      </c>
      <c r="E963">
        <v>8</v>
      </c>
      <c r="F963" s="2">
        <v>7.1232876712328766E-2</v>
      </c>
    </row>
    <row r="964" spans="2:6" x14ac:dyDescent="0.25">
      <c r="B964" s="33">
        <v>1</v>
      </c>
      <c r="C964" t="s">
        <v>103</v>
      </c>
      <c r="D964" t="s">
        <v>139</v>
      </c>
      <c r="E964">
        <v>0</v>
      </c>
      <c r="F964" s="2">
        <v>3.0136986301369864E-2</v>
      </c>
    </row>
    <row r="965" spans="2:6" x14ac:dyDescent="0.25">
      <c r="B965" s="33">
        <v>1</v>
      </c>
      <c r="C965" t="s">
        <v>6</v>
      </c>
      <c r="D965" t="s">
        <v>23</v>
      </c>
      <c r="E965">
        <v>8</v>
      </c>
      <c r="F965" s="2">
        <v>6.8493150684931503E-2</v>
      </c>
    </row>
    <row r="966" spans="2:6" x14ac:dyDescent="0.25">
      <c r="B966" s="33">
        <v>1</v>
      </c>
      <c r="C966" t="s">
        <v>1</v>
      </c>
      <c r="D966" t="s">
        <v>82</v>
      </c>
      <c r="E966">
        <v>2</v>
      </c>
      <c r="F966" s="2">
        <v>3.8356164383561646E-2</v>
      </c>
    </row>
    <row r="967" spans="2:6" x14ac:dyDescent="0.25">
      <c r="B967" s="33">
        <v>1</v>
      </c>
      <c r="C967" t="s">
        <v>88</v>
      </c>
      <c r="D967" t="s">
        <v>89</v>
      </c>
      <c r="E967">
        <v>4</v>
      </c>
      <c r="F967" s="2">
        <v>4.9315068493150684E-2</v>
      </c>
    </row>
    <row r="968" spans="2:6" x14ac:dyDescent="0.25">
      <c r="B968" s="33">
        <v>1</v>
      </c>
      <c r="C968" t="s">
        <v>6</v>
      </c>
      <c r="D968" t="s">
        <v>21</v>
      </c>
      <c r="E968">
        <v>23</v>
      </c>
      <c r="F968" s="2">
        <v>6.8493150684931503E-2</v>
      </c>
    </row>
    <row r="969" spans="2:6" x14ac:dyDescent="0.25">
      <c r="B969" s="33">
        <v>1</v>
      </c>
      <c r="C969" t="s">
        <v>64</v>
      </c>
      <c r="D969" t="s">
        <v>68</v>
      </c>
      <c r="E969">
        <v>2</v>
      </c>
      <c r="F969" s="2">
        <v>3.287671232876712E-2</v>
      </c>
    </row>
    <row r="970" spans="2:6" x14ac:dyDescent="0.25">
      <c r="B970" s="33">
        <v>1</v>
      </c>
      <c r="C970" t="s">
        <v>6</v>
      </c>
      <c r="D970" t="s">
        <v>25</v>
      </c>
      <c r="E970">
        <v>18</v>
      </c>
      <c r="F970" s="2">
        <v>6.575342465753424E-2</v>
      </c>
    </row>
    <row r="971" spans="2:6" x14ac:dyDescent="0.25">
      <c r="B971" s="33">
        <v>1</v>
      </c>
      <c r="C971" t="s">
        <v>74</v>
      </c>
      <c r="D971" t="s">
        <v>75</v>
      </c>
      <c r="E971">
        <v>3</v>
      </c>
      <c r="F971" s="2">
        <v>4.3835616438356165E-2</v>
      </c>
    </row>
    <row r="972" spans="2:6" x14ac:dyDescent="0.25">
      <c r="B972" s="33">
        <v>1</v>
      </c>
      <c r="C972" t="s">
        <v>3</v>
      </c>
      <c r="D972" t="s">
        <v>84</v>
      </c>
      <c r="E972">
        <v>15</v>
      </c>
      <c r="F972" s="2">
        <v>5.2054794520547946E-2</v>
      </c>
    </row>
    <row r="973" spans="2:6" x14ac:dyDescent="0.25">
      <c r="B973" s="33">
        <v>1</v>
      </c>
      <c r="C973" t="s">
        <v>74</v>
      </c>
      <c r="D973" t="s">
        <v>174</v>
      </c>
      <c r="E973">
        <v>12</v>
      </c>
      <c r="F973" s="2">
        <v>0.10136986301369863</v>
      </c>
    </row>
    <row r="974" spans="2:6" x14ac:dyDescent="0.25">
      <c r="B974" s="33">
        <v>1</v>
      </c>
      <c r="C974" t="s">
        <v>72</v>
      </c>
      <c r="D974" t="s">
        <v>163</v>
      </c>
      <c r="E974">
        <v>15</v>
      </c>
      <c r="F974" s="2">
        <v>7.3972602739726029E-2</v>
      </c>
    </row>
    <row r="975" spans="2:6" x14ac:dyDescent="0.25">
      <c r="B975" s="33">
        <v>1</v>
      </c>
      <c r="C975" t="s">
        <v>6</v>
      </c>
      <c r="D975" t="s">
        <v>43</v>
      </c>
      <c r="E975">
        <v>15</v>
      </c>
      <c r="F975" s="2">
        <v>6.575342465753424E-2</v>
      </c>
    </row>
    <row r="976" spans="2:6" x14ac:dyDescent="0.25">
      <c r="B976" s="33">
        <v>1</v>
      </c>
      <c r="C976" t="s">
        <v>66</v>
      </c>
      <c r="D976" t="s">
        <v>182</v>
      </c>
      <c r="E976">
        <v>13</v>
      </c>
      <c r="F976" s="2">
        <v>7.6712328767123292E-2</v>
      </c>
    </row>
    <row r="977" spans="2:6" x14ac:dyDescent="0.25">
      <c r="B977" s="33">
        <v>1</v>
      </c>
      <c r="C977" t="s">
        <v>77</v>
      </c>
      <c r="D977" t="s">
        <v>97</v>
      </c>
      <c r="E977">
        <v>14</v>
      </c>
      <c r="F977" s="2">
        <v>3.8356164383561646E-2</v>
      </c>
    </row>
    <row r="978" spans="2:6" x14ac:dyDescent="0.25">
      <c r="B978" s="33">
        <v>1</v>
      </c>
      <c r="C978" t="s">
        <v>1</v>
      </c>
      <c r="D978" t="s">
        <v>110</v>
      </c>
      <c r="E978">
        <v>12</v>
      </c>
      <c r="F978" s="2">
        <v>8.2191780821917804E-2</v>
      </c>
    </row>
    <row r="979" spans="2:6" x14ac:dyDescent="0.25">
      <c r="B979" s="33">
        <v>1</v>
      </c>
      <c r="C979" t="s">
        <v>69</v>
      </c>
      <c r="D979" t="s">
        <v>148</v>
      </c>
      <c r="E979">
        <v>13</v>
      </c>
      <c r="F979" s="2">
        <v>3.5616438356164383E-2</v>
      </c>
    </row>
    <row r="980" spans="2:6" x14ac:dyDescent="0.25">
      <c r="B980" s="33">
        <v>1</v>
      </c>
      <c r="C980" t="s">
        <v>1</v>
      </c>
      <c r="D980" t="s">
        <v>176</v>
      </c>
      <c r="E980">
        <v>13</v>
      </c>
      <c r="F980" s="2">
        <v>7.9452054794520555E-2</v>
      </c>
    </row>
    <row r="981" spans="2:6" x14ac:dyDescent="0.25">
      <c r="B981" s="33">
        <v>1</v>
      </c>
      <c r="C981" t="s">
        <v>1</v>
      </c>
      <c r="D981" t="s">
        <v>143</v>
      </c>
      <c r="E981">
        <v>10</v>
      </c>
      <c r="F981" s="2">
        <v>7.9452054794520555E-2</v>
      </c>
    </row>
    <row r="982" spans="2:6" x14ac:dyDescent="0.25">
      <c r="B982" s="33">
        <v>1</v>
      </c>
      <c r="C982" t="s">
        <v>3</v>
      </c>
      <c r="D982" t="s">
        <v>79</v>
      </c>
      <c r="E982">
        <v>14</v>
      </c>
      <c r="F982" s="2">
        <v>5.2054794520547946E-2</v>
      </c>
    </row>
    <row r="983" spans="2:6" x14ac:dyDescent="0.25">
      <c r="B983" s="33">
        <v>1</v>
      </c>
      <c r="C983" t="s">
        <v>72</v>
      </c>
      <c r="D983" t="s">
        <v>149</v>
      </c>
      <c r="E983">
        <v>13</v>
      </c>
      <c r="F983" s="2">
        <v>7.3972602739726029E-2</v>
      </c>
    </row>
    <row r="984" spans="2:6" x14ac:dyDescent="0.25">
      <c r="B984" s="33">
        <v>1</v>
      </c>
      <c r="C984" t="s">
        <v>72</v>
      </c>
      <c r="D984" t="s">
        <v>149</v>
      </c>
      <c r="E984">
        <v>8</v>
      </c>
      <c r="F984" s="2">
        <v>6.8493150684931503E-2</v>
      </c>
    </row>
    <row r="985" spans="2:6" x14ac:dyDescent="0.25">
      <c r="B985" s="33">
        <v>1</v>
      </c>
      <c r="C985" t="s">
        <v>3</v>
      </c>
      <c r="D985" t="s">
        <v>138</v>
      </c>
      <c r="E985">
        <v>13</v>
      </c>
      <c r="F985" s="2">
        <v>4.9315068493150684E-2</v>
      </c>
    </row>
    <row r="986" spans="2:6" x14ac:dyDescent="0.25">
      <c r="B986" s="33">
        <v>1</v>
      </c>
      <c r="C986" t="s">
        <v>66</v>
      </c>
      <c r="D986" t="s">
        <v>151</v>
      </c>
      <c r="E986">
        <v>14</v>
      </c>
      <c r="F986" s="2">
        <v>7.6712328767123292E-2</v>
      </c>
    </row>
    <row r="987" spans="2:6" x14ac:dyDescent="0.25">
      <c r="B987" s="33">
        <v>1</v>
      </c>
      <c r="C987" t="s">
        <v>1</v>
      </c>
      <c r="D987" t="s">
        <v>112</v>
      </c>
      <c r="E987">
        <v>14</v>
      </c>
      <c r="F987" s="2">
        <v>7.9452054794520555E-2</v>
      </c>
    </row>
    <row r="988" spans="2:6" x14ac:dyDescent="0.25">
      <c r="B988" s="33">
        <v>1</v>
      </c>
      <c r="C988" t="s">
        <v>6</v>
      </c>
      <c r="D988" t="s">
        <v>34</v>
      </c>
      <c r="E988">
        <v>12</v>
      </c>
      <c r="F988" s="2">
        <v>6.575342465753424E-2</v>
      </c>
    </row>
    <row r="989" spans="2:6" x14ac:dyDescent="0.25">
      <c r="B989" s="33">
        <v>1</v>
      </c>
      <c r="C989" t="s">
        <v>64</v>
      </c>
      <c r="D989" t="s">
        <v>99</v>
      </c>
      <c r="E989">
        <v>15</v>
      </c>
      <c r="F989" s="2">
        <v>8.7671232876712329E-2</v>
      </c>
    </row>
    <row r="990" spans="2:6" x14ac:dyDescent="0.25">
      <c r="B990" s="33">
        <v>1</v>
      </c>
      <c r="C990" t="s">
        <v>69</v>
      </c>
      <c r="D990" t="s">
        <v>124</v>
      </c>
      <c r="E990">
        <v>11</v>
      </c>
      <c r="F990" s="2">
        <v>3.287671232876712E-2</v>
      </c>
    </row>
    <row r="991" spans="2:6" x14ac:dyDescent="0.25">
      <c r="B991" s="33">
        <v>1</v>
      </c>
      <c r="C991" t="s">
        <v>64</v>
      </c>
      <c r="D991" t="s">
        <v>65</v>
      </c>
      <c r="E991">
        <v>12</v>
      </c>
      <c r="F991" s="2">
        <v>8.7671232876712329E-2</v>
      </c>
    </row>
    <row r="992" spans="2:6" x14ac:dyDescent="0.25">
      <c r="B992" s="33">
        <v>1</v>
      </c>
      <c r="C992" t="s">
        <v>3</v>
      </c>
      <c r="D992" t="s">
        <v>119</v>
      </c>
      <c r="E992">
        <v>13</v>
      </c>
      <c r="F992" s="2">
        <v>4.6575342465753428E-2</v>
      </c>
    </row>
    <row r="993" spans="2:6" x14ac:dyDescent="0.25">
      <c r="B993" s="33">
        <v>1</v>
      </c>
      <c r="C993" t="s">
        <v>64</v>
      </c>
      <c r="D993" t="s">
        <v>65</v>
      </c>
      <c r="E993">
        <v>15</v>
      </c>
      <c r="F993" s="2">
        <v>8.4931506849315067E-2</v>
      </c>
    </row>
    <row r="994" spans="2:6" x14ac:dyDescent="0.25">
      <c r="B994" s="33">
        <v>1</v>
      </c>
      <c r="C994" t="s">
        <v>77</v>
      </c>
      <c r="D994" t="s">
        <v>142</v>
      </c>
      <c r="E994">
        <v>14</v>
      </c>
      <c r="F994" s="2">
        <v>3.5616438356164383E-2</v>
      </c>
    </row>
    <row r="995" spans="2:6" x14ac:dyDescent="0.25">
      <c r="B995" s="33">
        <v>1</v>
      </c>
      <c r="C995" t="s">
        <v>66</v>
      </c>
      <c r="D995" t="s">
        <v>93</v>
      </c>
      <c r="E995">
        <v>9</v>
      </c>
      <c r="F995" s="2">
        <v>7.1232876712328766E-2</v>
      </c>
    </row>
    <row r="996" spans="2:6" x14ac:dyDescent="0.25">
      <c r="B996" s="33">
        <v>1</v>
      </c>
      <c r="C996" t="s">
        <v>72</v>
      </c>
      <c r="D996" t="s">
        <v>149</v>
      </c>
      <c r="E996">
        <v>15</v>
      </c>
      <c r="F996" s="2">
        <v>6.575342465753424E-2</v>
      </c>
    </row>
    <row r="997" spans="2:6" x14ac:dyDescent="0.25">
      <c r="B997" s="33">
        <v>1</v>
      </c>
      <c r="C997" t="s">
        <v>66</v>
      </c>
      <c r="D997" t="s">
        <v>122</v>
      </c>
      <c r="E997">
        <v>9</v>
      </c>
      <c r="F997" s="2">
        <v>7.1232876712328766E-2</v>
      </c>
    </row>
    <row r="998" spans="2:6" x14ac:dyDescent="0.25">
      <c r="B998" s="33">
        <v>1</v>
      </c>
      <c r="C998" t="s">
        <v>1</v>
      </c>
      <c r="D998" t="s">
        <v>155</v>
      </c>
      <c r="E998">
        <v>11</v>
      </c>
      <c r="F998" s="2">
        <v>7.6712328767123292E-2</v>
      </c>
    </row>
    <row r="999" spans="2:6" x14ac:dyDescent="0.25">
      <c r="B999" s="33">
        <v>1</v>
      </c>
      <c r="C999" t="s">
        <v>77</v>
      </c>
      <c r="D999" t="s">
        <v>136</v>
      </c>
      <c r="E999">
        <v>11</v>
      </c>
      <c r="F999" s="2">
        <v>3.5616438356164383E-2</v>
      </c>
    </row>
    <row r="1000" spans="2:6" x14ac:dyDescent="0.25">
      <c r="B1000" s="33">
        <v>1</v>
      </c>
      <c r="C1000" t="s">
        <v>1</v>
      </c>
      <c r="D1000" t="s">
        <v>152</v>
      </c>
      <c r="E1000">
        <v>10</v>
      </c>
      <c r="F1000" s="2">
        <v>7.6712328767123292E-2</v>
      </c>
    </row>
    <row r="1001" spans="2:6" x14ac:dyDescent="0.25">
      <c r="B1001" s="33">
        <v>1</v>
      </c>
      <c r="C1001" t="s">
        <v>3</v>
      </c>
      <c r="D1001" t="s">
        <v>138</v>
      </c>
      <c r="E1001">
        <v>8</v>
      </c>
      <c r="F1001" s="2">
        <v>4.6575342465753428E-2</v>
      </c>
    </row>
    <row r="1002" spans="2:6" x14ac:dyDescent="0.25">
      <c r="B1002" s="33">
        <v>1</v>
      </c>
      <c r="C1002" t="s">
        <v>88</v>
      </c>
      <c r="D1002" t="s">
        <v>160</v>
      </c>
      <c r="E1002">
        <v>11</v>
      </c>
      <c r="F1002" s="2">
        <v>9.8630136986301367E-2</v>
      </c>
    </row>
    <row r="1003" spans="2:6" x14ac:dyDescent="0.25">
      <c r="B1003" s="33">
        <v>1</v>
      </c>
      <c r="C1003" t="s">
        <v>3</v>
      </c>
      <c r="D1003" t="s">
        <v>100</v>
      </c>
      <c r="E1003">
        <v>11</v>
      </c>
      <c r="F1003" s="2">
        <v>4.6575342465753428E-2</v>
      </c>
    </row>
    <row r="1004" spans="2:6" x14ac:dyDescent="0.25">
      <c r="B1004" s="33">
        <v>1</v>
      </c>
      <c r="C1004" t="s">
        <v>103</v>
      </c>
      <c r="D1004" t="s">
        <v>139</v>
      </c>
      <c r="E1004">
        <v>10</v>
      </c>
      <c r="F1004" s="2">
        <v>5.7534246575342465E-2</v>
      </c>
    </row>
    <row r="1005" spans="2:6" x14ac:dyDescent="0.25">
      <c r="B1005" s="33">
        <v>1</v>
      </c>
      <c r="C1005" t="s">
        <v>2</v>
      </c>
      <c r="D1005" t="s">
        <v>102</v>
      </c>
      <c r="E1005">
        <v>16</v>
      </c>
      <c r="F1005" s="2">
        <v>3.8356164383561646E-2</v>
      </c>
    </row>
    <row r="1006" spans="2:6" x14ac:dyDescent="0.25">
      <c r="B1006" s="33">
        <v>1</v>
      </c>
      <c r="C1006" t="s">
        <v>3</v>
      </c>
      <c r="D1006" t="s">
        <v>108</v>
      </c>
      <c r="E1006">
        <v>22</v>
      </c>
      <c r="F1006" s="2">
        <v>4.1095890410958902E-2</v>
      </c>
    </row>
    <row r="1007" spans="2:6" x14ac:dyDescent="0.25">
      <c r="B1007" s="33">
        <v>1</v>
      </c>
      <c r="C1007" t="s">
        <v>69</v>
      </c>
      <c r="D1007" t="s">
        <v>190</v>
      </c>
      <c r="E1007">
        <v>18</v>
      </c>
      <c r="F1007" s="2">
        <v>3.0136986301369864E-2</v>
      </c>
    </row>
    <row r="1008" spans="2:6" x14ac:dyDescent="0.25">
      <c r="B1008" s="33">
        <v>1</v>
      </c>
      <c r="C1008" t="s">
        <v>1</v>
      </c>
      <c r="D1008" t="s">
        <v>110</v>
      </c>
      <c r="E1008">
        <v>20</v>
      </c>
      <c r="F1008" s="2">
        <v>6.8493150684931503E-2</v>
      </c>
    </row>
    <row r="1009" spans="2:6" x14ac:dyDescent="0.25">
      <c r="B1009" s="33">
        <v>1</v>
      </c>
      <c r="C1009" t="s">
        <v>103</v>
      </c>
      <c r="D1009" t="s">
        <v>139</v>
      </c>
      <c r="E1009">
        <v>18</v>
      </c>
      <c r="F1009" s="2">
        <v>4.6575342465753428E-2</v>
      </c>
    </row>
    <row r="1010" spans="2:6" x14ac:dyDescent="0.25">
      <c r="B1010" s="33">
        <v>1</v>
      </c>
      <c r="C1010" t="s">
        <v>1</v>
      </c>
      <c r="D1010" t="s">
        <v>189</v>
      </c>
      <c r="E1010">
        <v>17</v>
      </c>
      <c r="F1010" s="2">
        <v>6.575342465753424E-2</v>
      </c>
    </row>
    <row r="1011" spans="2:6" x14ac:dyDescent="0.25">
      <c r="B1011" s="33">
        <v>1</v>
      </c>
      <c r="C1011" t="s">
        <v>1</v>
      </c>
      <c r="D1011" t="s">
        <v>110</v>
      </c>
      <c r="E1011">
        <v>17</v>
      </c>
      <c r="F1011" s="2">
        <v>6.3013698630136991E-2</v>
      </c>
    </row>
    <row r="1012" spans="2:6" x14ac:dyDescent="0.25">
      <c r="B1012" s="33">
        <v>1</v>
      </c>
      <c r="C1012" t="s">
        <v>69</v>
      </c>
      <c r="D1012" t="s">
        <v>184</v>
      </c>
      <c r="E1012">
        <v>19</v>
      </c>
      <c r="F1012" s="2">
        <v>3.0136986301369864E-2</v>
      </c>
    </row>
    <row r="1013" spans="2:6" x14ac:dyDescent="0.25">
      <c r="B1013" s="33">
        <v>1</v>
      </c>
      <c r="C1013" t="s">
        <v>72</v>
      </c>
      <c r="D1013" t="s">
        <v>76</v>
      </c>
      <c r="E1013">
        <v>23</v>
      </c>
      <c r="F1013" s="2">
        <v>7.6712328767123292E-2</v>
      </c>
    </row>
    <row r="1014" spans="2:6" x14ac:dyDescent="0.25">
      <c r="B1014" s="33">
        <v>1</v>
      </c>
      <c r="C1014" t="s">
        <v>77</v>
      </c>
      <c r="D1014" t="s">
        <v>123</v>
      </c>
      <c r="E1014">
        <v>22</v>
      </c>
      <c r="F1014" s="2">
        <v>3.8356164383561646E-2</v>
      </c>
    </row>
    <row r="1015" spans="2:6" x14ac:dyDescent="0.25">
      <c r="B1015" s="33">
        <v>1</v>
      </c>
      <c r="C1015" t="s">
        <v>64</v>
      </c>
      <c r="D1015" t="s">
        <v>99</v>
      </c>
      <c r="E1015">
        <v>18</v>
      </c>
      <c r="F1015" s="2">
        <v>5.4794520547945202E-2</v>
      </c>
    </row>
    <row r="1016" spans="2:6" x14ac:dyDescent="0.25">
      <c r="B1016" s="33">
        <v>1</v>
      </c>
      <c r="C1016" t="s">
        <v>103</v>
      </c>
      <c r="D1016" t="s">
        <v>104</v>
      </c>
      <c r="E1016">
        <v>22</v>
      </c>
      <c r="F1016" s="2">
        <v>4.3835616438356165E-2</v>
      </c>
    </row>
    <row r="1017" spans="2:6" x14ac:dyDescent="0.25">
      <c r="B1017" s="33">
        <v>1</v>
      </c>
      <c r="C1017" t="s">
        <v>74</v>
      </c>
      <c r="D1017" t="s">
        <v>174</v>
      </c>
      <c r="E1017">
        <v>20</v>
      </c>
      <c r="F1017" s="2">
        <v>7.6712328767123292E-2</v>
      </c>
    </row>
    <row r="1018" spans="2:6" x14ac:dyDescent="0.25">
      <c r="B1018" s="33">
        <v>1</v>
      </c>
      <c r="C1018" t="s">
        <v>1</v>
      </c>
      <c r="D1018" t="s">
        <v>152</v>
      </c>
      <c r="E1018">
        <v>21</v>
      </c>
      <c r="F1018" s="2">
        <v>6.3013698630136991E-2</v>
      </c>
    </row>
    <row r="1019" spans="2:6" x14ac:dyDescent="0.25">
      <c r="B1019" s="33">
        <v>1</v>
      </c>
      <c r="C1019" t="s">
        <v>103</v>
      </c>
      <c r="D1019" t="s">
        <v>194</v>
      </c>
      <c r="E1019">
        <v>18</v>
      </c>
      <c r="F1019" s="2">
        <v>4.3835616438356165E-2</v>
      </c>
    </row>
    <row r="1020" spans="2:6" x14ac:dyDescent="0.25">
      <c r="B1020" s="33">
        <v>1</v>
      </c>
      <c r="C1020" t="s">
        <v>1</v>
      </c>
      <c r="D1020" t="s">
        <v>112</v>
      </c>
      <c r="E1020">
        <v>20</v>
      </c>
      <c r="F1020" s="2">
        <v>6.3013698630136991E-2</v>
      </c>
    </row>
    <row r="1021" spans="2:6" x14ac:dyDescent="0.25">
      <c r="B1021" s="33">
        <v>1</v>
      </c>
      <c r="C1021" t="s">
        <v>69</v>
      </c>
      <c r="D1021" t="s">
        <v>128</v>
      </c>
      <c r="E1021">
        <v>22</v>
      </c>
      <c r="F1021" s="2">
        <v>3.0136986301369864E-2</v>
      </c>
    </row>
    <row r="1022" spans="2:6" x14ac:dyDescent="0.25">
      <c r="B1022" s="33">
        <v>1</v>
      </c>
      <c r="C1022" t="s">
        <v>69</v>
      </c>
      <c r="D1022" t="s">
        <v>113</v>
      </c>
      <c r="E1022">
        <v>20</v>
      </c>
      <c r="F1022" s="2">
        <v>3.0136986301369864E-2</v>
      </c>
    </row>
    <row r="1023" spans="2:6" x14ac:dyDescent="0.25">
      <c r="B1023" s="33">
        <v>1</v>
      </c>
      <c r="C1023" t="s">
        <v>64</v>
      </c>
      <c r="D1023" t="s">
        <v>68</v>
      </c>
      <c r="E1023">
        <v>19</v>
      </c>
      <c r="F1023" s="2">
        <v>6.575342465753424E-2</v>
      </c>
    </row>
    <row r="1024" spans="2:6" x14ac:dyDescent="0.25">
      <c r="B1024" s="33">
        <v>1</v>
      </c>
      <c r="C1024" t="s">
        <v>6</v>
      </c>
      <c r="D1024" t="s">
        <v>42</v>
      </c>
      <c r="E1024">
        <v>22</v>
      </c>
      <c r="F1024" s="2">
        <v>6.575342465753424E-2</v>
      </c>
    </row>
    <row r="1025" spans="2:6" x14ac:dyDescent="0.25">
      <c r="B1025" s="33">
        <v>1</v>
      </c>
      <c r="C1025" t="s">
        <v>77</v>
      </c>
      <c r="D1025" t="s">
        <v>142</v>
      </c>
      <c r="E1025">
        <v>17</v>
      </c>
      <c r="F1025" s="2">
        <v>3.5616438356164383E-2</v>
      </c>
    </row>
    <row r="1026" spans="2:6" x14ac:dyDescent="0.25">
      <c r="B1026" s="33">
        <v>1</v>
      </c>
      <c r="C1026" t="s">
        <v>69</v>
      </c>
      <c r="D1026" t="s">
        <v>132</v>
      </c>
      <c r="E1026">
        <v>19</v>
      </c>
      <c r="F1026" s="2">
        <v>3.0136986301369864E-2</v>
      </c>
    </row>
    <row r="1027" spans="2:6" x14ac:dyDescent="0.25">
      <c r="B1027" s="33">
        <v>1</v>
      </c>
      <c r="C1027" t="s">
        <v>64</v>
      </c>
      <c r="D1027" t="s">
        <v>71</v>
      </c>
      <c r="E1027">
        <v>20</v>
      </c>
      <c r="F1027" s="2">
        <v>8.2191780821917804E-2</v>
      </c>
    </row>
    <row r="1028" spans="2:6" x14ac:dyDescent="0.25">
      <c r="B1028" s="33">
        <v>1</v>
      </c>
      <c r="C1028" t="s">
        <v>74</v>
      </c>
      <c r="D1028" t="s">
        <v>105</v>
      </c>
      <c r="E1028">
        <v>21</v>
      </c>
      <c r="F1028" s="2">
        <v>7.6712328767123292E-2</v>
      </c>
    </row>
    <row r="1029" spans="2:6" x14ac:dyDescent="0.25">
      <c r="B1029" s="33">
        <v>1</v>
      </c>
      <c r="C1029" t="s">
        <v>77</v>
      </c>
      <c r="D1029" t="s">
        <v>101</v>
      </c>
      <c r="E1029">
        <v>21</v>
      </c>
      <c r="F1029" s="2">
        <v>3.287671232876712E-2</v>
      </c>
    </row>
    <row r="1030" spans="2:6" x14ac:dyDescent="0.25">
      <c r="B1030" s="33">
        <v>1</v>
      </c>
      <c r="C1030" t="s">
        <v>66</v>
      </c>
      <c r="D1030" t="s">
        <v>129</v>
      </c>
      <c r="E1030">
        <v>21</v>
      </c>
      <c r="F1030" s="2">
        <v>8.4931506849315067E-2</v>
      </c>
    </row>
    <row r="1031" spans="2:6" x14ac:dyDescent="0.25">
      <c r="B1031" s="33">
        <v>1</v>
      </c>
      <c r="C1031" t="s">
        <v>1</v>
      </c>
      <c r="D1031" t="s">
        <v>143</v>
      </c>
      <c r="E1031">
        <v>23</v>
      </c>
      <c r="F1031" s="2">
        <v>6.3013698630136991E-2</v>
      </c>
    </row>
    <row r="1032" spans="2:6" x14ac:dyDescent="0.25">
      <c r="B1032" s="33">
        <v>1</v>
      </c>
      <c r="C1032" t="s">
        <v>66</v>
      </c>
      <c r="D1032" t="s">
        <v>122</v>
      </c>
      <c r="E1032">
        <v>17</v>
      </c>
      <c r="F1032" s="2">
        <v>8.4931506849315067E-2</v>
      </c>
    </row>
    <row r="1033" spans="2:6" x14ac:dyDescent="0.25">
      <c r="B1033" s="33">
        <v>1</v>
      </c>
      <c r="C1033" t="s">
        <v>1</v>
      </c>
      <c r="D1033" t="s">
        <v>110</v>
      </c>
      <c r="E1033">
        <v>23</v>
      </c>
      <c r="F1033" s="2">
        <v>6.3013698630136991E-2</v>
      </c>
    </row>
    <row r="1034" spans="2:6" x14ac:dyDescent="0.25">
      <c r="B1034" s="33">
        <v>1</v>
      </c>
      <c r="C1034" t="s">
        <v>6</v>
      </c>
      <c r="D1034" t="s">
        <v>42</v>
      </c>
      <c r="E1034">
        <v>12</v>
      </c>
      <c r="F1034" s="2">
        <v>6.575342465753424E-2</v>
      </c>
    </row>
    <row r="1035" spans="2:6" x14ac:dyDescent="0.25">
      <c r="B1035" s="33">
        <v>1</v>
      </c>
      <c r="C1035" t="s">
        <v>90</v>
      </c>
      <c r="D1035" t="s">
        <v>120</v>
      </c>
      <c r="E1035">
        <v>20</v>
      </c>
      <c r="F1035" s="2">
        <v>7.9452054794520555E-2</v>
      </c>
    </row>
    <row r="1036" spans="2:6" x14ac:dyDescent="0.25">
      <c r="B1036" s="33">
        <v>1</v>
      </c>
      <c r="C1036" t="s">
        <v>64</v>
      </c>
      <c r="D1036" t="s">
        <v>99</v>
      </c>
      <c r="E1036">
        <v>22</v>
      </c>
      <c r="F1036" s="2">
        <v>5.7534246575342465E-2</v>
      </c>
    </row>
    <row r="1037" spans="2:6" x14ac:dyDescent="0.25">
      <c r="B1037" s="33">
        <v>1</v>
      </c>
      <c r="C1037" t="s">
        <v>74</v>
      </c>
      <c r="D1037" t="s">
        <v>130</v>
      </c>
      <c r="E1037">
        <v>1</v>
      </c>
      <c r="F1037" s="2">
        <v>3.8356164383561646E-2</v>
      </c>
    </row>
    <row r="1038" spans="2:6" x14ac:dyDescent="0.25">
      <c r="B1038" s="33">
        <v>1</v>
      </c>
      <c r="C1038" t="s">
        <v>64</v>
      </c>
      <c r="D1038" t="s">
        <v>65</v>
      </c>
      <c r="E1038">
        <v>2</v>
      </c>
      <c r="F1038" s="2">
        <v>3.287671232876712E-2</v>
      </c>
    </row>
    <row r="1039" spans="2:6" x14ac:dyDescent="0.25">
      <c r="B1039" s="33">
        <v>1</v>
      </c>
      <c r="C1039" t="s">
        <v>72</v>
      </c>
      <c r="D1039" t="s">
        <v>125</v>
      </c>
      <c r="E1039">
        <v>7</v>
      </c>
      <c r="F1039" s="2">
        <v>4.6575342465753428E-2</v>
      </c>
    </row>
    <row r="1040" spans="2:6" x14ac:dyDescent="0.25">
      <c r="B1040" s="33">
        <v>1</v>
      </c>
      <c r="C1040" t="s">
        <v>66</v>
      </c>
      <c r="D1040" t="s">
        <v>129</v>
      </c>
      <c r="E1040">
        <v>0</v>
      </c>
      <c r="F1040" s="2">
        <v>4.3835616438356165E-2</v>
      </c>
    </row>
    <row r="1041" spans="2:6" x14ac:dyDescent="0.25">
      <c r="B1041" s="33">
        <v>1</v>
      </c>
      <c r="C1041" t="s">
        <v>90</v>
      </c>
      <c r="D1041" t="s">
        <v>91</v>
      </c>
      <c r="E1041">
        <v>5</v>
      </c>
      <c r="F1041" s="2">
        <v>4.3835616438356165E-2</v>
      </c>
    </row>
    <row r="1042" spans="2:6" x14ac:dyDescent="0.25">
      <c r="B1042" s="33">
        <v>1</v>
      </c>
      <c r="C1042" t="s">
        <v>88</v>
      </c>
      <c r="D1042" t="s">
        <v>89</v>
      </c>
      <c r="E1042">
        <v>3</v>
      </c>
      <c r="F1042" s="2">
        <v>4.6575342465753428E-2</v>
      </c>
    </row>
    <row r="1043" spans="2:6" x14ac:dyDescent="0.25">
      <c r="B1043" s="33">
        <v>1</v>
      </c>
      <c r="C1043" t="s">
        <v>69</v>
      </c>
      <c r="D1043" t="s">
        <v>183</v>
      </c>
      <c r="E1043">
        <v>7</v>
      </c>
      <c r="F1043" s="2">
        <v>2.1917808219178082E-2</v>
      </c>
    </row>
    <row r="1044" spans="2:6" x14ac:dyDescent="0.25">
      <c r="B1044" s="33">
        <v>1</v>
      </c>
      <c r="C1044" t="s">
        <v>90</v>
      </c>
      <c r="D1044" t="s">
        <v>109</v>
      </c>
      <c r="E1044">
        <v>0</v>
      </c>
      <c r="F1044" s="2">
        <v>4.1095890410958902E-2</v>
      </c>
    </row>
    <row r="1045" spans="2:6" x14ac:dyDescent="0.25">
      <c r="B1045" s="33">
        <v>1</v>
      </c>
      <c r="C1045" t="s">
        <v>72</v>
      </c>
      <c r="D1045" t="s">
        <v>73</v>
      </c>
      <c r="E1045">
        <v>6</v>
      </c>
      <c r="F1045" s="2">
        <v>4.6575342465753428E-2</v>
      </c>
    </row>
    <row r="1046" spans="2:6" x14ac:dyDescent="0.25">
      <c r="B1046" s="33">
        <v>1</v>
      </c>
      <c r="C1046" t="s">
        <v>72</v>
      </c>
      <c r="D1046" t="s">
        <v>163</v>
      </c>
      <c r="E1046">
        <v>7</v>
      </c>
      <c r="F1046" s="2">
        <v>4.6575342465753428E-2</v>
      </c>
    </row>
    <row r="1047" spans="2:6" x14ac:dyDescent="0.25">
      <c r="B1047" s="33">
        <v>1</v>
      </c>
      <c r="C1047" t="s">
        <v>3</v>
      </c>
      <c r="D1047" t="s">
        <v>195</v>
      </c>
      <c r="E1047">
        <v>13</v>
      </c>
      <c r="F1047" s="2">
        <v>4.3835616438356165E-2</v>
      </c>
    </row>
    <row r="1048" spans="2:6" x14ac:dyDescent="0.25">
      <c r="B1048" s="33">
        <v>1</v>
      </c>
      <c r="C1048" t="s">
        <v>0</v>
      </c>
      <c r="D1048" t="s">
        <v>133</v>
      </c>
      <c r="E1048">
        <v>14</v>
      </c>
      <c r="F1048" s="2">
        <v>0.10136986301369863</v>
      </c>
    </row>
    <row r="1049" spans="2:6" x14ac:dyDescent="0.25">
      <c r="B1049" s="33">
        <v>1</v>
      </c>
      <c r="C1049" t="s">
        <v>90</v>
      </c>
      <c r="D1049" t="s">
        <v>120</v>
      </c>
      <c r="E1049">
        <v>12</v>
      </c>
      <c r="F1049" s="2">
        <v>0.10136986301369863</v>
      </c>
    </row>
    <row r="1050" spans="2:6" x14ac:dyDescent="0.25">
      <c r="B1050" s="33">
        <v>1</v>
      </c>
      <c r="C1050" t="s">
        <v>6</v>
      </c>
      <c r="D1050" t="s">
        <v>23</v>
      </c>
      <c r="E1050">
        <v>21</v>
      </c>
      <c r="F1050" s="2">
        <v>6.3013698630136991E-2</v>
      </c>
    </row>
    <row r="1051" spans="2:6" x14ac:dyDescent="0.25">
      <c r="B1051" s="33">
        <v>1</v>
      </c>
      <c r="C1051" t="s">
        <v>6</v>
      </c>
      <c r="D1051" t="s">
        <v>28</v>
      </c>
      <c r="E1051">
        <v>7</v>
      </c>
      <c r="F1051" s="2">
        <v>6.3013698630136991E-2</v>
      </c>
    </row>
    <row r="1052" spans="2:6" x14ac:dyDescent="0.25">
      <c r="B1052" s="33">
        <v>1</v>
      </c>
      <c r="C1052" t="s">
        <v>4</v>
      </c>
      <c r="D1052" t="s">
        <v>106</v>
      </c>
      <c r="E1052">
        <v>9</v>
      </c>
      <c r="F1052" s="2">
        <v>7.1232876712328766E-2</v>
      </c>
    </row>
    <row r="1053" spans="2:6" x14ac:dyDescent="0.25">
      <c r="B1053" s="33">
        <v>1</v>
      </c>
      <c r="C1053" t="s">
        <v>3</v>
      </c>
      <c r="D1053" t="s">
        <v>84</v>
      </c>
      <c r="E1053">
        <v>12</v>
      </c>
      <c r="F1053" s="2">
        <v>4.3835616438356165E-2</v>
      </c>
    </row>
    <row r="1054" spans="2:6" x14ac:dyDescent="0.25">
      <c r="B1054" s="33">
        <v>1</v>
      </c>
      <c r="C1054" t="s">
        <v>77</v>
      </c>
      <c r="D1054" t="s">
        <v>196</v>
      </c>
      <c r="E1054">
        <v>8</v>
      </c>
      <c r="F1054" s="2">
        <v>3.5616438356164383E-2</v>
      </c>
    </row>
    <row r="1055" spans="2:6" x14ac:dyDescent="0.25">
      <c r="B1055" s="33">
        <v>1</v>
      </c>
      <c r="C1055" t="s">
        <v>72</v>
      </c>
      <c r="D1055" t="s">
        <v>187</v>
      </c>
      <c r="E1055">
        <v>13</v>
      </c>
      <c r="F1055" s="2">
        <v>6.575342465753424E-2</v>
      </c>
    </row>
    <row r="1056" spans="2:6" x14ac:dyDescent="0.25">
      <c r="B1056" s="33">
        <v>1</v>
      </c>
      <c r="C1056" t="s">
        <v>88</v>
      </c>
      <c r="D1056" t="s">
        <v>134</v>
      </c>
      <c r="E1056">
        <v>8</v>
      </c>
      <c r="F1056" s="2">
        <v>9.5890410958904104E-2</v>
      </c>
    </row>
    <row r="1057" spans="2:6" x14ac:dyDescent="0.25">
      <c r="B1057" s="33">
        <v>1</v>
      </c>
      <c r="C1057" t="s">
        <v>66</v>
      </c>
      <c r="D1057" t="s">
        <v>151</v>
      </c>
      <c r="E1057">
        <v>11</v>
      </c>
      <c r="F1057" s="2">
        <v>7.1232876712328766E-2</v>
      </c>
    </row>
    <row r="1058" spans="2:6" x14ac:dyDescent="0.25">
      <c r="B1058" s="33">
        <v>1</v>
      </c>
      <c r="C1058" t="s">
        <v>64</v>
      </c>
      <c r="D1058" t="s">
        <v>115</v>
      </c>
      <c r="E1058">
        <v>8</v>
      </c>
      <c r="F1058" s="2">
        <v>8.2191780821917804E-2</v>
      </c>
    </row>
    <row r="1059" spans="2:6" x14ac:dyDescent="0.25">
      <c r="B1059" s="33">
        <v>1</v>
      </c>
      <c r="C1059" t="s">
        <v>66</v>
      </c>
      <c r="D1059" t="s">
        <v>168</v>
      </c>
      <c r="E1059">
        <v>13</v>
      </c>
      <c r="F1059" s="2">
        <v>6.8493150684931503E-2</v>
      </c>
    </row>
    <row r="1060" spans="2:6" x14ac:dyDescent="0.25">
      <c r="B1060" s="33">
        <v>1</v>
      </c>
      <c r="C1060" t="s">
        <v>6</v>
      </c>
      <c r="D1060" t="s">
        <v>25</v>
      </c>
      <c r="E1060">
        <v>17</v>
      </c>
      <c r="F1060" s="2">
        <v>6.3013698630136991E-2</v>
      </c>
    </row>
    <row r="1061" spans="2:6" x14ac:dyDescent="0.25">
      <c r="B1061" s="33">
        <v>1</v>
      </c>
      <c r="C1061" t="s">
        <v>77</v>
      </c>
      <c r="D1061" t="s">
        <v>87</v>
      </c>
      <c r="E1061">
        <v>15</v>
      </c>
      <c r="F1061" s="2">
        <v>3.5616438356164383E-2</v>
      </c>
    </row>
    <row r="1062" spans="2:6" x14ac:dyDescent="0.25">
      <c r="B1062" s="33">
        <v>1</v>
      </c>
      <c r="C1062" t="s">
        <v>6</v>
      </c>
      <c r="D1062" t="s">
        <v>34</v>
      </c>
      <c r="E1062">
        <v>23</v>
      </c>
      <c r="F1062" s="2">
        <v>6.3013698630136991E-2</v>
      </c>
    </row>
    <row r="1063" spans="2:6" x14ac:dyDescent="0.25">
      <c r="B1063" s="33">
        <v>1</v>
      </c>
      <c r="C1063" t="s">
        <v>1</v>
      </c>
      <c r="D1063" t="s">
        <v>155</v>
      </c>
      <c r="E1063">
        <v>9</v>
      </c>
      <c r="F1063" s="2">
        <v>7.3972602739726029E-2</v>
      </c>
    </row>
    <row r="1064" spans="2:6" x14ac:dyDescent="0.25">
      <c r="B1064" s="33">
        <v>1</v>
      </c>
      <c r="C1064" t="s">
        <v>64</v>
      </c>
      <c r="D1064" t="s">
        <v>121</v>
      </c>
      <c r="E1064">
        <v>13</v>
      </c>
      <c r="F1064" s="2">
        <v>7.6712328767123292E-2</v>
      </c>
    </row>
    <row r="1065" spans="2:6" x14ac:dyDescent="0.25">
      <c r="B1065" s="33">
        <v>1</v>
      </c>
      <c r="C1065" t="s">
        <v>3</v>
      </c>
      <c r="D1065" t="s">
        <v>138</v>
      </c>
      <c r="E1065">
        <v>15</v>
      </c>
      <c r="F1065" s="2">
        <v>4.3835616438356165E-2</v>
      </c>
    </row>
    <row r="1066" spans="2:6" x14ac:dyDescent="0.25">
      <c r="B1066" s="33">
        <v>1</v>
      </c>
      <c r="C1066" t="s">
        <v>6</v>
      </c>
      <c r="D1066" t="s">
        <v>43</v>
      </c>
      <c r="E1066">
        <v>17</v>
      </c>
      <c r="F1066" s="2">
        <v>6.0273972602739728E-2</v>
      </c>
    </row>
    <row r="1067" spans="2:6" x14ac:dyDescent="0.25">
      <c r="B1067" s="33">
        <v>1</v>
      </c>
      <c r="C1067" t="s">
        <v>3</v>
      </c>
      <c r="D1067" t="s">
        <v>119</v>
      </c>
      <c r="E1067">
        <v>10</v>
      </c>
      <c r="F1067" s="2">
        <v>4.3835616438356165E-2</v>
      </c>
    </row>
    <row r="1068" spans="2:6" x14ac:dyDescent="0.25">
      <c r="B1068" s="33">
        <v>1</v>
      </c>
      <c r="C1068" t="s">
        <v>3</v>
      </c>
      <c r="D1068" t="s">
        <v>108</v>
      </c>
      <c r="E1068">
        <v>11</v>
      </c>
      <c r="F1068" s="2">
        <v>4.3835616438356165E-2</v>
      </c>
    </row>
    <row r="1069" spans="2:6" x14ac:dyDescent="0.25">
      <c r="B1069" s="33">
        <v>1</v>
      </c>
      <c r="C1069" t="s">
        <v>3</v>
      </c>
      <c r="D1069" t="s">
        <v>108</v>
      </c>
      <c r="E1069">
        <v>15</v>
      </c>
      <c r="F1069" s="2">
        <v>4.1095890410958902E-2</v>
      </c>
    </row>
    <row r="1070" spans="2:6" x14ac:dyDescent="0.25">
      <c r="B1070" s="33">
        <v>1</v>
      </c>
      <c r="C1070" t="s">
        <v>64</v>
      </c>
      <c r="D1070" t="s">
        <v>115</v>
      </c>
      <c r="E1070">
        <v>15</v>
      </c>
      <c r="F1070" s="2">
        <v>7.6712328767123292E-2</v>
      </c>
    </row>
    <row r="1071" spans="2:6" x14ac:dyDescent="0.25">
      <c r="B1071" s="33">
        <v>1</v>
      </c>
      <c r="C1071" t="s">
        <v>64</v>
      </c>
      <c r="D1071" t="s">
        <v>71</v>
      </c>
      <c r="E1071">
        <v>12</v>
      </c>
      <c r="F1071" s="2">
        <v>7.6712328767123292E-2</v>
      </c>
    </row>
    <row r="1072" spans="2:6" x14ac:dyDescent="0.25">
      <c r="B1072" s="33">
        <v>1</v>
      </c>
      <c r="C1072" t="s">
        <v>64</v>
      </c>
      <c r="D1072" t="s">
        <v>99</v>
      </c>
      <c r="E1072">
        <v>12</v>
      </c>
      <c r="F1072" s="2">
        <v>7.6712328767123292E-2</v>
      </c>
    </row>
    <row r="1073" spans="2:6" x14ac:dyDescent="0.25">
      <c r="B1073" s="33">
        <v>1</v>
      </c>
      <c r="C1073" t="s">
        <v>88</v>
      </c>
      <c r="D1073" t="s">
        <v>156</v>
      </c>
      <c r="E1073">
        <v>14</v>
      </c>
      <c r="F1073" s="2">
        <v>9.5890410958904104E-2</v>
      </c>
    </row>
    <row r="1074" spans="2:6" x14ac:dyDescent="0.25">
      <c r="B1074" s="33">
        <v>1</v>
      </c>
      <c r="C1074" t="s">
        <v>69</v>
      </c>
      <c r="D1074" t="s">
        <v>140</v>
      </c>
      <c r="E1074">
        <v>15</v>
      </c>
      <c r="F1074" s="2">
        <v>3.0136986301369864E-2</v>
      </c>
    </row>
    <row r="1075" spans="2:6" x14ac:dyDescent="0.25">
      <c r="B1075" s="33">
        <v>1</v>
      </c>
      <c r="C1075" t="s">
        <v>77</v>
      </c>
      <c r="D1075" t="s">
        <v>146</v>
      </c>
      <c r="E1075">
        <v>15</v>
      </c>
      <c r="F1075" s="2">
        <v>3.5616438356164383E-2</v>
      </c>
    </row>
    <row r="1076" spans="2:6" x14ac:dyDescent="0.25">
      <c r="B1076" s="33">
        <v>1</v>
      </c>
      <c r="C1076" t="s">
        <v>77</v>
      </c>
      <c r="D1076" t="s">
        <v>193</v>
      </c>
      <c r="E1076">
        <v>8</v>
      </c>
      <c r="F1076" s="2">
        <v>3.5616438356164383E-2</v>
      </c>
    </row>
    <row r="1077" spans="2:6" x14ac:dyDescent="0.25">
      <c r="B1077" s="33">
        <v>1</v>
      </c>
      <c r="C1077" t="s">
        <v>0</v>
      </c>
      <c r="D1077" t="s">
        <v>111</v>
      </c>
      <c r="E1077">
        <v>8</v>
      </c>
      <c r="F1077" s="2">
        <v>9.8630136986301367E-2</v>
      </c>
    </row>
    <row r="1078" spans="2:6" x14ac:dyDescent="0.25">
      <c r="B1078" s="33">
        <v>1</v>
      </c>
      <c r="C1078" t="s">
        <v>69</v>
      </c>
      <c r="D1078" t="s">
        <v>197</v>
      </c>
      <c r="E1078">
        <v>9</v>
      </c>
      <c r="F1078" s="2">
        <v>3.0136986301369864E-2</v>
      </c>
    </row>
    <row r="1079" spans="2:6" x14ac:dyDescent="0.25">
      <c r="B1079" s="33">
        <v>1</v>
      </c>
      <c r="C1079" t="s">
        <v>3</v>
      </c>
      <c r="D1079" t="s">
        <v>138</v>
      </c>
      <c r="E1079">
        <v>21</v>
      </c>
      <c r="F1079" s="2">
        <v>4.1095890410958902E-2</v>
      </c>
    </row>
    <row r="1080" spans="2:6" x14ac:dyDescent="0.25">
      <c r="B1080" s="33">
        <v>1</v>
      </c>
      <c r="C1080" t="s">
        <v>2</v>
      </c>
      <c r="D1080" t="s">
        <v>102</v>
      </c>
      <c r="E1080">
        <v>20</v>
      </c>
      <c r="F1080" s="2">
        <v>3.5616438356164383E-2</v>
      </c>
    </row>
    <row r="1081" spans="2:6" x14ac:dyDescent="0.25">
      <c r="B1081" s="33">
        <v>1</v>
      </c>
      <c r="C1081" t="s">
        <v>3</v>
      </c>
      <c r="D1081" t="s">
        <v>173</v>
      </c>
      <c r="E1081">
        <v>20</v>
      </c>
      <c r="F1081" s="2">
        <v>3.8356164383561646E-2</v>
      </c>
    </row>
    <row r="1082" spans="2:6" x14ac:dyDescent="0.25">
      <c r="B1082" s="33">
        <v>1</v>
      </c>
      <c r="C1082" t="s">
        <v>66</v>
      </c>
      <c r="D1082" t="s">
        <v>135</v>
      </c>
      <c r="E1082">
        <v>19</v>
      </c>
      <c r="F1082" s="2">
        <v>8.2191780821917804E-2</v>
      </c>
    </row>
    <row r="1083" spans="2:6" x14ac:dyDescent="0.25">
      <c r="B1083" s="33">
        <v>1</v>
      </c>
      <c r="C1083" t="s">
        <v>2</v>
      </c>
      <c r="D1083" t="s">
        <v>198</v>
      </c>
      <c r="E1083">
        <v>17</v>
      </c>
      <c r="F1083" s="2">
        <v>3.287671232876712E-2</v>
      </c>
    </row>
    <row r="1084" spans="2:6" x14ac:dyDescent="0.25">
      <c r="B1084" s="33">
        <v>1</v>
      </c>
      <c r="C1084" t="s">
        <v>66</v>
      </c>
      <c r="D1084" t="s">
        <v>67</v>
      </c>
      <c r="E1084">
        <v>21</v>
      </c>
      <c r="F1084" s="2">
        <v>8.2191780821917804E-2</v>
      </c>
    </row>
    <row r="1085" spans="2:6" x14ac:dyDescent="0.25">
      <c r="B1085" s="33">
        <v>1</v>
      </c>
      <c r="C1085" t="s">
        <v>88</v>
      </c>
      <c r="D1085" t="s">
        <v>117</v>
      </c>
      <c r="E1085">
        <v>22</v>
      </c>
      <c r="F1085" s="2">
        <v>8.2191780821917804E-2</v>
      </c>
    </row>
    <row r="1086" spans="2:6" x14ac:dyDescent="0.25">
      <c r="B1086" s="33">
        <v>1</v>
      </c>
      <c r="C1086" t="s">
        <v>72</v>
      </c>
      <c r="D1086" t="s">
        <v>76</v>
      </c>
      <c r="E1086">
        <v>19</v>
      </c>
      <c r="F1086" s="2">
        <v>7.6712328767123292E-2</v>
      </c>
    </row>
    <row r="1087" spans="2:6" x14ac:dyDescent="0.25">
      <c r="B1087" s="33">
        <v>1</v>
      </c>
      <c r="C1087" t="s">
        <v>72</v>
      </c>
      <c r="D1087" t="s">
        <v>76</v>
      </c>
      <c r="E1087">
        <v>20</v>
      </c>
      <c r="F1087" s="2">
        <v>7.1232876712328766E-2</v>
      </c>
    </row>
    <row r="1088" spans="2:6" x14ac:dyDescent="0.25">
      <c r="B1088" s="33">
        <v>1</v>
      </c>
      <c r="C1088" t="s">
        <v>72</v>
      </c>
      <c r="D1088" t="s">
        <v>149</v>
      </c>
      <c r="E1088">
        <v>17</v>
      </c>
      <c r="F1088" s="2">
        <v>7.1232876712328766E-2</v>
      </c>
    </row>
    <row r="1089" spans="2:6" x14ac:dyDescent="0.25">
      <c r="B1089" s="33">
        <v>1</v>
      </c>
      <c r="C1089" t="s">
        <v>90</v>
      </c>
      <c r="D1089" t="s">
        <v>91</v>
      </c>
      <c r="E1089">
        <v>23</v>
      </c>
      <c r="F1089" s="2">
        <v>6.575342465753424E-2</v>
      </c>
    </row>
    <row r="1090" spans="2:6" x14ac:dyDescent="0.25">
      <c r="B1090" s="33">
        <v>1</v>
      </c>
      <c r="C1090" t="s">
        <v>72</v>
      </c>
      <c r="D1090" t="s">
        <v>81</v>
      </c>
      <c r="E1090">
        <v>23</v>
      </c>
      <c r="F1090" s="2">
        <v>6.8493150684931503E-2</v>
      </c>
    </row>
    <row r="1091" spans="2:6" x14ac:dyDescent="0.25">
      <c r="B1091" s="33">
        <v>1</v>
      </c>
      <c r="C1091" t="s">
        <v>66</v>
      </c>
      <c r="D1091" t="s">
        <v>168</v>
      </c>
      <c r="E1091">
        <v>18</v>
      </c>
      <c r="F1091" s="2">
        <v>7.9452054794520555E-2</v>
      </c>
    </row>
    <row r="1092" spans="2:6" x14ac:dyDescent="0.25">
      <c r="B1092" s="33">
        <v>1</v>
      </c>
      <c r="C1092" t="s">
        <v>0</v>
      </c>
      <c r="D1092" t="s">
        <v>95</v>
      </c>
      <c r="E1092">
        <v>21</v>
      </c>
      <c r="F1092" s="2">
        <v>9.8630136986301367E-2</v>
      </c>
    </row>
    <row r="1093" spans="2:6" x14ac:dyDescent="0.25">
      <c r="B1093" s="33">
        <v>1</v>
      </c>
      <c r="C1093" t="s">
        <v>64</v>
      </c>
      <c r="D1093" t="s">
        <v>165</v>
      </c>
      <c r="E1093">
        <v>22</v>
      </c>
      <c r="F1093" s="2">
        <v>5.4794520547945206E-3</v>
      </c>
    </row>
    <row r="1094" spans="2:6" x14ac:dyDescent="0.25">
      <c r="B1094" s="33">
        <v>1</v>
      </c>
      <c r="C1094" t="s">
        <v>0</v>
      </c>
      <c r="D1094" t="s">
        <v>95</v>
      </c>
      <c r="E1094">
        <v>22</v>
      </c>
      <c r="F1094" s="2">
        <v>0.10684931506849316</v>
      </c>
    </row>
    <row r="1095" spans="2:6" x14ac:dyDescent="0.25">
      <c r="B1095" s="33">
        <v>1</v>
      </c>
      <c r="C1095" t="s">
        <v>6</v>
      </c>
      <c r="D1095" t="s">
        <v>34</v>
      </c>
      <c r="E1095">
        <v>14</v>
      </c>
      <c r="F1095" s="2">
        <v>6.0273972602739728E-2</v>
      </c>
    </row>
    <row r="1096" spans="2:6" x14ac:dyDescent="0.25">
      <c r="B1096" s="33">
        <v>1</v>
      </c>
      <c r="C1096" t="s">
        <v>69</v>
      </c>
      <c r="D1096" t="s">
        <v>181</v>
      </c>
      <c r="E1096">
        <v>19</v>
      </c>
      <c r="F1096" s="2">
        <v>2.7397260273972601E-2</v>
      </c>
    </row>
    <row r="1097" spans="2:6" x14ac:dyDescent="0.25">
      <c r="B1097" s="33">
        <v>1</v>
      </c>
      <c r="C1097" t="s">
        <v>0</v>
      </c>
      <c r="D1097" t="s">
        <v>133</v>
      </c>
      <c r="E1097">
        <v>7</v>
      </c>
      <c r="F1097" s="2">
        <v>4.3835616438356165E-2</v>
      </c>
    </row>
    <row r="1098" spans="2:6" x14ac:dyDescent="0.25">
      <c r="B1098" s="33">
        <v>1</v>
      </c>
      <c r="C1098" t="s">
        <v>77</v>
      </c>
      <c r="D1098" t="s">
        <v>97</v>
      </c>
      <c r="E1098">
        <v>2</v>
      </c>
      <c r="F1098" s="2">
        <v>1.643835616438356E-2</v>
      </c>
    </row>
    <row r="1099" spans="2:6" x14ac:dyDescent="0.25">
      <c r="B1099" s="33">
        <v>1</v>
      </c>
      <c r="C1099" t="s">
        <v>6</v>
      </c>
      <c r="D1099" t="s">
        <v>30</v>
      </c>
      <c r="E1099">
        <v>23</v>
      </c>
      <c r="F1099" s="2">
        <v>6.0273972602739728E-2</v>
      </c>
    </row>
    <row r="1100" spans="2:6" x14ac:dyDescent="0.25">
      <c r="B1100" s="33">
        <v>1</v>
      </c>
      <c r="C1100" t="s">
        <v>88</v>
      </c>
      <c r="D1100" t="s">
        <v>114</v>
      </c>
      <c r="E1100">
        <v>1</v>
      </c>
      <c r="F1100" s="2">
        <v>4.3835616438356165E-2</v>
      </c>
    </row>
    <row r="1101" spans="2:6" x14ac:dyDescent="0.25">
      <c r="B1101" s="33">
        <v>1</v>
      </c>
      <c r="C1101" t="s">
        <v>88</v>
      </c>
      <c r="D1101" t="s">
        <v>117</v>
      </c>
      <c r="E1101">
        <v>5</v>
      </c>
      <c r="F1101" s="2">
        <v>3.8356164383561646E-2</v>
      </c>
    </row>
    <row r="1102" spans="2:6" x14ac:dyDescent="0.25">
      <c r="B1102" s="33">
        <v>1</v>
      </c>
      <c r="C1102" t="s">
        <v>3</v>
      </c>
      <c r="D1102" t="s">
        <v>138</v>
      </c>
      <c r="E1102">
        <v>0</v>
      </c>
      <c r="F1102" s="2">
        <v>2.7397260273972601E-2</v>
      </c>
    </row>
    <row r="1103" spans="2:6" x14ac:dyDescent="0.25">
      <c r="B1103" s="33">
        <v>1</v>
      </c>
      <c r="C1103" t="s">
        <v>77</v>
      </c>
      <c r="D1103" t="s">
        <v>87</v>
      </c>
      <c r="E1103">
        <v>5</v>
      </c>
      <c r="F1103" s="2">
        <v>1.643835616438356E-2</v>
      </c>
    </row>
    <row r="1104" spans="2:6" x14ac:dyDescent="0.25">
      <c r="B1104" s="33">
        <v>1</v>
      </c>
      <c r="C1104" t="s">
        <v>64</v>
      </c>
      <c r="D1104" t="s">
        <v>116</v>
      </c>
      <c r="E1104">
        <v>1</v>
      </c>
      <c r="F1104" s="2">
        <v>3.287671232876712E-2</v>
      </c>
    </row>
    <row r="1105" spans="2:6" x14ac:dyDescent="0.25">
      <c r="B1105" s="33">
        <v>1</v>
      </c>
      <c r="C1105" t="s">
        <v>1</v>
      </c>
      <c r="D1105" t="s">
        <v>92</v>
      </c>
      <c r="E1105">
        <v>2</v>
      </c>
      <c r="F1105" s="2">
        <v>3.5616438356164383E-2</v>
      </c>
    </row>
    <row r="1106" spans="2:6" x14ac:dyDescent="0.25">
      <c r="B1106" s="33">
        <v>1</v>
      </c>
      <c r="C1106" t="s">
        <v>6</v>
      </c>
      <c r="D1106" t="s">
        <v>28</v>
      </c>
      <c r="E1106">
        <v>23</v>
      </c>
      <c r="F1106" s="2">
        <v>5.7534246575342465E-2</v>
      </c>
    </row>
    <row r="1107" spans="2:6" x14ac:dyDescent="0.25">
      <c r="B1107" s="33">
        <v>1</v>
      </c>
      <c r="C1107" t="s">
        <v>0</v>
      </c>
      <c r="D1107" t="s">
        <v>150</v>
      </c>
      <c r="E1107">
        <v>0</v>
      </c>
      <c r="F1107" s="2">
        <v>4.3835616438356165E-2</v>
      </c>
    </row>
    <row r="1108" spans="2:6" x14ac:dyDescent="0.25">
      <c r="B1108" s="33">
        <v>1</v>
      </c>
      <c r="C1108" t="s">
        <v>72</v>
      </c>
      <c r="D1108" t="s">
        <v>81</v>
      </c>
      <c r="E1108">
        <v>2</v>
      </c>
      <c r="F1108" s="2">
        <v>4.3835616438356165E-2</v>
      </c>
    </row>
    <row r="1109" spans="2:6" x14ac:dyDescent="0.25">
      <c r="B1109" s="33">
        <v>1</v>
      </c>
      <c r="C1109" t="s">
        <v>90</v>
      </c>
      <c r="D1109" t="s">
        <v>164</v>
      </c>
      <c r="E1109">
        <v>6</v>
      </c>
      <c r="F1109" s="2">
        <v>4.1095890410958902E-2</v>
      </c>
    </row>
    <row r="1110" spans="2:6" x14ac:dyDescent="0.25">
      <c r="B1110" s="33">
        <v>1</v>
      </c>
      <c r="C1110" t="s">
        <v>66</v>
      </c>
      <c r="D1110" t="s">
        <v>80</v>
      </c>
      <c r="E1110">
        <v>3</v>
      </c>
      <c r="F1110" s="2">
        <v>4.3835616438356165E-2</v>
      </c>
    </row>
    <row r="1111" spans="2:6" x14ac:dyDescent="0.25">
      <c r="B1111" s="33">
        <v>1</v>
      </c>
      <c r="C1111" t="s">
        <v>66</v>
      </c>
      <c r="D1111" t="s">
        <v>182</v>
      </c>
      <c r="E1111">
        <v>9</v>
      </c>
      <c r="F1111" s="2">
        <v>6.8493150684931503E-2</v>
      </c>
    </row>
    <row r="1112" spans="2:6" x14ac:dyDescent="0.25">
      <c r="B1112" s="33">
        <v>1</v>
      </c>
      <c r="C1112" t="s">
        <v>74</v>
      </c>
      <c r="D1112" t="s">
        <v>75</v>
      </c>
      <c r="E1112">
        <v>10</v>
      </c>
      <c r="F1112" s="2">
        <v>0.10136986301369863</v>
      </c>
    </row>
    <row r="1113" spans="2:6" x14ac:dyDescent="0.25">
      <c r="B1113" s="33">
        <v>1</v>
      </c>
      <c r="C1113" t="s">
        <v>3</v>
      </c>
      <c r="D1113" t="s">
        <v>161</v>
      </c>
      <c r="E1113">
        <v>9</v>
      </c>
      <c r="F1113" s="2">
        <v>4.1095890410958902E-2</v>
      </c>
    </row>
    <row r="1114" spans="2:6" x14ac:dyDescent="0.25">
      <c r="B1114" s="33">
        <v>1</v>
      </c>
      <c r="C1114" t="s">
        <v>3</v>
      </c>
      <c r="D1114" t="s">
        <v>138</v>
      </c>
      <c r="E1114">
        <v>11</v>
      </c>
      <c r="F1114" s="2">
        <v>4.1095890410958902E-2</v>
      </c>
    </row>
    <row r="1115" spans="2:6" x14ac:dyDescent="0.25">
      <c r="B1115" s="33">
        <v>1</v>
      </c>
      <c r="C1115" t="s">
        <v>69</v>
      </c>
      <c r="D1115" t="s">
        <v>86</v>
      </c>
      <c r="E1115">
        <v>9</v>
      </c>
      <c r="F1115" s="2">
        <v>3.0136986301369864E-2</v>
      </c>
    </row>
    <row r="1116" spans="2:6" x14ac:dyDescent="0.25">
      <c r="B1116" s="33">
        <v>1</v>
      </c>
      <c r="C1116" t="s">
        <v>88</v>
      </c>
      <c r="D1116" t="s">
        <v>134</v>
      </c>
      <c r="E1116">
        <v>13</v>
      </c>
      <c r="F1116" s="2">
        <v>9.3150684931506855E-2</v>
      </c>
    </row>
    <row r="1117" spans="2:6" x14ac:dyDescent="0.25">
      <c r="B1117" s="33">
        <v>1</v>
      </c>
      <c r="C1117" t="s">
        <v>69</v>
      </c>
      <c r="D1117" t="s">
        <v>199</v>
      </c>
      <c r="E1117">
        <v>13</v>
      </c>
      <c r="F1117" s="2">
        <v>3.0136986301369864E-2</v>
      </c>
    </row>
    <row r="1118" spans="2:6" x14ac:dyDescent="0.25">
      <c r="B1118" s="33">
        <v>1</v>
      </c>
      <c r="C1118" t="s">
        <v>3</v>
      </c>
      <c r="D1118" t="s">
        <v>84</v>
      </c>
      <c r="E1118">
        <v>13</v>
      </c>
      <c r="F1118" s="2">
        <v>4.1095890410958902E-2</v>
      </c>
    </row>
    <row r="1119" spans="2:6" x14ac:dyDescent="0.25">
      <c r="B1119" s="33">
        <v>1</v>
      </c>
      <c r="C1119" t="s">
        <v>64</v>
      </c>
      <c r="D1119" t="s">
        <v>121</v>
      </c>
      <c r="E1119">
        <v>12</v>
      </c>
      <c r="F1119" s="2">
        <v>7.3972602739726029E-2</v>
      </c>
    </row>
    <row r="1120" spans="2:6" x14ac:dyDescent="0.25">
      <c r="B1120" s="33">
        <v>1</v>
      </c>
      <c r="C1120" t="s">
        <v>3</v>
      </c>
      <c r="D1120" t="s">
        <v>161</v>
      </c>
      <c r="E1120">
        <v>14</v>
      </c>
      <c r="F1120" s="2">
        <v>4.1095890410958902E-2</v>
      </c>
    </row>
    <row r="1121" spans="2:6" x14ac:dyDescent="0.25">
      <c r="B1121" s="33">
        <v>1</v>
      </c>
      <c r="C1121" t="s">
        <v>6</v>
      </c>
      <c r="D1121" t="s">
        <v>23</v>
      </c>
      <c r="E1121">
        <v>12</v>
      </c>
      <c r="F1121" s="2">
        <v>5.7534246575342465E-2</v>
      </c>
    </row>
    <row r="1122" spans="2:6" x14ac:dyDescent="0.25">
      <c r="B1122" s="33">
        <v>1</v>
      </c>
      <c r="C1122" t="s">
        <v>1</v>
      </c>
      <c r="D1122" t="s">
        <v>200</v>
      </c>
      <c r="E1122">
        <v>15</v>
      </c>
      <c r="F1122" s="2">
        <v>7.3972602739726029E-2</v>
      </c>
    </row>
    <row r="1123" spans="2:6" x14ac:dyDescent="0.25">
      <c r="B1123" s="33">
        <v>1</v>
      </c>
      <c r="C1123" t="s">
        <v>66</v>
      </c>
      <c r="D1123" t="s">
        <v>93</v>
      </c>
      <c r="E1123">
        <v>14</v>
      </c>
      <c r="F1123" s="2">
        <v>6.575342465753424E-2</v>
      </c>
    </row>
    <row r="1124" spans="2:6" x14ac:dyDescent="0.25">
      <c r="B1124" s="33">
        <v>1</v>
      </c>
      <c r="C1124" t="s">
        <v>72</v>
      </c>
      <c r="D1124" t="s">
        <v>187</v>
      </c>
      <c r="E1124">
        <v>8</v>
      </c>
      <c r="F1124" s="2">
        <v>6.3013698630136991E-2</v>
      </c>
    </row>
    <row r="1125" spans="2:6" x14ac:dyDescent="0.25">
      <c r="B1125" s="33">
        <v>1</v>
      </c>
      <c r="C1125" t="s">
        <v>66</v>
      </c>
      <c r="D1125" t="s">
        <v>107</v>
      </c>
      <c r="E1125">
        <v>21</v>
      </c>
      <c r="F1125" s="2">
        <v>7.9452054794520555E-2</v>
      </c>
    </row>
    <row r="1126" spans="2:6" x14ac:dyDescent="0.25">
      <c r="B1126" s="33">
        <v>1</v>
      </c>
      <c r="C1126" t="s">
        <v>88</v>
      </c>
      <c r="D1126" t="s">
        <v>117</v>
      </c>
      <c r="E1126">
        <v>23</v>
      </c>
      <c r="F1126" s="2">
        <v>7.6712328767123292E-2</v>
      </c>
    </row>
    <row r="1127" spans="2:6" x14ac:dyDescent="0.25">
      <c r="B1127" s="33">
        <v>1</v>
      </c>
      <c r="C1127" t="s">
        <v>69</v>
      </c>
      <c r="D1127" t="s">
        <v>154</v>
      </c>
      <c r="E1127">
        <v>17</v>
      </c>
      <c r="F1127" s="2">
        <v>2.7397260273972601E-2</v>
      </c>
    </row>
    <row r="1128" spans="2:6" x14ac:dyDescent="0.25">
      <c r="B1128" s="33">
        <v>1</v>
      </c>
      <c r="C1128" t="s">
        <v>4</v>
      </c>
      <c r="D1128" t="s">
        <v>153</v>
      </c>
      <c r="E1128">
        <v>18</v>
      </c>
      <c r="F1128" s="2">
        <v>6.8493150684931503E-2</v>
      </c>
    </row>
    <row r="1129" spans="2:6" x14ac:dyDescent="0.25">
      <c r="B1129" s="33">
        <v>1</v>
      </c>
      <c r="C1129" t="s">
        <v>66</v>
      </c>
      <c r="D1129" t="s">
        <v>182</v>
      </c>
      <c r="E1129">
        <v>17</v>
      </c>
      <c r="F1129" s="2">
        <v>7.6712328767123292E-2</v>
      </c>
    </row>
    <row r="1130" spans="2:6" x14ac:dyDescent="0.25">
      <c r="B1130" s="33">
        <v>1</v>
      </c>
      <c r="C1130" t="s">
        <v>72</v>
      </c>
      <c r="D1130" t="s">
        <v>81</v>
      </c>
      <c r="E1130">
        <v>22</v>
      </c>
      <c r="F1130" s="2">
        <v>6.8493150684931503E-2</v>
      </c>
    </row>
    <row r="1131" spans="2:6" x14ac:dyDescent="0.25">
      <c r="B1131" s="33">
        <v>1</v>
      </c>
      <c r="C1131" t="s">
        <v>88</v>
      </c>
      <c r="D1131" t="s">
        <v>201</v>
      </c>
      <c r="E1131">
        <v>18</v>
      </c>
      <c r="F1131" s="2">
        <v>7.6712328767123292E-2</v>
      </c>
    </row>
    <row r="1132" spans="2:6" x14ac:dyDescent="0.25">
      <c r="B1132" s="33">
        <v>1</v>
      </c>
      <c r="C1132" t="s">
        <v>88</v>
      </c>
      <c r="D1132" t="s">
        <v>160</v>
      </c>
      <c r="E1132">
        <v>19</v>
      </c>
      <c r="F1132" s="2">
        <v>7.3972602739726029E-2</v>
      </c>
    </row>
    <row r="1133" spans="2:6" x14ac:dyDescent="0.25">
      <c r="B1133" s="33">
        <v>1</v>
      </c>
      <c r="C1133" t="s">
        <v>6</v>
      </c>
      <c r="D1133" t="s">
        <v>43</v>
      </c>
      <c r="E1133">
        <v>13</v>
      </c>
      <c r="F1133" s="2">
        <v>5.7534246575342465E-2</v>
      </c>
    </row>
    <row r="1134" spans="2:6" x14ac:dyDescent="0.25">
      <c r="B1134" s="33">
        <v>1</v>
      </c>
      <c r="C1134" t="s">
        <v>1</v>
      </c>
      <c r="D1134" t="s">
        <v>110</v>
      </c>
      <c r="E1134">
        <v>22</v>
      </c>
      <c r="F1134" s="2">
        <v>6.0273972602739728E-2</v>
      </c>
    </row>
    <row r="1135" spans="2:6" x14ac:dyDescent="0.25">
      <c r="B1135" s="33">
        <v>1</v>
      </c>
      <c r="C1135" t="s">
        <v>72</v>
      </c>
      <c r="D1135" t="s">
        <v>73</v>
      </c>
      <c r="E1135">
        <v>22</v>
      </c>
      <c r="F1135" s="2">
        <v>6.0273972602739728E-2</v>
      </c>
    </row>
    <row r="1136" spans="2:6" x14ac:dyDescent="0.25">
      <c r="B1136" s="33">
        <v>1</v>
      </c>
      <c r="C1136" t="s">
        <v>88</v>
      </c>
      <c r="D1136" t="s">
        <v>134</v>
      </c>
      <c r="E1136">
        <v>20</v>
      </c>
      <c r="F1136" s="2">
        <v>7.1232876712328766E-2</v>
      </c>
    </row>
    <row r="1137" spans="2:6" x14ac:dyDescent="0.25">
      <c r="B1137" s="33">
        <v>1</v>
      </c>
      <c r="C1137" t="s">
        <v>64</v>
      </c>
      <c r="D1137" t="s">
        <v>179</v>
      </c>
      <c r="E1137">
        <v>23</v>
      </c>
      <c r="F1137" s="2">
        <v>1.9178082191780823E-2</v>
      </c>
    </row>
    <row r="1138" spans="2:6" x14ac:dyDescent="0.25">
      <c r="B1138" s="33">
        <v>1</v>
      </c>
      <c r="C1138" t="s">
        <v>69</v>
      </c>
      <c r="D1138" t="s">
        <v>184</v>
      </c>
      <c r="E1138">
        <v>17</v>
      </c>
      <c r="F1138" s="2">
        <v>2.7397260273972601E-2</v>
      </c>
    </row>
    <row r="1139" spans="2:6" x14ac:dyDescent="0.25">
      <c r="B1139" s="33">
        <v>1</v>
      </c>
      <c r="C1139" t="s">
        <v>64</v>
      </c>
      <c r="D1139" t="s">
        <v>68</v>
      </c>
      <c r="E1139">
        <v>0</v>
      </c>
      <c r="F1139" s="2">
        <v>3.0136986301369864E-2</v>
      </c>
    </row>
    <row r="1140" spans="2:6" x14ac:dyDescent="0.25">
      <c r="B1140" s="33">
        <v>1</v>
      </c>
      <c r="C1140" t="s">
        <v>88</v>
      </c>
      <c r="D1140" t="s">
        <v>117</v>
      </c>
      <c r="E1140">
        <v>4</v>
      </c>
      <c r="F1140" s="2">
        <v>3.8356164383561646E-2</v>
      </c>
    </row>
    <row r="1141" spans="2:6" x14ac:dyDescent="0.25">
      <c r="B1141" s="33">
        <v>1</v>
      </c>
      <c r="C1141" t="s">
        <v>90</v>
      </c>
      <c r="D1141" t="s">
        <v>91</v>
      </c>
      <c r="E1141">
        <v>6</v>
      </c>
      <c r="F1141" s="2">
        <v>3.8356164383561646E-2</v>
      </c>
    </row>
    <row r="1142" spans="2:6" x14ac:dyDescent="0.25">
      <c r="B1142" s="33">
        <v>1</v>
      </c>
      <c r="C1142" t="s">
        <v>88</v>
      </c>
      <c r="D1142" t="s">
        <v>156</v>
      </c>
      <c r="E1142">
        <v>0</v>
      </c>
      <c r="F1142" s="2">
        <v>3.5616438356164383E-2</v>
      </c>
    </row>
    <row r="1143" spans="2:6" x14ac:dyDescent="0.25">
      <c r="B1143" s="33">
        <v>1</v>
      </c>
      <c r="C1143" t="s">
        <v>2</v>
      </c>
      <c r="D1143" t="s">
        <v>198</v>
      </c>
      <c r="E1143">
        <v>1</v>
      </c>
      <c r="F1143" s="2">
        <v>8.21917808219178E-3</v>
      </c>
    </row>
    <row r="1144" spans="2:6" x14ac:dyDescent="0.25">
      <c r="B1144" s="33">
        <v>1</v>
      </c>
      <c r="C1144" t="s">
        <v>88</v>
      </c>
      <c r="D1144" t="s">
        <v>156</v>
      </c>
      <c r="E1144">
        <v>3</v>
      </c>
      <c r="F1144" s="2">
        <v>3.5616438356164383E-2</v>
      </c>
    </row>
    <row r="1145" spans="2:6" x14ac:dyDescent="0.25">
      <c r="B1145" s="33">
        <v>1</v>
      </c>
      <c r="C1145" t="s">
        <v>66</v>
      </c>
      <c r="D1145" t="s">
        <v>107</v>
      </c>
      <c r="E1145">
        <v>0</v>
      </c>
      <c r="F1145" s="2">
        <v>3.8356164383561646E-2</v>
      </c>
    </row>
    <row r="1146" spans="2:6" x14ac:dyDescent="0.25">
      <c r="B1146" s="33">
        <v>1</v>
      </c>
      <c r="C1146" t="s">
        <v>3</v>
      </c>
      <c r="D1146" t="s">
        <v>157</v>
      </c>
      <c r="E1146">
        <v>13</v>
      </c>
      <c r="F1146" s="2">
        <v>4.1095890410958902E-2</v>
      </c>
    </row>
    <row r="1147" spans="2:6" x14ac:dyDescent="0.25">
      <c r="B1147" s="33">
        <v>1</v>
      </c>
      <c r="C1147" t="s">
        <v>77</v>
      </c>
      <c r="D1147" t="s">
        <v>146</v>
      </c>
      <c r="E1147">
        <v>12</v>
      </c>
      <c r="F1147" s="2">
        <v>3.5616438356164383E-2</v>
      </c>
    </row>
    <row r="1148" spans="2:6" x14ac:dyDescent="0.25">
      <c r="B1148" s="33">
        <v>1</v>
      </c>
      <c r="C1148" t="s">
        <v>64</v>
      </c>
      <c r="D1148" t="s">
        <v>68</v>
      </c>
      <c r="E1148">
        <v>11</v>
      </c>
      <c r="F1148" s="2">
        <v>7.1232876712328766E-2</v>
      </c>
    </row>
    <row r="1149" spans="2:6" x14ac:dyDescent="0.25">
      <c r="B1149" s="33">
        <v>1</v>
      </c>
      <c r="C1149" t="s">
        <v>66</v>
      </c>
      <c r="D1149" t="s">
        <v>202</v>
      </c>
      <c r="E1149">
        <v>11</v>
      </c>
      <c r="F1149" s="2">
        <v>6.575342465753424E-2</v>
      </c>
    </row>
    <row r="1150" spans="2:6" x14ac:dyDescent="0.25">
      <c r="B1150" s="33">
        <v>1</v>
      </c>
      <c r="C1150" t="s">
        <v>88</v>
      </c>
      <c r="D1150" t="s">
        <v>160</v>
      </c>
      <c r="E1150">
        <v>8</v>
      </c>
      <c r="F1150" s="2">
        <v>9.3150684931506855E-2</v>
      </c>
    </row>
    <row r="1151" spans="2:6" x14ac:dyDescent="0.25">
      <c r="B1151" s="33">
        <v>1</v>
      </c>
      <c r="C1151" t="s">
        <v>74</v>
      </c>
      <c r="D1151" t="s">
        <v>130</v>
      </c>
      <c r="E1151">
        <v>13</v>
      </c>
      <c r="F1151" s="2">
        <v>9.8630136986301367E-2</v>
      </c>
    </row>
    <row r="1152" spans="2:6" x14ac:dyDescent="0.25">
      <c r="B1152" s="33">
        <v>1</v>
      </c>
      <c r="C1152" t="s">
        <v>90</v>
      </c>
      <c r="D1152" t="s">
        <v>120</v>
      </c>
      <c r="E1152">
        <v>9</v>
      </c>
      <c r="F1152" s="2">
        <v>9.8630136986301367E-2</v>
      </c>
    </row>
    <row r="1153" spans="2:6" x14ac:dyDescent="0.25">
      <c r="B1153" s="33">
        <v>1</v>
      </c>
      <c r="C1153" t="s">
        <v>3</v>
      </c>
      <c r="D1153" t="s">
        <v>203</v>
      </c>
      <c r="E1153">
        <v>9</v>
      </c>
      <c r="F1153" s="2">
        <v>4.1095890410958902E-2</v>
      </c>
    </row>
    <row r="1154" spans="2:6" x14ac:dyDescent="0.25">
      <c r="B1154" s="33">
        <v>1</v>
      </c>
      <c r="C1154" t="s">
        <v>0</v>
      </c>
      <c r="D1154" t="s">
        <v>111</v>
      </c>
      <c r="E1154">
        <v>13</v>
      </c>
      <c r="F1154" s="2">
        <v>9.5890410958904104E-2</v>
      </c>
    </row>
    <row r="1155" spans="2:6" x14ac:dyDescent="0.25">
      <c r="B1155" s="33">
        <v>1</v>
      </c>
      <c r="C1155" t="s">
        <v>1</v>
      </c>
      <c r="D1155" t="s">
        <v>144</v>
      </c>
      <c r="E1155">
        <v>8</v>
      </c>
      <c r="F1155" s="2">
        <v>7.3972602739726029E-2</v>
      </c>
    </row>
    <row r="1156" spans="2:6" x14ac:dyDescent="0.25">
      <c r="B1156" s="33">
        <v>1</v>
      </c>
      <c r="C1156" t="s">
        <v>77</v>
      </c>
      <c r="D1156" t="s">
        <v>136</v>
      </c>
      <c r="E1156">
        <v>9</v>
      </c>
      <c r="F1156" s="2">
        <v>3.5616438356164383E-2</v>
      </c>
    </row>
    <row r="1157" spans="2:6" x14ac:dyDescent="0.25">
      <c r="B1157" s="33">
        <v>1</v>
      </c>
      <c r="C1157" t="s">
        <v>103</v>
      </c>
      <c r="D1157" t="s">
        <v>141</v>
      </c>
      <c r="E1157">
        <v>8</v>
      </c>
      <c r="F1157" s="2">
        <v>5.7534246575342465E-2</v>
      </c>
    </row>
    <row r="1158" spans="2:6" x14ac:dyDescent="0.25">
      <c r="B1158" s="33">
        <v>1</v>
      </c>
      <c r="C1158" t="s">
        <v>66</v>
      </c>
      <c r="D1158" t="s">
        <v>168</v>
      </c>
      <c r="E1158">
        <v>11</v>
      </c>
      <c r="F1158" s="2">
        <v>6.575342465753424E-2</v>
      </c>
    </row>
    <row r="1159" spans="2:6" x14ac:dyDescent="0.25">
      <c r="B1159" s="33">
        <v>1</v>
      </c>
      <c r="C1159" t="s">
        <v>6</v>
      </c>
      <c r="D1159" t="s">
        <v>34</v>
      </c>
      <c r="E1159">
        <v>9</v>
      </c>
      <c r="F1159" s="2">
        <v>5.7534246575342465E-2</v>
      </c>
    </row>
    <row r="1160" spans="2:6" x14ac:dyDescent="0.25">
      <c r="B1160" s="33">
        <v>1</v>
      </c>
      <c r="C1160" t="s">
        <v>103</v>
      </c>
      <c r="D1160" t="s">
        <v>104</v>
      </c>
      <c r="E1160">
        <v>13</v>
      </c>
      <c r="F1160" s="2">
        <v>5.7534246575342465E-2</v>
      </c>
    </row>
    <row r="1161" spans="2:6" x14ac:dyDescent="0.25">
      <c r="B1161" s="33">
        <v>1</v>
      </c>
      <c r="C1161" t="s">
        <v>69</v>
      </c>
      <c r="D1161" t="s">
        <v>140</v>
      </c>
      <c r="E1161">
        <v>11</v>
      </c>
      <c r="F1161" s="2">
        <v>2.7397260273972601E-2</v>
      </c>
    </row>
    <row r="1162" spans="2:6" x14ac:dyDescent="0.25">
      <c r="B1162" s="33">
        <v>1</v>
      </c>
      <c r="C1162" t="s">
        <v>2</v>
      </c>
      <c r="D1162" t="s">
        <v>102</v>
      </c>
      <c r="E1162">
        <v>10</v>
      </c>
      <c r="F1162" s="2">
        <v>3.287671232876712E-2</v>
      </c>
    </row>
    <row r="1163" spans="2:6" x14ac:dyDescent="0.25">
      <c r="B1163" s="33">
        <v>1</v>
      </c>
      <c r="C1163" t="s">
        <v>3</v>
      </c>
      <c r="D1163" t="s">
        <v>157</v>
      </c>
      <c r="E1163">
        <v>10</v>
      </c>
      <c r="F1163" s="2">
        <v>4.1095890410958902E-2</v>
      </c>
    </row>
    <row r="1164" spans="2:6" x14ac:dyDescent="0.25">
      <c r="B1164" s="33">
        <v>1</v>
      </c>
      <c r="C1164" t="s">
        <v>69</v>
      </c>
      <c r="D1164" t="s">
        <v>190</v>
      </c>
      <c r="E1164">
        <v>12</v>
      </c>
      <c r="F1164" s="2">
        <v>2.7397260273972601E-2</v>
      </c>
    </row>
    <row r="1165" spans="2:6" x14ac:dyDescent="0.25">
      <c r="B1165" s="33">
        <v>1</v>
      </c>
      <c r="C1165" t="s">
        <v>77</v>
      </c>
      <c r="D1165" t="s">
        <v>87</v>
      </c>
      <c r="E1165">
        <v>13</v>
      </c>
      <c r="F1165" s="2">
        <v>3.5616438356164383E-2</v>
      </c>
    </row>
    <row r="1166" spans="2:6" x14ac:dyDescent="0.25">
      <c r="B1166" s="33">
        <v>1</v>
      </c>
      <c r="C1166" t="s">
        <v>69</v>
      </c>
      <c r="D1166" t="s">
        <v>148</v>
      </c>
      <c r="E1166">
        <v>9</v>
      </c>
      <c r="F1166" s="2">
        <v>2.7397260273972601E-2</v>
      </c>
    </row>
    <row r="1167" spans="2:6" x14ac:dyDescent="0.25">
      <c r="B1167" s="33">
        <v>1</v>
      </c>
      <c r="C1167" t="s">
        <v>72</v>
      </c>
      <c r="D1167" t="s">
        <v>163</v>
      </c>
      <c r="E1167">
        <v>13</v>
      </c>
      <c r="F1167" s="2">
        <v>6.3013698630136991E-2</v>
      </c>
    </row>
    <row r="1168" spans="2:6" x14ac:dyDescent="0.25">
      <c r="B1168" s="33">
        <v>1</v>
      </c>
      <c r="C1168" t="s">
        <v>3</v>
      </c>
      <c r="D1168" t="s">
        <v>157</v>
      </c>
      <c r="E1168">
        <v>15</v>
      </c>
      <c r="F1168" s="2">
        <v>4.1095890410958902E-2</v>
      </c>
    </row>
    <row r="1169" spans="2:6" x14ac:dyDescent="0.25">
      <c r="B1169" s="33">
        <v>1</v>
      </c>
      <c r="C1169" t="s">
        <v>69</v>
      </c>
      <c r="D1169" t="s">
        <v>113</v>
      </c>
      <c r="E1169">
        <v>12</v>
      </c>
      <c r="F1169" s="2">
        <v>2.7397260273972601E-2</v>
      </c>
    </row>
    <row r="1170" spans="2:6" x14ac:dyDescent="0.25">
      <c r="B1170" s="33">
        <v>1</v>
      </c>
      <c r="C1170" t="s">
        <v>77</v>
      </c>
      <c r="D1170" t="s">
        <v>204</v>
      </c>
      <c r="E1170">
        <v>8</v>
      </c>
      <c r="F1170" s="2">
        <v>3.5616438356164383E-2</v>
      </c>
    </row>
    <row r="1171" spans="2:6" x14ac:dyDescent="0.25">
      <c r="B1171" s="33">
        <v>1</v>
      </c>
      <c r="C1171" t="s">
        <v>77</v>
      </c>
      <c r="D1171" t="s">
        <v>205</v>
      </c>
      <c r="E1171">
        <v>8</v>
      </c>
      <c r="F1171" s="2">
        <v>3.287671232876712E-2</v>
      </c>
    </row>
    <row r="1172" spans="2:6" x14ac:dyDescent="0.25">
      <c r="B1172" s="33">
        <v>1</v>
      </c>
      <c r="C1172" t="s">
        <v>3</v>
      </c>
      <c r="D1172" t="s">
        <v>180</v>
      </c>
      <c r="E1172">
        <v>12</v>
      </c>
      <c r="F1172" s="2">
        <v>3.8356164383561646E-2</v>
      </c>
    </row>
    <row r="1173" spans="2:6" x14ac:dyDescent="0.25">
      <c r="B1173" s="33">
        <v>1</v>
      </c>
      <c r="C1173" t="s">
        <v>66</v>
      </c>
      <c r="D1173" t="s">
        <v>122</v>
      </c>
      <c r="E1173">
        <v>14</v>
      </c>
      <c r="F1173" s="2">
        <v>6.3013698630136991E-2</v>
      </c>
    </row>
    <row r="1174" spans="2:6" x14ac:dyDescent="0.25">
      <c r="B1174" s="33">
        <v>1</v>
      </c>
      <c r="C1174" t="s">
        <v>4</v>
      </c>
      <c r="D1174" t="s">
        <v>153</v>
      </c>
      <c r="E1174">
        <v>11</v>
      </c>
      <c r="F1174" s="2">
        <v>6.8493150684931503E-2</v>
      </c>
    </row>
    <row r="1175" spans="2:6" x14ac:dyDescent="0.25">
      <c r="B1175" s="33">
        <v>1</v>
      </c>
      <c r="C1175" t="s">
        <v>1</v>
      </c>
      <c r="D1175" t="s">
        <v>189</v>
      </c>
      <c r="E1175">
        <v>8</v>
      </c>
      <c r="F1175" s="2">
        <v>7.3972602739726029E-2</v>
      </c>
    </row>
    <row r="1176" spans="2:6" x14ac:dyDescent="0.25">
      <c r="B1176" s="33">
        <v>1</v>
      </c>
      <c r="C1176" t="s">
        <v>66</v>
      </c>
      <c r="D1176" t="s">
        <v>129</v>
      </c>
      <c r="E1176">
        <v>20</v>
      </c>
      <c r="F1176" s="2">
        <v>7.6712328767123292E-2</v>
      </c>
    </row>
    <row r="1177" spans="2:6" x14ac:dyDescent="0.25">
      <c r="B1177" s="33">
        <v>1</v>
      </c>
      <c r="C1177" t="s">
        <v>1</v>
      </c>
      <c r="D1177" t="s">
        <v>94</v>
      </c>
      <c r="E1177">
        <v>23</v>
      </c>
      <c r="F1177" s="2">
        <v>6.0273972602739728E-2</v>
      </c>
    </row>
    <row r="1178" spans="2:6" x14ac:dyDescent="0.25">
      <c r="B1178" s="33">
        <v>1</v>
      </c>
      <c r="C1178" t="s">
        <v>74</v>
      </c>
      <c r="D1178" t="s">
        <v>75</v>
      </c>
      <c r="E1178">
        <v>21</v>
      </c>
      <c r="F1178" s="2">
        <v>7.1232876712328766E-2</v>
      </c>
    </row>
    <row r="1179" spans="2:6" x14ac:dyDescent="0.25">
      <c r="B1179" s="33">
        <v>1</v>
      </c>
      <c r="C1179" t="s">
        <v>66</v>
      </c>
      <c r="D1179" t="s">
        <v>168</v>
      </c>
      <c r="E1179">
        <v>19</v>
      </c>
      <c r="F1179" s="2">
        <v>7.1232876712328766E-2</v>
      </c>
    </row>
    <row r="1180" spans="2:6" x14ac:dyDescent="0.25">
      <c r="B1180" s="33">
        <v>1</v>
      </c>
      <c r="C1180" t="s">
        <v>6</v>
      </c>
      <c r="D1180" t="s">
        <v>25</v>
      </c>
      <c r="E1180">
        <v>15</v>
      </c>
      <c r="F1180" s="2">
        <v>5.4794520547945202E-2</v>
      </c>
    </row>
    <row r="1181" spans="2:6" x14ac:dyDescent="0.25">
      <c r="B1181" s="33">
        <v>1</v>
      </c>
      <c r="C1181" t="s">
        <v>88</v>
      </c>
      <c r="D1181" t="s">
        <v>160</v>
      </c>
      <c r="E1181">
        <v>22</v>
      </c>
      <c r="F1181" s="2">
        <v>6.3013698630136991E-2</v>
      </c>
    </row>
    <row r="1182" spans="2:6" x14ac:dyDescent="0.25">
      <c r="B1182" s="33">
        <v>1</v>
      </c>
      <c r="C1182" t="s">
        <v>66</v>
      </c>
      <c r="D1182" t="s">
        <v>151</v>
      </c>
      <c r="E1182">
        <v>16</v>
      </c>
      <c r="F1182" s="2">
        <v>7.1232876712328766E-2</v>
      </c>
    </row>
    <row r="1183" spans="2:6" x14ac:dyDescent="0.25">
      <c r="B1183" s="33">
        <v>1</v>
      </c>
      <c r="C1183" t="s">
        <v>77</v>
      </c>
      <c r="D1183" t="s">
        <v>145</v>
      </c>
      <c r="E1183">
        <v>18</v>
      </c>
      <c r="F1183" s="2">
        <v>3.287671232876712E-2</v>
      </c>
    </row>
    <row r="1184" spans="2:6" x14ac:dyDescent="0.25">
      <c r="B1184" s="33">
        <v>1</v>
      </c>
      <c r="C1184" t="s">
        <v>103</v>
      </c>
      <c r="D1184" t="s">
        <v>104</v>
      </c>
      <c r="E1184">
        <v>21</v>
      </c>
      <c r="F1184" s="2">
        <v>4.1095890410958902E-2</v>
      </c>
    </row>
    <row r="1185" spans="2:6" x14ac:dyDescent="0.25">
      <c r="B1185" s="33">
        <v>1</v>
      </c>
      <c r="C1185" t="s">
        <v>74</v>
      </c>
      <c r="D1185" t="s">
        <v>174</v>
      </c>
      <c r="E1185">
        <v>17</v>
      </c>
      <c r="F1185" s="2">
        <v>6.8493150684931503E-2</v>
      </c>
    </row>
    <row r="1186" spans="2:6" x14ac:dyDescent="0.25">
      <c r="B1186" s="33">
        <v>1</v>
      </c>
      <c r="C1186" t="s">
        <v>126</v>
      </c>
      <c r="D1186" t="s">
        <v>171</v>
      </c>
      <c r="E1186">
        <v>18</v>
      </c>
      <c r="F1186" s="2">
        <v>5.2054794520547946E-2</v>
      </c>
    </row>
    <row r="1187" spans="2:6" x14ac:dyDescent="0.25">
      <c r="B1187" s="33">
        <v>1</v>
      </c>
      <c r="C1187" t="s">
        <v>6</v>
      </c>
      <c r="D1187" t="s">
        <v>30</v>
      </c>
      <c r="E1187">
        <v>21</v>
      </c>
      <c r="F1187" s="2">
        <v>5.4794520547945202E-2</v>
      </c>
    </row>
    <row r="1188" spans="2:6" x14ac:dyDescent="0.25">
      <c r="B1188" s="33">
        <v>1</v>
      </c>
      <c r="C1188" t="s">
        <v>64</v>
      </c>
      <c r="D1188" t="s">
        <v>121</v>
      </c>
      <c r="E1188">
        <v>20</v>
      </c>
      <c r="F1188" s="2">
        <v>9.0410958904109592E-2</v>
      </c>
    </row>
    <row r="1189" spans="2:6" x14ac:dyDescent="0.25">
      <c r="B1189" s="33">
        <v>1</v>
      </c>
      <c r="C1189" t="s">
        <v>6</v>
      </c>
      <c r="D1189" t="s">
        <v>32</v>
      </c>
      <c r="E1189">
        <v>0</v>
      </c>
      <c r="F1189" s="2">
        <v>5.4794520547945202E-2</v>
      </c>
    </row>
    <row r="1190" spans="2:6" x14ac:dyDescent="0.25">
      <c r="B1190" s="33">
        <v>1</v>
      </c>
      <c r="C1190" t="s">
        <v>77</v>
      </c>
      <c r="D1190" t="s">
        <v>193</v>
      </c>
      <c r="E1190">
        <v>20</v>
      </c>
      <c r="F1190" s="2">
        <v>3.287671232876712E-2</v>
      </c>
    </row>
    <row r="1191" spans="2:6" x14ac:dyDescent="0.25">
      <c r="B1191" s="33">
        <v>1</v>
      </c>
      <c r="C1191" t="s">
        <v>1</v>
      </c>
      <c r="D1191" t="s">
        <v>144</v>
      </c>
      <c r="E1191">
        <v>22</v>
      </c>
      <c r="F1191" s="2">
        <v>5.7534246575342465E-2</v>
      </c>
    </row>
    <row r="1192" spans="2:6" x14ac:dyDescent="0.25">
      <c r="B1192" s="33">
        <v>1</v>
      </c>
      <c r="C1192" t="s">
        <v>126</v>
      </c>
      <c r="D1192" t="s">
        <v>127</v>
      </c>
      <c r="E1192">
        <v>21</v>
      </c>
      <c r="F1192" s="2">
        <v>5.2054794520547946E-2</v>
      </c>
    </row>
    <row r="1193" spans="2:6" x14ac:dyDescent="0.25">
      <c r="B1193" s="33">
        <v>1</v>
      </c>
      <c r="C1193" t="s">
        <v>1</v>
      </c>
      <c r="D1193" t="s">
        <v>155</v>
      </c>
      <c r="E1193">
        <v>21</v>
      </c>
      <c r="F1193" s="2">
        <v>5.4794520547945202E-2</v>
      </c>
    </row>
    <row r="1194" spans="2:6" x14ac:dyDescent="0.25">
      <c r="B1194" s="33">
        <v>1</v>
      </c>
      <c r="C1194" t="s">
        <v>66</v>
      </c>
      <c r="D1194" t="s">
        <v>122</v>
      </c>
      <c r="E1194">
        <v>23</v>
      </c>
      <c r="F1194" s="2">
        <v>6.8493150684931503E-2</v>
      </c>
    </row>
    <row r="1195" spans="2:6" x14ac:dyDescent="0.25">
      <c r="B1195" s="33">
        <v>1</v>
      </c>
      <c r="C1195" t="s">
        <v>69</v>
      </c>
      <c r="D1195" t="s">
        <v>113</v>
      </c>
      <c r="E1195">
        <v>17</v>
      </c>
      <c r="F1195" s="2">
        <v>2.7397260273972601E-2</v>
      </c>
    </row>
    <row r="1196" spans="2:6" x14ac:dyDescent="0.25">
      <c r="B1196" s="33">
        <v>1</v>
      </c>
      <c r="C1196" t="s">
        <v>6</v>
      </c>
      <c r="D1196" t="s">
        <v>34</v>
      </c>
      <c r="E1196">
        <v>21</v>
      </c>
      <c r="F1196" s="2">
        <v>5.4794520547945202E-2</v>
      </c>
    </row>
    <row r="1197" spans="2:6" x14ac:dyDescent="0.25">
      <c r="B1197" s="33">
        <v>1</v>
      </c>
      <c r="C1197" t="s">
        <v>1</v>
      </c>
      <c r="D1197" t="s">
        <v>143</v>
      </c>
      <c r="E1197">
        <v>6</v>
      </c>
      <c r="F1197" s="2">
        <v>3.5616438356164383E-2</v>
      </c>
    </row>
    <row r="1198" spans="2:6" x14ac:dyDescent="0.25">
      <c r="B1198" s="33">
        <v>1</v>
      </c>
      <c r="C1198" t="s">
        <v>1</v>
      </c>
      <c r="D1198" t="s">
        <v>144</v>
      </c>
      <c r="E1198">
        <v>1</v>
      </c>
      <c r="F1198" s="2">
        <v>3.5616438356164383E-2</v>
      </c>
    </row>
    <row r="1199" spans="2:6" x14ac:dyDescent="0.25">
      <c r="B1199" s="33">
        <v>1</v>
      </c>
      <c r="C1199" t="s">
        <v>1</v>
      </c>
      <c r="D1199" t="s">
        <v>94</v>
      </c>
      <c r="E1199">
        <v>3</v>
      </c>
      <c r="F1199" s="2">
        <v>3.287671232876712E-2</v>
      </c>
    </row>
    <row r="1200" spans="2:6" x14ac:dyDescent="0.25">
      <c r="B1200" s="33">
        <v>1</v>
      </c>
      <c r="C1200" t="s">
        <v>1</v>
      </c>
      <c r="D1200" t="s">
        <v>144</v>
      </c>
      <c r="E1200">
        <v>6</v>
      </c>
      <c r="F1200" s="2">
        <v>3.287671232876712E-2</v>
      </c>
    </row>
    <row r="1201" spans="2:6" x14ac:dyDescent="0.25">
      <c r="B1201" s="33">
        <v>1</v>
      </c>
      <c r="C1201" t="s">
        <v>1</v>
      </c>
      <c r="D1201" t="s">
        <v>155</v>
      </c>
      <c r="E1201">
        <v>6</v>
      </c>
      <c r="F1201" s="2">
        <v>3.287671232876712E-2</v>
      </c>
    </row>
    <row r="1202" spans="2:6" x14ac:dyDescent="0.25">
      <c r="B1202" s="33">
        <v>1</v>
      </c>
      <c r="C1202" t="s">
        <v>88</v>
      </c>
      <c r="D1202" t="s">
        <v>134</v>
      </c>
      <c r="E1202">
        <v>1</v>
      </c>
      <c r="F1202" s="2">
        <v>3.5616438356164383E-2</v>
      </c>
    </row>
    <row r="1203" spans="2:6" x14ac:dyDescent="0.25">
      <c r="B1203" s="33">
        <v>1</v>
      </c>
      <c r="C1203" t="s">
        <v>66</v>
      </c>
      <c r="D1203" t="s">
        <v>107</v>
      </c>
      <c r="E1203">
        <v>2</v>
      </c>
      <c r="F1203" s="2">
        <v>3.5616438356164383E-2</v>
      </c>
    </row>
    <row r="1204" spans="2:6" x14ac:dyDescent="0.25">
      <c r="B1204" s="33">
        <v>1</v>
      </c>
      <c r="C1204" t="s">
        <v>77</v>
      </c>
      <c r="D1204" t="s">
        <v>123</v>
      </c>
      <c r="E1204">
        <v>6</v>
      </c>
      <c r="F1204" s="2">
        <v>1.643835616438356E-2</v>
      </c>
    </row>
    <row r="1205" spans="2:6" x14ac:dyDescent="0.25">
      <c r="B1205" s="33">
        <v>1</v>
      </c>
      <c r="C1205" t="s">
        <v>69</v>
      </c>
      <c r="D1205" t="s">
        <v>86</v>
      </c>
      <c r="E1205">
        <v>3</v>
      </c>
      <c r="F1205" s="2">
        <v>2.1917808219178082E-2</v>
      </c>
    </row>
    <row r="1206" spans="2:6" x14ac:dyDescent="0.25">
      <c r="B1206" s="33">
        <v>1</v>
      </c>
      <c r="C1206" t="s">
        <v>77</v>
      </c>
      <c r="D1206" t="s">
        <v>101</v>
      </c>
      <c r="E1206">
        <v>7</v>
      </c>
      <c r="F1206" s="2">
        <v>1.643835616438356E-2</v>
      </c>
    </row>
    <row r="1207" spans="2:6" x14ac:dyDescent="0.25">
      <c r="B1207" s="33">
        <v>1</v>
      </c>
      <c r="C1207" t="s">
        <v>3</v>
      </c>
      <c r="D1207" t="s">
        <v>84</v>
      </c>
      <c r="E1207">
        <v>2</v>
      </c>
      <c r="F1207" s="2">
        <v>2.4657534246575342E-2</v>
      </c>
    </row>
    <row r="1208" spans="2:6" x14ac:dyDescent="0.25">
      <c r="B1208" s="33">
        <v>1</v>
      </c>
      <c r="C1208" t="s">
        <v>69</v>
      </c>
      <c r="D1208" t="s">
        <v>199</v>
      </c>
      <c r="E1208">
        <v>8</v>
      </c>
      <c r="F1208" s="2">
        <v>2.7397260273972601E-2</v>
      </c>
    </row>
    <row r="1209" spans="2:6" x14ac:dyDescent="0.25">
      <c r="B1209" s="33">
        <v>1</v>
      </c>
      <c r="C1209" t="s">
        <v>66</v>
      </c>
      <c r="D1209" t="s">
        <v>135</v>
      </c>
      <c r="E1209">
        <v>12</v>
      </c>
      <c r="F1209" s="2">
        <v>6.3013698630136991E-2</v>
      </c>
    </row>
    <row r="1210" spans="2:6" x14ac:dyDescent="0.25">
      <c r="B1210" s="33">
        <v>1</v>
      </c>
      <c r="C1210" t="s">
        <v>1</v>
      </c>
      <c r="D1210" t="s">
        <v>200</v>
      </c>
      <c r="E1210">
        <v>10</v>
      </c>
      <c r="F1210" s="2">
        <v>7.3972602739726029E-2</v>
      </c>
    </row>
    <row r="1211" spans="2:6" x14ac:dyDescent="0.25">
      <c r="B1211" s="33">
        <v>1</v>
      </c>
      <c r="C1211" t="s">
        <v>69</v>
      </c>
      <c r="D1211" t="s">
        <v>154</v>
      </c>
      <c r="E1211">
        <v>10</v>
      </c>
      <c r="F1211" s="2">
        <v>2.7397260273972601E-2</v>
      </c>
    </row>
    <row r="1212" spans="2:6" x14ac:dyDescent="0.25">
      <c r="B1212" s="33">
        <v>1</v>
      </c>
      <c r="C1212" t="s">
        <v>1</v>
      </c>
      <c r="D1212" t="s">
        <v>152</v>
      </c>
      <c r="E1212">
        <v>9</v>
      </c>
      <c r="F1212" s="2">
        <v>7.1232876712328766E-2</v>
      </c>
    </row>
    <row r="1213" spans="2:6" x14ac:dyDescent="0.25">
      <c r="B1213" s="33">
        <v>1</v>
      </c>
      <c r="C1213" t="s">
        <v>77</v>
      </c>
      <c r="D1213" t="s">
        <v>145</v>
      </c>
      <c r="E1213">
        <v>13</v>
      </c>
      <c r="F1213" s="2">
        <v>3.287671232876712E-2</v>
      </c>
    </row>
    <row r="1214" spans="2:6" x14ac:dyDescent="0.25">
      <c r="B1214" s="33">
        <v>1</v>
      </c>
      <c r="C1214" t="s">
        <v>72</v>
      </c>
      <c r="D1214" t="s">
        <v>163</v>
      </c>
      <c r="E1214">
        <v>9</v>
      </c>
      <c r="F1214" s="2">
        <v>5.7534246575342465E-2</v>
      </c>
    </row>
    <row r="1215" spans="2:6" x14ac:dyDescent="0.25">
      <c r="B1215" s="33">
        <v>1</v>
      </c>
      <c r="C1215" t="s">
        <v>1</v>
      </c>
      <c r="D1215" t="s">
        <v>143</v>
      </c>
      <c r="E1215">
        <v>11</v>
      </c>
      <c r="F1215" s="2">
        <v>6.575342465753424E-2</v>
      </c>
    </row>
    <row r="1216" spans="2:6" x14ac:dyDescent="0.25">
      <c r="B1216" s="33">
        <v>1</v>
      </c>
      <c r="C1216" t="s">
        <v>1</v>
      </c>
      <c r="D1216" t="s">
        <v>189</v>
      </c>
      <c r="E1216">
        <v>9</v>
      </c>
      <c r="F1216" s="2">
        <v>6.575342465753424E-2</v>
      </c>
    </row>
    <row r="1217" spans="2:6" x14ac:dyDescent="0.25">
      <c r="B1217" s="33">
        <v>1</v>
      </c>
      <c r="C1217" t="s">
        <v>69</v>
      </c>
      <c r="D1217" t="s">
        <v>148</v>
      </c>
      <c r="E1217">
        <v>10</v>
      </c>
      <c r="F1217" s="2">
        <v>2.7397260273972601E-2</v>
      </c>
    </row>
    <row r="1218" spans="2:6" x14ac:dyDescent="0.25">
      <c r="B1218" s="33">
        <v>1</v>
      </c>
      <c r="C1218" t="s">
        <v>88</v>
      </c>
      <c r="D1218" t="s">
        <v>156</v>
      </c>
      <c r="E1218">
        <v>13</v>
      </c>
      <c r="F1218" s="2">
        <v>8.4931506849315067E-2</v>
      </c>
    </row>
    <row r="1219" spans="2:6" x14ac:dyDescent="0.25">
      <c r="B1219" s="33">
        <v>1</v>
      </c>
      <c r="C1219" t="s">
        <v>1</v>
      </c>
      <c r="D1219" t="s">
        <v>155</v>
      </c>
      <c r="E1219">
        <v>13</v>
      </c>
      <c r="F1219" s="2">
        <v>6.0273972602739728E-2</v>
      </c>
    </row>
    <row r="1220" spans="2:6" x14ac:dyDescent="0.25">
      <c r="B1220" s="33">
        <v>1</v>
      </c>
      <c r="C1220" t="s">
        <v>88</v>
      </c>
      <c r="D1220" t="s">
        <v>134</v>
      </c>
      <c r="E1220">
        <v>15</v>
      </c>
      <c r="F1220" s="2">
        <v>8.4931506849315067E-2</v>
      </c>
    </row>
    <row r="1221" spans="2:6" x14ac:dyDescent="0.25">
      <c r="B1221" s="33">
        <v>1</v>
      </c>
      <c r="C1221" t="s">
        <v>90</v>
      </c>
      <c r="D1221" t="s">
        <v>164</v>
      </c>
      <c r="E1221">
        <v>14</v>
      </c>
      <c r="F1221" s="2">
        <v>9.0410958904109592E-2</v>
      </c>
    </row>
    <row r="1222" spans="2:6" x14ac:dyDescent="0.25">
      <c r="B1222" s="33">
        <v>1</v>
      </c>
      <c r="C1222" t="s">
        <v>6</v>
      </c>
      <c r="D1222" t="s">
        <v>23</v>
      </c>
      <c r="E1222">
        <v>22</v>
      </c>
      <c r="F1222" s="2">
        <v>5.4794520547945202E-2</v>
      </c>
    </row>
    <row r="1223" spans="2:6" x14ac:dyDescent="0.25">
      <c r="B1223" s="33">
        <v>1</v>
      </c>
      <c r="C1223" t="s">
        <v>88</v>
      </c>
      <c r="D1223" t="s">
        <v>156</v>
      </c>
      <c r="E1223">
        <v>9</v>
      </c>
      <c r="F1223" s="2">
        <v>8.2191780821917804E-2</v>
      </c>
    </row>
    <row r="1224" spans="2:6" x14ac:dyDescent="0.25">
      <c r="B1224" s="33">
        <v>1</v>
      </c>
      <c r="C1224" t="s">
        <v>69</v>
      </c>
      <c r="D1224" t="s">
        <v>154</v>
      </c>
      <c r="E1224">
        <v>8</v>
      </c>
      <c r="F1224" s="2">
        <v>2.7397260273972601E-2</v>
      </c>
    </row>
    <row r="1225" spans="2:6" x14ac:dyDescent="0.25">
      <c r="B1225" s="33">
        <v>1</v>
      </c>
      <c r="C1225" t="s">
        <v>2</v>
      </c>
      <c r="D1225" t="s">
        <v>102</v>
      </c>
      <c r="E1225">
        <v>9</v>
      </c>
      <c r="F1225" s="2">
        <v>3.287671232876712E-2</v>
      </c>
    </row>
    <row r="1226" spans="2:6" x14ac:dyDescent="0.25">
      <c r="B1226" s="33">
        <v>1</v>
      </c>
      <c r="C1226" t="s">
        <v>2</v>
      </c>
      <c r="D1226" t="s">
        <v>96</v>
      </c>
      <c r="E1226">
        <v>8</v>
      </c>
      <c r="F1226" s="2">
        <v>3.287671232876712E-2</v>
      </c>
    </row>
    <row r="1227" spans="2:6" x14ac:dyDescent="0.25">
      <c r="B1227" s="33">
        <v>1</v>
      </c>
      <c r="C1227" t="s">
        <v>90</v>
      </c>
      <c r="D1227" t="s">
        <v>109</v>
      </c>
      <c r="E1227">
        <v>13</v>
      </c>
      <c r="F1227" s="2">
        <v>8.2191780821917804E-2</v>
      </c>
    </row>
    <row r="1228" spans="2:6" x14ac:dyDescent="0.25">
      <c r="B1228" s="33">
        <v>1</v>
      </c>
      <c r="C1228" t="s">
        <v>2</v>
      </c>
      <c r="D1228" t="s">
        <v>185</v>
      </c>
      <c r="E1228">
        <v>14</v>
      </c>
      <c r="F1228" s="2">
        <v>3.287671232876712E-2</v>
      </c>
    </row>
    <row r="1229" spans="2:6" x14ac:dyDescent="0.25">
      <c r="B1229" s="33">
        <v>1</v>
      </c>
      <c r="C1229" t="s">
        <v>66</v>
      </c>
      <c r="D1229" t="s">
        <v>182</v>
      </c>
      <c r="E1229">
        <v>8</v>
      </c>
      <c r="F1229" s="2">
        <v>6.3013698630136991E-2</v>
      </c>
    </row>
    <row r="1230" spans="2:6" x14ac:dyDescent="0.25">
      <c r="B1230" s="33">
        <v>1</v>
      </c>
      <c r="C1230" t="s">
        <v>64</v>
      </c>
      <c r="D1230" t="s">
        <v>116</v>
      </c>
      <c r="E1230">
        <v>16</v>
      </c>
      <c r="F1230" s="2">
        <v>0.12328767123287671</v>
      </c>
    </row>
    <row r="1231" spans="2:6" x14ac:dyDescent="0.25">
      <c r="B1231" s="33">
        <v>1</v>
      </c>
      <c r="C1231" t="s">
        <v>103</v>
      </c>
      <c r="D1231" t="s">
        <v>45</v>
      </c>
      <c r="E1231">
        <v>17</v>
      </c>
      <c r="F1231" s="2">
        <v>4.1095890410958902E-2</v>
      </c>
    </row>
    <row r="1232" spans="2:6" x14ac:dyDescent="0.25">
      <c r="B1232" s="33">
        <v>1</v>
      </c>
      <c r="C1232" t="s">
        <v>0</v>
      </c>
      <c r="D1232" t="s">
        <v>111</v>
      </c>
      <c r="E1232">
        <v>17</v>
      </c>
      <c r="F1232" s="2">
        <v>0.11232876712328767</v>
      </c>
    </row>
    <row r="1233" spans="2:6" x14ac:dyDescent="0.25">
      <c r="B1233" s="33">
        <v>1</v>
      </c>
      <c r="C1233" t="s">
        <v>90</v>
      </c>
      <c r="D1233" t="s">
        <v>109</v>
      </c>
      <c r="E1233">
        <v>22</v>
      </c>
      <c r="F1233" s="2">
        <v>6.3013698630136991E-2</v>
      </c>
    </row>
    <row r="1234" spans="2:6" x14ac:dyDescent="0.25">
      <c r="B1234" s="33">
        <v>1</v>
      </c>
      <c r="C1234" t="s">
        <v>103</v>
      </c>
      <c r="D1234" t="s">
        <v>158</v>
      </c>
      <c r="E1234">
        <v>16</v>
      </c>
      <c r="F1234" s="2">
        <v>4.1095890410958902E-2</v>
      </c>
    </row>
    <row r="1235" spans="2:6" x14ac:dyDescent="0.25">
      <c r="B1235" s="33">
        <v>1</v>
      </c>
      <c r="C1235" t="s">
        <v>90</v>
      </c>
      <c r="D1235" t="s">
        <v>109</v>
      </c>
      <c r="E1235">
        <v>21</v>
      </c>
      <c r="F1235" s="2">
        <v>6.3013698630136991E-2</v>
      </c>
    </row>
    <row r="1236" spans="2:6" x14ac:dyDescent="0.25">
      <c r="B1236" s="33">
        <v>1</v>
      </c>
      <c r="C1236" t="s">
        <v>64</v>
      </c>
      <c r="D1236" t="s">
        <v>71</v>
      </c>
      <c r="E1236">
        <v>18</v>
      </c>
      <c r="F1236" s="2">
        <v>0.13972602739726028</v>
      </c>
    </row>
    <row r="1237" spans="2:6" x14ac:dyDescent="0.25">
      <c r="B1237" s="33">
        <v>1</v>
      </c>
      <c r="C1237" t="s">
        <v>3</v>
      </c>
      <c r="D1237" t="s">
        <v>100</v>
      </c>
      <c r="E1237">
        <v>22</v>
      </c>
      <c r="F1237" s="2">
        <v>3.8356164383561646E-2</v>
      </c>
    </row>
    <row r="1238" spans="2:6" x14ac:dyDescent="0.25">
      <c r="B1238" s="33">
        <v>1</v>
      </c>
      <c r="C1238" t="s">
        <v>72</v>
      </c>
      <c r="D1238" t="s">
        <v>187</v>
      </c>
      <c r="E1238">
        <v>17</v>
      </c>
      <c r="F1238" s="2">
        <v>6.0273972602739728E-2</v>
      </c>
    </row>
    <row r="1239" spans="2:6" x14ac:dyDescent="0.25">
      <c r="B1239" s="33">
        <v>1</v>
      </c>
      <c r="C1239" t="s">
        <v>4</v>
      </c>
      <c r="D1239" t="s">
        <v>153</v>
      </c>
      <c r="E1239">
        <v>20</v>
      </c>
      <c r="F1239" s="2">
        <v>5.2054794520547946E-2</v>
      </c>
    </row>
    <row r="1240" spans="2:6" x14ac:dyDescent="0.25">
      <c r="B1240" s="33">
        <v>1</v>
      </c>
      <c r="C1240" t="s">
        <v>64</v>
      </c>
      <c r="D1240" t="s">
        <v>71</v>
      </c>
      <c r="E1240">
        <v>19</v>
      </c>
      <c r="F1240" s="2">
        <v>0.11232876712328767</v>
      </c>
    </row>
    <row r="1241" spans="2:6" x14ac:dyDescent="0.25">
      <c r="B1241" s="33">
        <v>1</v>
      </c>
      <c r="C1241" t="s">
        <v>3</v>
      </c>
      <c r="D1241" t="s">
        <v>119</v>
      </c>
      <c r="E1241">
        <v>19</v>
      </c>
      <c r="F1241" s="2">
        <v>3.8356164383561646E-2</v>
      </c>
    </row>
    <row r="1242" spans="2:6" x14ac:dyDescent="0.25">
      <c r="B1242" s="33">
        <v>1</v>
      </c>
      <c r="C1242" t="s">
        <v>72</v>
      </c>
      <c r="D1242" t="s">
        <v>125</v>
      </c>
      <c r="E1242">
        <v>23</v>
      </c>
      <c r="F1242" s="2">
        <v>6.0273972602739728E-2</v>
      </c>
    </row>
    <row r="1243" spans="2:6" x14ac:dyDescent="0.25">
      <c r="B1243" s="33">
        <v>1</v>
      </c>
      <c r="C1243" t="s">
        <v>3</v>
      </c>
      <c r="D1243" t="s">
        <v>79</v>
      </c>
      <c r="E1243">
        <v>22</v>
      </c>
      <c r="F1243" s="2">
        <v>3.8356164383561646E-2</v>
      </c>
    </row>
    <row r="1244" spans="2:6" x14ac:dyDescent="0.25">
      <c r="B1244" s="33">
        <v>1</v>
      </c>
      <c r="C1244" t="s">
        <v>66</v>
      </c>
      <c r="D1244" t="s">
        <v>93</v>
      </c>
      <c r="E1244">
        <v>21</v>
      </c>
      <c r="F1244" s="2">
        <v>6.575342465753424E-2</v>
      </c>
    </row>
    <row r="1245" spans="2:6" x14ac:dyDescent="0.25">
      <c r="B1245" s="33">
        <v>1</v>
      </c>
      <c r="C1245" t="s">
        <v>103</v>
      </c>
      <c r="D1245" t="s">
        <v>137</v>
      </c>
      <c r="E1245">
        <v>19</v>
      </c>
      <c r="F1245" s="2">
        <v>4.1095890410958902E-2</v>
      </c>
    </row>
    <row r="1246" spans="2:6" x14ac:dyDescent="0.25">
      <c r="B1246" s="33">
        <v>1</v>
      </c>
      <c r="C1246" t="s">
        <v>0</v>
      </c>
      <c r="D1246" t="s">
        <v>111</v>
      </c>
      <c r="E1246">
        <v>21</v>
      </c>
      <c r="F1246" s="2">
        <v>9.3150684931506855E-2</v>
      </c>
    </row>
    <row r="1247" spans="2:6" x14ac:dyDescent="0.25">
      <c r="B1247" s="33">
        <v>1</v>
      </c>
      <c r="C1247" t="s">
        <v>126</v>
      </c>
      <c r="D1247" t="s">
        <v>147</v>
      </c>
      <c r="E1247">
        <v>20</v>
      </c>
      <c r="F1247" s="2">
        <v>4.6575342465753428E-2</v>
      </c>
    </row>
    <row r="1248" spans="2:6" x14ac:dyDescent="0.25">
      <c r="B1248" s="33">
        <v>1</v>
      </c>
      <c r="C1248" t="s">
        <v>1</v>
      </c>
      <c r="D1248" t="s">
        <v>176</v>
      </c>
      <c r="E1248">
        <v>16</v>
      </c>
      <c r="F1248" s="2">
        <v>5.4794520547945202E-2</v>
      </c>
    </row>
    <row r="1249" spans="2:6" x14ac:dyDescent="0.25">
      <c r="B1249" s="33">
        <v>1</v>
      </c>
      <c r="C1249" t="s">
        <v>64</v>
      </c>
      <c r="D1249" t="s">
        <v>115</v>
      </c>
      <c r="E1249">
        <v>22</v>
      </c>
      <c r="F1249" s="2">
        <v>4.6575342465753428E-2</v>
      </c>
    </row>
    <row r="1250" spans="2:6" x14ac:dyDescent="0.25">
      <c r="B1250" s="33">
        <v>1</v>
      </c>
      <c r="C1250" t="s">
        <v>66</v>
      </c>
      <c r="D1250" t="s">
        <v>182</v>
      </c>
      <c r="E1250">
        <v>16</v>
      </c>
      <c r="F1250" s="2">
        <v>6.575342465753424E-2</v>
      </c>
    </row>
    <row r="1251" spans="2:6" x14ac:dyDescent="0.25">
      <c r="B1251" s="33">
        <v>1</v>
      </c>
      <c r="C1251" t="s">
        <v>6</v>
      </c>
      <c r="D1251" t="s">
        <v>30</v>
      </c>
      <c r="E1251">
        <v>0</v>
      </c>
      <c r="F1251" s="2">
        <v>5.2054794520547946E-2</v>
      </c>
    </row>
    <row r="1252" spans="2:6" x14ac:dyDescent="0.25">
      <c r="B1252" s="33">
        <v>1</v>
      </c>
      <c r="C1252" t="s">
        <v>69</v>
      </c>
      <c r="D1252" t="s">
        <v>70</v>
      </c>
      <c r="E1252">
        <v>0</v>
      </c>
      <c r="F1252" s="2">
        <v>1.643835616438356E-2</v>
      </c>
    </row>
    <row r="1253" spans="2:6" x14ac:dyDescent="0.25">
      <c r="B1253" s="33">
        <v>1</v>
      </c>
      <c r="C1253" t="s">
        <v>64</v>
      </c>
      <c r="D1253" t="s">
        <v>121</v>
      </c>
      <c r="E1253">
        <v>0</v>
      </c>
      <c r="F1253" s="2">
        <v>3.0136986301369864E-2</v>
      </c>
    </row>
    <row r="1254" spans="2:6" x14ac:dyDescent="0.25">
      <c r="B1254" s="33">
        <v>1</v>
      </c>
      <c r="C1254" t="s">
        <v>1</v>
      </c>
      <c r="D1254" t="s">
        <v>94</v>
      </c>
      <c r="E1254">
        <v>6</v>
      </c>
      <c r="F1254" s="2">
        <v>3.0136986301369864E-2</v>
      </c>
    </row>
    <row r="1255" spans="2:6" x14ac:dyDescent="0.25">
      <c r="B1255" s="33">
        <v>1</v>
      </c>
      <c r="C1255" t="s">
        <v>72</v>
      </c>
      <c r="D1255" t="s">
        <v>73</v>
      </c>
      <c r="E1255">
        <v>4</v>
      </c>
      <c r="F1255" s="2">
        <v>4.3835616438356165E-2</v>
      </c>
    </row>
    <row r="1256" spans="2:6" x14ac:dyDescent="0.25">
      <c r="B1256" s="33">
        <v>1</v>
      </c>
      <c r="C1256" t="s">
        <v>126</v>
      </c>
      <c r="D1256" t="s">
        <v>169</v>
      </c>
      <c r="E1256">
        <v>2</v>
      </c>
      <c r="F1256" s="2">
        <v>5.4794520547945206E-3</v>
      </c>
    </row>
    <row r="1257" spans="2:6" x14ac:dyDescent="0.25">
      <c r="B1257" s="33">
        <v>1</v>
      </c>
      <c r="C1257" t="s">
        <v>3</v>
      </c>
      <c r="D1257" t="s">
        <v>100</v>
      </c>
      <c r="E1257">
        <v>1</v>
      </c>
      <c r="F1257" s="2">
        <v>2.1917808219178082E-2</v>
      </c>
    </row>
    <row r="1258" spans="2:6" x14ac:dyDescent="0.25">
      <c r="B1258" s="33">
        <v>1</v>
      </c>
      <c r="C1258" t="s">
        <v>66</v>
      </c>
      <c r="D1258" t="s">
        <v>129</v>
      </c>
      <c r="E1258">
        <v>7</v>
      </c>
      <c r="F1258" s="2">
        <v>3.5616438356164383E-2</v>
      </c>
    </row>
    <row r="1259" spans="2:6" x14ac:dyDescent="0.25">
      <c r="B1259" s="33">
        <v>1</v>
      </c>
      <c r="C1259" t="s">
        <v>66</v>
      </c>
      <c r="D1259" t="s">
        <v>129</v>
      </c>
      <c r="E1259">
        <v>10</v>
      </c>
      <c r="F1259" s="2">
        <v>6.0273972602739728E-2</v>
      </c>
    </row>
    <row r="1260" spans="2:6" x14ac:dyDescent="0.25">
      <c r="B1260" s="33">
        <v>1</v>
      </c>
      <c r="C1260" t="s">
        <v>69</v>
      </c>
      <c r="D1260" t="s">
        <v>199</v>
      </c>
      <c r="E1260">
        <v>9</v>
      </c>
      <c r="F1260" s="2">
        <v>2.7397260273972601E-2</v>
      </c>
    </row>
    <row r="1261" spans="2:6" x14ac:dyDescent="0.25">
      <c r="B1261" s="33">
        <v>1</v>
      </c>
      <c r="C1261" t="s">
        <v>6</v>
      </c>
      <c r="D1261" t="s">
        <v>32</v>
      </c>
      <c r="E1261">
        <v>23</v>
      </c>
      <c r="F1261" s="2">
        <v>5.2054794520547946E-2</v>
      </c>
    </row>
    <row r="1262" spans="2:6" x14ac:dyDescent="0.25">
      <c r="B1262" s="33">
        <v>1</v>
      </c>
      <c r="C1262" t="s">
        <v>103</v>
      </c>
      <c r="D1262" t="s">
        <v>139</v>
      </c>
      <c r="E1262">
        <v>9</v>
      </c>
      <c r="F1262" s="2">
        <v>5.4794520547945202E-2</v>
      </c>
    </row>
    <row r="1263" spans="2:6" x14ac:dyDescent="0.25">
      <c r="B1263" s="33">
        <v>1</v>
      </c>
      <c r="C1263" t="s">
        <v>4</v>
      </c>
      <c r="D1263" t="s">
        <v>166</v>
      </c>
      <c r="E1263">
        <v>13</v>
      </c>
      <c r="F1263" s="2">
        <v>6.8493150684931503E-2</v>
      </c>
    </row>
    <row r="1264" spans="2:6" x14ac:dyDescent="0.25">
      <c r="B1264" s="33">
        <v>1</v>
      </c>
      <c r="C1264" t="s">
        <v>6</v>
      </c>
      <c r="D1264" t="s">
        <v>43</v>
      </c>
      <c r="E1264">
        <v>10</v>
      </c>
      <c r="F1264" s="2">
        <v>4.9315068493150684E-2</v>
      </c>
    </row>
    <row r="1265" spans="2:6" x14ac:dyDescent="0.25">
      <c r="B1265" s="33">
        <v>1</v>
      </c>
      <c r="C1265" t="s">
        <v>64</v>
      </c>
      <c r="D1265" t="s">
        <v>115</v>
      </c>
      <c r="E1265">
        <v>9</v>
      </c>
      <c r="F1265" s="2">
        <v>6.8493150684931503E-2</v>
      </c>
    </row>
    <row r="1266" spans="2:6" x14ac:dyDescent="0.25">
      <c r="B1266" s="33">
        <v>1</v>
      </c>
      <c r="C1266" t="s">
        <v>69</v>
      </c>
      <c r="D1266" t="s">
        <v>206</v>
      </c>
      <c r="E1266">
        <v>9</v>
      </c>
      <c r="F1266" s="2">
        <v>2.4657534246575342E-2</v>
      </c>
    </row>
    <row r="1267" spans="2:6" x14ac:dyDescent="0.25">
      <c r="B1267" s="33">
        <v>1</v>
      </c>
      <c r="C1267" t="s">
        <v>4</v>
      </c>
      <c r="D1267" t="s">
        <v>106</v>
      </c>
      <c r="E1267">
        <v>13</v>
      </c>
      <c r="F1267" s="2">
        <v>5.4794520547945202E-2</v>
      </c>
    </row>
    <row r="1268" spans="2:6" x14ac:dyDescent="0.25">
      <c r="B1268" s="33">
        <v>1</v>
      </c>
      <c r="C1268" t="s">
        <v>66</v>
      </c>
      <c r="D1268" t="s">
        <v>135</v>
      </c>
      <c r="E1268">
        <v>11</v>
      </c>
      <c r="F1268" s="2">
        <v>6.0273972602739728E-2</v>
      </c>
    </row>
    <row r="1269" spans="2:6" x14ac:dyDescent="0.25">
      <c r="B1269" s="33">
        <v>1</v>
      </c>
      <c r="C1269" t="s">
        <v>88</v>
      </c>
      <c r="D1269" t="s">
        <v>134</v>
      </c>
      <c r="E1269">
        <v>14</v>
      </c>
      <c r="F1269" s="2">
        <v>8.2191780821917804E-2</v>
      </c>
    </row>
    <row r="1270" spans="2:6" x14ac:dyDescent="0.25">
      <c r="B1270" s="33">
        <v>1</v>
      </c>
      <c r="C1270" t="s">
        <v>88</v>
      </c>
      <c r="D1270" t="s">
        <v>134</v>
      </c>
      <c r="E1270">
        <v>12</v>
      </c>
      <c r="F1270" s="2">
        <v>7.9452054794520555E-2</v>
      </c>
    </row>
    <row r="1271" spans="2:6" x14ac:dyDescent="0.25">
      <c r="B1271" s="33">
        <v>1</v>
      </c>
      <c r="C1271" t="s">
        <v>74</v>
      </c>
      <c r="D1271" t="s">
        <v>105</v>
      </c>
      <c r="E1271">
        <v>9</v>
      </c>
      <c r="F1271" s="2">
        <v>9.0410958904109592E-2</v>
      </c>
    </row>
    <row r="1272" spans="2:6" x14ac:dyDescent="0.25">
      <c r="B1272" s="33">
        <v>1</v>
      </c>
      <c r="C1272" t="s">
        <v>103</v>
      </c>
      <c r="D1272" t="s">
        <v>158</v>
      </c>
      <c r="E1272">
        <v>11</v>
      </c>
      <c r="F1272" s="2">
        <v>5.2054794520547946E-2</v>
      </c>
    </row>
    <row r="1273" spans="2:6" x14ac:dyDescent="0.25">
      <c r="B1273" s="33">
        <v>1</v>
      </c>
      <c r="C1273" t="s">
        <v>69</v>
      </c>
      <c r="D1273" t="s">
        <v>86</v>
      </c>
      <c r="E1273">
        <v>14</v>
      </c>
      <c r="F1273" s="2">
        <v>2.4657534246575342E-2</v>
      </c>
    </row>
    <row r="1274" spans="2:6" x14ac:dyDescent="0.25">
      <c r="B1274" s="33">
        <v>1</v>
      </c>
      <c r="C1274" t="s">
        <v>6</v>
      </c>
      <c r="D1274" t="s">
        <v>42</v>
      </c>
      <c r="E1274">
        <v>21</v>
      </c>
      <c r="F1274" s="2">
        <v>4.9315068493150684E-2</v>
      </c>
    </row>
    <row r="1275" spans="2:6" x14ac:dyDescent="0.25">
      <c r="B1275" s="33">
        <v>1</v>
      </c>
      <c r="C1275" t="s">
        <v>88</v>
      </c>
      <c r="D1275" t="s">
        <v>201</v>
      </c>
      <c r="E1275">
        <v>11</v>
      </c>
      <c r="F1275" s="2">
        <v>7.9452054794520555E-2</v>
      </c>
    </row>
    <row r="1276" spans="2:6" x14ac:dyDescent="0.25">
      <c r="B1276" s="33">
        <v>1</v>
      </c>
      <c r="C1276" t="s">
        <v>88</v>
      </c>
      <c r="D1276" t="s">
        <v>156</v>
      </c>
      <c r="E1276">
        <v>15</v>
      </c>
      <c r="F1276" s="2">
        <v>7.6712328767123292E-2</v>
      </c>
    </row>
    <row r="1277" spans="2:6" x14ac:dyDescent="0.25">
      <c r="B1277" s="33">
        <v>1</v>
      </c>
      <c r="C1277" t="s">
        <v>6</v>
      </c>
      <c r="D1277" t="s">
        <v>21</v>
      </c>
      <c r="E1277">
        <v>2</v>
      </c>
      <c r="F1277" s="2">
        <v>4.9315068493150684E-2</v>
      </c>
    </row>
    <row r="1278" spans="2:6" x14ac:dyDescent="0.25">
      <c r="B1278" s="33">
        <v>1</v>
      </c>
      <c r="C1278" t="s">
        <v>72</v>
      </c>
      <c r="D1278" t="s">
        <v>187</v>
      </c>
      <c r="E1278">
        <v>12</v>
      </c>
      <c r="F1278" s="2">
        <v>5.7534246575342465E-2</v>
      </c>
    </row>
    <row r="1279" spans="2:6" x14ac:dyDescent="0.25">
      <c r="B1279" s="33">
        <v>1</v>
      </c>
      <c r="C1279" t="s">
        <v>1</v>
      </c>
      <c r="D1279" t="s">
        <v>152</v>
      </c>
      <c r="E1279">
        <v>14</v>
      </c>
      <c r="F1279" s="2">
        <v>6.0273972602739728E-2</v>
      </c>
    </row>
    <row r="1280" spans="2:6" x14ac:dyDescent="0.25">
      <c r="B1280" s="33">
        <v>1</v>
      </c>
      <c r="C1280" t="s">
        <v>6</v>
      </c>
      <c r="D1280" t="s">
        <v>25</v>
      </c>
      <c r="E1280">
        <v>16</v>
      </c>
      <c r="F1280" s="2">
        <v>4.6575342465753428E-2</v>
      </c>
    </row>
    <row r="1281" spans="2:6" x14ac:dyDescent="0.25">
      <c r="B1281" s="33">
        <v>1</v>
      </c>
      <c r="C1281" t="s">
        <v>69</v>
      </c>
      <c r="D1281" t="s">
        <v>113</v>
      </c>
      <c r="E1281">
        <v>18</v>
      </c>
      <c r="F1281" s="2">
        <v>2.7397260273972601E-2</v>
      </c>
    </row>
    <row r="1282" spans="2:6" x14ac:dyDescent="0.25">
      <c r="B1282" s="33">
        <v>1</v>
      </c>
      <c r="C1282" t="s">
        <v>0</v>
      </c>
      <c r="D1282" t="s">
        <v>150</v>
      </c>
      <c r="E1282">
        <v>16</v>
      </c>
      <c r="F1282" s="2">
        <v>0.12054794520547946</v>
      </c>
    </row>
    <row r="1283" spans="2:6" x14ac:dyDescent="0.25">
      <c r="B1283" s="33">
        <v>1</v>
      </c>
      <c r="C1283" t="s">
        <v>90</v>
      </c>
      <c r="D1283" t="s">
        <v>164</v>
      </c>
      <c r="E1283">
        <v>20</v>
      </c>
      <c r="F1283" s="2">
        <v>6.0273972602739728E-2</v>
      </c>
    </row>
    <row r="1284" spans="2:6" x14ac:dyDescent="0.25">
      <c r="B1284" s="33">
        <v>1</v>
      </c>
      <c r="C1284" t="s">
        <v>69</v>
      </c>
      <c r="D1284" t="s">
        <v>181</v>
      </c>
      <c r="E1284">
        <v>16</v>
      </c>
      <c r="F1284" s="2">
        <v>2.7397260273972601E-2</v>
      </c>
    </row>
    <row r="1285" spans="2:6" x14ac:dyDescent="0.25">
      <c r="B1285" s="33">
        <v>1</v>
      </c>
      <c r="C1285" t="s">
        <v>72</v>
      </c>
      <c r="D1285" t="s">
        <v>149</v>
      </c>
      <c r="E1285">
        <v>19</v>
      </c>
      <c r="F1285" s="2">
        <v>6.0273972602739728E-2</v>
      </c>
    </row>
    <row r="1286" spans="2:6" x14ac:dyDescent="0.25">
      <c r="B1286" s="33">
        <v>1</v>
      </c>
      <c r="C1286" t="s">
        <v>77</v>
      </c>
      <c r="D1286" t="s">
        <v>101</v>
      </c>
      <c r="E1286">
        <v>19</v>
      </c>
      <c r="F1286" s="2">
        <v>3.287671232876712E-2</v>
      </c>
    </row>
    <row r="1287" spans="2:6" x14ac:dyDescent="0.25">
      <c r="B1287" s="33">
        <v>1</v>
      </c>
      <c r="C1287" t="s">
        <v>3</v>
      </c>
      <c r="D1287" t="s">
        <v>207</v>
      </c>
      <c r="E1287">
        <v>19</v>
      </c>
      <c r="F1287" s="2">
        <v>3.5616438356164383E-2</v>
      </c>
    </row>
    <row r="1288" spans="2:6" x14ac:dyDescent="0.25">
      <c r="B1288" s="33">
        <v>1</v>
      </c>
      <c r="C1288" t="s">
        <v>3</v>
      </c>
      <c r="D1288" t="s">
        <v>208</v>
      </c>
      <c r="E1288">
        <v>16</v>
      </c>
      <c r="F1288" s="2">
        <v>3.5616438356164383E-2</v>
      </c>
    </row>
    <row r="1289" spans="2:6" x14ac:dyDescent="0.25">
      <c r="B1289" s="33">
        <v>1</v>
      </c>
      <c r="C1289" t="s">
        <v>1</v>
      </c>
      <c r="D1289" t="s">
        <v>112</v>
      </c>
      <c r="E1289">
        <v>22</v>
      </c>
      <c r="F1289" s="2">
        <v>5.4794520547945202E-2</v>
      </c>
    </row>
    <row r="1290" spans="2:6" x14ac:dyDescent="0.25">
      <c r="B1290" s="33">
        <v>1</v>
      </c>
      <c r="C1290" t="s">
        <v>66</v>
      </c>
      <c r="D1290" t="s">
        <v>151</v>
      </c>
      <c r="E1290">
        <v>20</v>
      </c>
      <c r="F1290" s="2">
        <v>6.3013698630136991E-2</v>
      </c>
    </row>
    <row r="1291" spans="2:6" x14ac:dyDescent="0.25">
      <c r="B1291" s="33">
        <v>1</v>
      </c>
      <c r="C1291" t="s">
        <v>2</v>
      </c>
      <c r="D1291" t="s">
        <v>172</v>
      </c>
      <c r="E1291">
        <v>18</v>
      </c>
      <c r="F1291" s="2">
        <v>3.287671232876712E-2</v>
      </c>
    </row>
    <row r="1292" spans="2:6" x14ac:dyDescent="0.25">
      <c r="B1292" s="33">
        <v>1</v>
      </c>
      <c r="C1292" t="s">
        <v>103</v>
      </c>
      <c r="D1292" t="s">
        <v>158</v>
      </c>
      <c r="E1292">
        <v>17</v>
      </c>
      <c r="F1292" s="2">
        <v>3.8356164383561646E-2</v>
      </c>
    </row>
    <row r="1293" spans="2:6" x14ac:dyDescent="0.25">
      <c r="B1293" s="33">
        <v>1</v>
      </c>
      <c r="C1293" t="s">
        <v>88</v>
      </c>
      <c r="D1293" t="s">
        <v>160</v>
      </c>
      <c r="E1293">
        <v>17</v>
      </c>
      <c r="F1293" s="2">
        <v>6.0273972602739728E-2</v>
      </c>
    </row>
    <row r="1294" spans="2:6" x14ac:dyDescent="0.25">
      <c r="B1294" s="33">
        <v>1</v>
      </c>
      <c r="C1294" t="s">
        <v>77</v>
      </c>
      <c r="D1294" t="s">
        <v>193</v>
      </c>
      <c r="E1294">
        <v>19</v>
      </c>
      <c r="F1294" s="2">
        <v>3.287671232876712E-2</v>
      </c>
    </row>
    <row r="1295" spans="2:6" x14ac:dyDescent="0.25">
      <c r="B1295" s="33">
        <v>1</v>
      </c>
      <c r="C1295" t="s">
        <v>66</v>
      </c>
      <c r="D1295" t="s">
        <v>168</v>
      </c>
      <c r="E1295">
        <v>16</v>
      </c>
      <c r="F1295" s="2">
        <v>6.3013698630136991E-2</v>
      </c>
    </row>
    <row r="1296" spans="2:6" x14ac:dyDescent="0.25">
      <c r="B1296" s="33">
        <v>1</v>
      </c>
      <c r="C1296" t="s">
        <v>77</v>
      </c>
      <c r="D1296" t="s">
        <v>85</v>
      </c>
      <c r="E1296">
        <v>0</v>
      </c>
      <c r="F1296" s="2">
        <v>1.3698630136986301E-2</v>
      </c>
    </row>
    <row r="1297" spans="2:6" x14ac:dyDescent="0.25">
      <c r="B1297" s="33">
        <v>1</v>
      </c>
      <c r="C1297" t="s">
        <v>6</v>
      </c>
      <c r="D1297" t="s">
        <v>28</v>
      </c>
      <c r="E1297">
        <v>0</v>
      </c>
      <c r="F1297" s="2">
        <v>4.6575342465753428E-2</v>
      </c>
    </row>
    <row r="1298" spans="2:6" x14ac:dyDescent="0.25">
      <c r="B1298" s="33">
        <v>1</v>
      </c>
      <c r="C1298" t="s">
        <v>1</v>
      </c>
      <c r="D1298" t="s">
        <v>143</v>
      </c>
      <c r="E1298">
        <v>1</v>
      </c>
      <c r="F1298" s="2">
        <v>3.0136986301369864E-2</v>
      </c>
    </row>
    <row r="1299" spans="2:6" x14ac:dyDescent="0.25">
      <c r="B1299" s="33">
        <v>1</v>
      </c>
      <c r="C1299" t="s">
        <v>1</v>
      </c>
      <c r="D1299" t="s">
        <v>82</v>
      </c>
      <c r="E1299">
        <v>3</v>
      </c>
      <c r="F1299" s="2">
        <v>3.0136986301369864E-2</v>
      </c>
    </row>
    <row r="1300" spans="2:6" x14ac:dyDescent="0.25">
      <c r="B1300" s="33">
        <v>1</v>
      </c>
      <c r="C1300" t="s">
        <v>6</v>
      </c>
      <c r="D1300" t="s">
        <v>25</v>
      </c>
      <c r="E1300">
        <v>11</v>
      </c>
      <c r="F1300" s="2">
        <v>4.6575342465753428E-2</v>
      </c>
    </row>
    <row r="1301" spans="2:6" x14ac:dyDescent="0.25">
      <c r="B1301" s="33">
        <v>1</v>
      </c>
      <c r="C1301" t="s">
        <v>6</v>
      </c>
      <c r="D1301" t="s">
        <v>25</v>
      </c>
      <c r="E1301">
        <v>10</v>
      </c>
      <c r="F1301" s="2">
        <v>4.6575342465753428E-2</v>
      </c>
    </row>
    <row r="1302" spans="2:6" x14ac:dyDescent="0.25">
      <c r="B1302" s="33">
        <v>1</v>
      </c>
      <c r="C1302" t="s">
        <v>72</v>
      </c>
      <c r="D1302" t="s">
        <v>125</v>
      </c>
      <c r="E1302">
        <v>0</v>
      </c>
      <c r="F1302" s="2">
        <v>4.1095890410958902E-2</v>
      </c>
    </row>
    <row r="1303" spans="2:6" x14ac:dyDescent="0.25">
      <c r="B1303" s="33">
        <v>1</v>
      </c>
      <c r="C1303" t="s">
        <v>66</v>
      </c>
      <c r="D1303" t="s">
        <v>67</v>
      </c>
      <c r="E1303">
        <v>1</v>
      </c>
      <c r="F1303" s="2">
        <v>3.5616438356164383E-2</v>
      </c>
    </row>
    <row r="1304" spans="2:6" x14ac:dyDescent="0.25">
      <c r="B1304" s="33">
        <v>1</v>
      </c>
      <c r="C1304" t="s">
        <v>6</v>
      </c>
      <c r="D1304" t="s">
        <v>28</v>
      </c>
      <c r="E1304">
        <v>22</v>
      </c>
      <c r="F1304" s="2">
        <v>4.3835616438356165E-2</v>
      </c>
    </row>
    <row r="1305" spans="2:6" x14ac:dyDescent="0.25">
      <c r="B1305" s="33">
        <v>1</v>
      </c>
      <c r="C1305" t="s">
        <v>1</v>
      </c>
      <c r="D1305" t="s">
        <v>92</v>
      </c>
      <c r="E1305">
        <v>3</v>
      </c>
      <c r="F1305" s="2">
        <v>3.0136986301369864E-2</v>
      </c>
    </row>
    <row r="1306" spans="2:6" x14ac:dyDescent="0.25">
      <c r="B1306" s="33">
        <v>1</v>
      </c>
      <c r="C1306" t="s">
        <v>77</v>
      </c>
      <c r="D1306" t="s">
        <v>136</v>
      </c>
      <c r="E1306">
        <v>3</v>
      </c>
      <c r="F1306" s="2">
        <v>1.3698630136986301E-2</v>
      </c>
    </row>
    <row r="1307" spans="2:6" x14ac:dyDescent="0.25">
      <c r="B1307" s="33">
        <v>1</v>
      </c>
      <c r="C1307" t="s">
        <v>72</v>
      </c>
      <c r="D1307" t="s">
        <v>187</v>
      </c>
      <c r="E1307">
        <v>11</v>
      </c>
      <c r="F1307" s="2">
        <v>5.7534246575342465E-2</v>
      </c>
    </row>
    <row r="1308" spans="2:6" x14ac:dyDescent="0.25">
      <c r="B1308" s="33">
        <v>1</v>
      </c>
      <c r="C1308" t="s">
        <v>90</v>
      </c>
      <c r="D1308" t="s">
        <v>164</v>
      </c>
      <c r="E1308">
        <v>13</v>
      </c>
      <c r="F1308" s="2">
        <v>6.8493150684931503E-2</v>
      </c>
    </row>
    <row r="1309" spans="2:6" x14ac:dyDescent="0.25">
      <c r="B1309" s="33">
        <v>1</v>
      </c>
      <c r="C1309" t="s">
        <v>4</v>
      </c>
      <c r="D1309" t="s">
        <v>153</v>
      </c>
      <c r="E1309">
        <v>9</v>
      </c>
      <c r="F1309" s="2">
        <v>5.4794520547945202E-2</v>
      </c>
    </row>
    <row r="1310" spans="2:6" x14ac:dyDescent="0.25">
      <c r="B1310" s="33">
        <v>1</v>
      </c>
      <c r="C1310" t="s">
        <v>64</v>
      </c>
      <c r="D1310" t="s">
        <v>116</v>
      </c>
      <c r="E1310">
        <v>13</v>
      </c>
      <c r="F1310" s="2">
        <v>6.8493150684931503E-2</v>
      </c>
    </row>
    <row r="1311" spans="2:6" x14ac:dyDescent="0.25">
      <c r="B1311" s="33">
        <v>1</v>
      </c>
      <c r="C1311" t="s">
        <v>1</v>
      </c>
      <c r="D1311" t="s">
        <v>176</v>
      </c>
      <c r="E1311">
        <v>10</v>
      </c>
      <c r="F1311" s="2">
        <v>5.7534246575342465E-2</v>
      </c>
    </row>
    <row r="1312" spans="2:6" x14ac:dyDescent="0.25">
      <c r="B1312" s="33">
        <v>1</v>
      </c>
      <c r="C1312" t="s">
        <v>0</v>
      </c>
      <c r="D1312" t="s">
        <v>111</v>
      </c>
      <c r="E1312">
        <v>15</v>
      </c>
      <c r="F1312" s="2">
        <v>9.5890410958904104E-2</v>
      </c>
    </row>
    <row r="1313" spans="2:6" x14ac:dyDescent="0.25">
      <c r="B1313" s="33">
        <v>1</v>
      </c>
      <c r="C1313" t="s">
        <v>4</v>
      </c>
      <c r="D1313" t="s">
        <v>106</v>
      </c>
      <c r="E1313">
        <v>10</v>
      </c>
      <c r="F1313" s="2">
        <v>5.2054794520547946E-2</v>
      </c>
    </row>
    <row r="1314" spans="2:6" x14ac:dyDescent="0.25">
      <c r="B1314" s="33">
        <v>1</v>
      </c>
      <c r="C1314" t="s">
        <v>3</v>
      </c>
      <c r="D1314" t="s">
        <v>119</v>
      </c>
      <c r="E1314">
        <v>15</v>
      </c>
      <c r="F1314" s="2">
        <v>3.8356164383561646E-2</v>
      </c>
    </row>
    <row r="1315" spans="2:6" x14ac:dyDescent="0.25">
      <c r="B1315" s="33">
        <v>1</v>
      </c>
      <c r="C1315" t="s">
        <v>6</v>
      </c>
      <c r="D1315" t="s">
        <v>25</v>
      </c>
      <c r="E1315">
        <v>7</v>
      </c>
      <c r="F1315" s="2">
        <v>4.3835616438356165E-2</v>
      </c>
    </row>
    <row r="1316" spans="2:6" x14ac:dyDescent="0.25">
      <c r="B1316" s="33">
        <v>1</v>
      </c>
      <c r="C1316" t="s">
        <v>0</v>
      </c>
      <c r="D1316" t="s">
        <v>111</v>
      </c>
      <c r="E1316">
        <v>11</v>
      </c>
      <c r="F1316" s="2">
        <v>9.0410958904109592E-2</v>
      </c>
    </row>
    <row r="1317" spans="2:6" x14ac:dyDescent="0.25">
      <c r="B1317" s="33">
        <v>1</v>
      </c>
      <c r="C1317" t="s">
        <v>69</v>
      </c>
      <c r="D1317" t="s">
        <v>199</v>
      </c>
      <c r="E1317">
        <v>12</v>
      </c>
      <c r="F1317" s="2">
        <v>2.4657534246575342E-2</v>
      </c>
    </row>
    <row r="1318" spans="2:6" x14ac:dyDescent="0.25">
      <c r="B1318" s="33">
        <v>1</v>
      </c>
      <c r="C1318" t="s">
        <v>64</v>
      </c>
      <c r="D1318" t="s">
        <v>116</v>
      </c>
      <c r="E1318">
        <v>11</v>
      </c>
      <c r="F1318" s="2">
        <v>6.3013698630136991E-2</v>
      </c>
    </row>
    <row r="1319" spans="2:6" x14ac:dyDescent="0.25">
      <c r="B1319" s="33">
        <v>1</v>
      </c>
      <c r="C1319" t="s">
        <v>66</v>
      </c>
      <c r="D1319" t="s">
        <v>182</v>
      </c>
      <c r="E1319">
        <v>10</v>
      </c>
      <c r="F1319" s="2">
        <v>5.7534246575342465E-2</v>
      </c>
    </row>
    <row r="1320" spans="2:6" x14ac:dyDescent="0.25">
      <c r="B1320" s="33">
        <v>1</v>
      </c>
      <c r="C1320" t="s">
        <v>77</v>
      </c>
      <c r="D1320" t="s">
        <v>142</v>
      </c>
      <c r="E1320">
        <v>10</v>
      </c>
      <c r="F1320" s="2">
        <v>3.287671232876712E-2</v>
      </c>
    </row>
    <row r="1321" spans="2:6" x14ac:dyDescent="0.25">
      <c r="B1321" s="33">
        <v>1</v>
      </c>
      <c r="C1321" t="s">
        <v>69</v>
      </c>
      <c r="D1321" t="s">
        <v>190</v>
      </c>
      <c r="E1321">
        <v>15</v>
      </c>
      <c r="F1321" s="2">
        <v>2.4657534246575342E-2</v>
      </c>
    </row>
    <row r="1322" spans="2:6" x14ac:dyDescent="0.25">
      <c r="B1322" s="33">
        <v>1</v>
      </c>
      <c r="C1322" t="s">
        <v>3</v>
      </c>
      <c r="D1322" t="s">
        <v>161</v>
      </c>
      <c r="E1322">
        <v>12</v>
      </c>
      <c r="F1322" s="2">
        <v>3.8356164383561646E-2</v>
      </c>
    </row>
    <row r="1323" spans="2:6" x14ac:dyDescent="0.25">
      <c r="B1323" s="33">
        <v>1</v>
      </c>
      <c r="C1323" t="s">
        <v>88</v>
      </c>
      <c r="D1323" t="s">
        <v>156</v>
      </c>
      <c r="E1323">
        <v>12</v>
      </c>
      <c r="F1323" s="2">
        <v>6.8493150684931503E-2</v>
      </c>
    </row>
    <row r="1324" spans="2:6" x14ac:dyDescent="0.25">
      <c r="B1324" s="33">
        <v>1</v>
      </c>
      <c r="C1324" t="s">
        <v>3</v>
      </c>
      <c r="D1324" t="s">
        <v>180</v>
      </c>
      <c r="E1324">
        <v>11</v>
      </c>
      <c r="F1324" s="2">
        <v>3.5616438356164383E-2</v>
      </c>
    </row>
    <row r="1325" spans="2:6" x14ac:dyDescent="0.25">
      <c r="B1325" s="33">
        <v>1</v>
      </c>
      <c r="C1325" t="s">
        <v>64</v>
      </c>
      <c r="D1325" t="s">
        <v>116</v>
      </c>
      <c r="E1325">
        <v>9</v>
      </c>
      <c r="F1325" s="2">
        <v>5.7534246575342465E-2</v>
      </c>
    </row>
    <row r="1326" spans="2:6" x14ac:dyDescent="0.25">
      <c r="B1326" s="33">
        <v>1</v>
      </c>
      <c r="C1326" t="s">
        <v>6</v>
      </c>
      <c r="D1326" t="s">
        <v>43</v>
      </c>
      <c r="E1326">
        <v>11</v>
      </c>
      <c r="F1326" s="2">
        <v>4.3835616438356165E-2</v>
      </c>
    </row>
    <row r="1327" spans="2:6" x14ac:dyDescent="0.25">
      <c r="B1327" s="33">
        <v>1</v>
      </c>
      <c r="C1327" t="s">
        <v>0</v>
      </c>
      <c r="D1327" t="s">
        <v>150</v>
      </c>
      <c r="E1327">
        <v>11</v>
      </c>
      <c r="F1327" s="2">
        <v>8.7671232876712329E-2</v>
      </c>
    </row>
    <row r="1328" spans="2:6" x14ac:dyDescent="0.25">
      <c r="B1328" s="33">
        <v>1</v>
      </c>
      <c r="C1328" t="s">
        <v>103</v>
      </c>
      <c r="D1328" t="s">
        <v>45</v>
      </c>
      <c r="E1328">
        <v>10</v>
      </c>
      <c r="F1328" s="2">
        <v>5.2054794520547946E-2</v>
      </c>
    </row>
    <row r="1329" spans="2:6" x14ac:dyDescent="0.25">
      <c r="B1329" s="33">
        <v>1</v>
      </c>
      <c r="C1329" t="s">
        <v>66</v>
      </c>
      <c r="D1329" t="s">
        <v>135</v>
      </c>
      <c r="E1329">
        <v>9</v>
      </c>
      <c r="F1329" s="2">
        <v>5.7534246575342465E-2</v>
      </c>
    </row>
    <row r="1330" spans="2:6" x14ac:dyDescent="0.25">
      <c r="B1330" s="33">
        <v>1</v>
      </c>
      <c r="C1330" t="s">
        <v>126</v>
      </c>
      <c r="D1330" t="s">
        <v>169</v>
      </c>
      <c r="E1330">
        <v>15</v>
      </c>
      <c r="F1330" s="2">
        <v>2.7397260273972601E-2</v>
      </c>
    </row>
    <row r="1331" spans="2:6" x14ac:dyDescent="0.25">
      <c r="B1331" s="33">
        <v>1</v>
      </c>
      <c r="C1331" t="s">
        <v>66</v>
      </c>
      <c r="D1331" t="s">
        <v>151</v>
      </c>
      <c r="E1331">
        <v>8</v>
      </c>
      <c r="F1331" s="2">
        <v>5.7534246575342465E-2</v>
      </c>
    </row>
    <row r="1332" spans="2:6" x14ac:dyDescent="0.25">
      <c r="B1332" s="33">
        <v>1</v>
      </c>
      <c r="C1332" t="s">
        <v>69</v>
      </c>
      <c r="D1332" t="s">
        <v>154</v>
      </c>
      <c r="E1332">
        <v>13</v>
      </c>
      <c r="F1332" s="2">
        <v>2.4657534246575342E-2</v>
      </c>
    </row>
    <row r="1333" spans="2:6" x14ac:dyDescent="0.25">
      <c r="B1333" s="33">
        <v>1</v>
      </c>
      <c r="C1333" t="s">
        <v>3</v>
      </c>
      <c r="D1333" t="s">
        <v>100</v>
      </c>
      <c r="E1333">
        <v>14</v>
      </c>
      <c r="F1333" s="2">
        <v>3.5616438356164383E-2</v>
      </c>
    </row>
    <row r="1334" spans="2:6" x14ac:dyDescent="0.25">
      <c r="B1334" s="33">
        <v>1</v>
      </c>
      <c r="C1334" t="s">
        <v>72</v>
      </c>
      <c r="D1334" t="s">
        <v>163</v>
      </c>
      <c r="E1334">
        <v>8</v>
      </c>
      <c r="F1334" s="2">
        <v>5.4794520547945202E-2</v>
      </c>
    </row>
    <row r="1335" spans="2:6" x14ac:dyDescent="0.25">
      <c r="B1335" s="33">
        <v>1</v>
      </c>
      <c r="C1335" t="s">
        <v>72</v>
      </c>
      <c r="D1335" t="s">
        <v>209</v>
      </c>
      <c r="E1335">
        <v>15</v>
      </c>
      <c r="F1335" s="2">
        <v>5.4794520547945202E-2</v>
      </c>
    </row>
    <row r="1336" spans="2:6" x14ac:dyDescent="0.25">
      <c r="B1336" s="33">
        <v>1</v>
      </c>
      <c r="C1336" t="s">
        <v>3</v>
      </c>
      <c r="D1336" t="s">
        <v>108</v>
      </c>
      <c r="E1336">
        <v>20</v>
      </c>
      <c r="F1336" s="2">
        <v>3.5616438356164383E-2</v>
      </c>
    </row>
    <row r="1337" spans="2:6" x14ac:dyDescent="0.25">
      <c r="B1337" s="33">
        <v>1</v>
      </c>
      <c r="C1337" t="s">
        <v>103</v>
      </c>
      <c r="D1337" t="s">
        <v>104</v>
      </c>
      <c r="E1337">
        <v>23</v>
      </c>
      <c r="F1337" s="2">
        <v>3.5616438356164383E-2</v>
      </c>
    </row>
    <row r="1338" spans="2:6" x14ac:dyDescent="0.25">
      <c r="B1338" s="33">
        <v>1</v>
      </c>
      <c r="C1338" t="s">
        <v>0</v>
      </c>
      <c r="D1338" t="s">
        <v>133</v>
      </c>
      <c r="E1338">
        <v>16</v>
      </c>
      <c r="F1338" s="2">
        <v>7.9452054794520555E-2</v>
      </c>
    </row>
    <row r="1339" spans="2:6" x14ac:dyDescent="0.25">
      <c r="B1339" s="33">
        <v>1</v>
      </c>
      <c r="C1339" t="s">
        <v>64</v>
      </c>
      <c r="D1339" t="s">
        <v>71</v>
      </c>
      <c r="E1339">
        <v>17</v>
      </c>
      <c r="F1339" s="2">
        <v>0.11232876712328767</v>
      </c>
    </row>
    <row r="1340" spans="2:6" x14ac:dyDescent="0.25">
      <c r="B1340" s="33">
        <v>1</v>
      </c>
      <c r="C1340" t="s">
        <v>126</v>
      </c>
      <c r="D1340" t="s">
        <v>131</v>
      </c>
      <c r="E1340">
        <v>18</v>
      </c>
      <c r="F1340" s="2">
        <v>4.6575342465753428E-2</v>
      </c>
    </row>
    <row r="1341" spans="2:6" x14ac:dyDescent="0.25">
      <c r="B1341" s="33">
        <v>1</v>
      </c>
      <c r="C1341" t="s">
        <v>77</v>
      </c>
      <c r="D1341" t="s">
        <v>98</v>
      </c>
      <c r="E1341">
        <v>17</v>
      </c>
      <c r="F1341" s="2">
        <v>3.0136986301369864E-2</v>
      </c>
    </row>
    <row r="1342" spans="2:6" x14ac:dyDescent="0.25">
      <c r="B1342" s="33">
        <v>1</v>
      </c>
      <c r="C1342" t="s">
        <v>1</v>
      </c>
      <c r="D1342" t="s">
        <v>143</v>
      </c>
      <c r="E1342">
        <v>22</v>
      </c>
      <c r="F1342" s="2">
        <v>5.4794520547945202E-2</v>
      </c>
    </row>
    <row r="1343" spans="2:6" x14ac:dyDescent="0.25">
      <c r="B1343" s="33">
        <v>1</v>
      </c>
      <c r="C1343" t="s">
        <v>126</v>
      </c>
      <c r="D1343" t="s">
        <v>147</v>
      </c>
      <c r="E1343">
        <v>17</v>
      </c>
      <c r="F1343" s="2">
        <v>4.3835616438356165E-2</v>
      </c>
    </row>
    <row r="1344" spans="2:6" x14ac:dyDescent="0.25">
      <c r="B1344" s="33">
        <v>1</v>
      </c>
      <c r="C1344" t="s">
        <v>0</v>
      </c>
      <c r="D1344" t="s">
        <v>133</v>
      </c>
      <c r="E1344">
        <v>19</v>
      </c>
      <c r="F1344" s="2">
        <v>7.9452054794520555E-2</v>
      </c>
    </row>
    <row r="1345" spans="2:6" x14ac:dyDescent="0.25">
      <c r="B1345" s="33">
        <v>1</v>
      </c>
      <c r="C1345" t="s">
        <v>77</v>
      </c>
      <c r="D1345" t="s">
        <v>204</v>
      </c>
      <c r="E1345">
        <v>16</v>
      </c>
      <c r="F1345" s="2">
        <v>3.0136986301369864E-2</v>
      </c>
    </row>
    <row r="1346" spans="2:6" x14ac:dyDescent="0.25">
      <c r="B1346" s="33">
        <v>1</v>
      </c>
      <c r="C1346" t="s">
        <v>69</v>
      </c>
      <c r="D1346" t="s">
        <v>70</v>
      </c>
      <c r="E1346">
        <v>23</v>
      </c>
      <c r="F1346" s="2">
        <v>2.4657534246575342E-2</v>
      </c>
    </row>
    <row r="1347" spans="2:6" x14ac:dyDescent="0.25">
      <c r="B1347" s="33">
        <v>1</v>
      </c>
      <c r="C1347" t="s">
        <v>2</v>
      </c>
      <c r="D1347" t="s">
        <v>96</v>
      </c>
      <c r="E1347">
        <v>5</v>
      </c>
      <c r="F1347" s="2">
        <v>2.7397260273972603E-3</v>
      </c>
    </row>
    <row r="1348" spans="2:6" x14ac:dyDescent="0.25">
      <c r="B1348" s="33">
        <v>1</v>
      </c>
      <c r="C1348" t="s">
        <v>1</v>
      </c>
      <c r="D1348" t="s">
        <v>94</v>
      </c>
      <c r="E1348">
        <v>1</v>
      </c>
      <c r="F1348" s="2">
        <v>3.0136986301369864E-2</v>
      </c>
    </row>
    <row r="1349" spans="2:6" x14ac:dyDescent="0.25">
      <c r="B1349" s="33">
        <v>1</v>
      </c>
      <c r="C1349" t="s">
        <v>88</v>
      </c>
      <c r="D1349" t="s">
        <v>160</v>
      </c>
      <c r="E1349">
        <v>7</v>
      </c>
      <c r="F1349" s="2">
        <v>3.5616438356164383E-2</v>
      </c>
    </row>
    <row r="1350" spans="2:6" x14ac:dyDescent="0.25">
      <c r="B1350" s="33">
        <v>1</v>
      </c>
      <c r="C1350" t="s">
        <v>88</v>
      </c>
      <c r="D1350" t="s">
        <v>134</v>
      </c>
      <c r="E1350">
        <v>0</v>
      </c>
      <c r="F1350" s="2">
        <v>3.5616438356164383E-2</v>
      </c>
    </row>
    <row r="1351" spans="2:6" x14ac:dyDescent="0.25">
      <c r="B1351" s="33">
        <v>1</v>
      </c>
      <c r="C1351" t="s">
        <v>2</v>
      </c>
      <c r="D1351" t="s">
        <v>102</v>
      </c>
      <c r="E1351">
        <v>6</v>
      </c>
      <c r="F1351" s="2">
        <v>1.9178082191780823E-2</v>
      </c>
    </row>
    <row r="1352" spans="2:6" x14ac:dyDescent="0.25">
      <c r="B1352" s="33">
        <v>1</v>
      </c>
      <c r="C1352" t="s">
        <v>126</v>
      </c>
      <c r="D1352" t="s">
        <v>131</v>
      </c>
      <c r="E1352">
        <v>6</v>
      </c>
      <c r="F1352" s="2">
        <v>1.9178082191780823E-2</v>
      </c>
    </row>
    <row r="1353" spans="2:6" x14ac:dyDescent="0.25">
      <c r="B1353" s="33">
        <v>1</v>
      </c>
      <c r="C1353" t="s">
        <v>88</v>
      </c>
      <c r="D1353" t="s">
        <v>89</v>
      </c>
      <c r="E1353">
        <v>2</v>
      </c>
      <c r="F1353" s="2">
        <v>3.287671232876712E-2</v>
      </c>
    </row>
    <row r="1354" spans="2:6" x14ac:dyDescent="0.25">
      <c r="B1354" s="33">
        <v>1</v>
      </c>
      <c r="C1354" t="s">
        <v>88</v>
      </c>
      <c r="D1354" t="s">
        <v>156</v>
      </c>
      <c r="E1354">
        <v>1</v>
      </c>
      <c r="F1354" s="2">
        <v>3.0136986301369864E-2</v>
      </c>
    </row>
    <row r="1355" spans="2:6" x14ac:dyDescent="0.25">
      <c r="B1355" s="33">
        <v>1</v>
      </c>
      <c r="C1355" t="s">
        <v>66</v>
      </c>
      <c r="D1355" t="s">
        <v>80</v>
      </c>
      <c r="E1355">
        <v>4</v>
      </c>
      <c r="F1355" s="2">
        <v>3.5616438356164383E-2</v>
      </c>
    </row>
    <row r="1356" spans="2:6" x14ac:dyDescent="0.25">
      <c r="B1356" s="33">
        <v>1</v>
      </c>
      <c r="C1356" t="s">
        <v>1</v>
      </c>
      <c r="D1356" t="s">
        <v>200</v>
      </c>
      <c r="E1356">
        <v>11</v>
      </c>
      <c r="F1356" s="2">
        <v>5.4794520547945202E-2</v>
      </c>
    </row>
    <row r="1357" spans="2:6" x14ac:dyDescent="0.25">
      <c r="B1357" s="33">
        <v>1</v>
      </c>
      <c r="C1357" t="s">
        <v>77</v>
      </c>
      <c r="D1357" t="s">
        <v>101</v>
      </c>
      <c r="E1357">
        <v>10</v>
      </c>
      <c r="F1357" s="2">
        <v>3.287671232876712E-2</v>
      </c>
    </row>
    <row r="1358" spans="2:6" x14ac:dyDescent="0.25">
      <c r="B1358" s="33">
        <v>1</v>
      </c>
      <c r="C1358" t="s">
        <v>77</v>
      </c>
      <c r="D1358" t="s">
        <v>136</v>
      </c>
      <c r="E1358">
        <v>12</v>
      </c>
      <c r="F1358" s="2">
        <v>3.287671232876712E-2</v>
      </c>
    </row>
    <row r="1359" spans="2:6" x14ac:dyDescent="0.25">
      <c r="B1359" s="33">
        <v>1</v>
      </c>
      <c r="C1359" t="s">
        <v>3</v>
      </c>
      <c r="D1359" t="s">
        <v>157</v>
      </c>
      <c r="E1359">
        <v>8</v>
      </c>
      <c r="F1359" s="2">
        <v>3.5616438356164383E-2</v>
      </c>
    </row>
    <row r="1360" spans="2:6" x14ac:dyDescent="0.25">
      <c r="B1360" s="33">
        <v>1</v>
      </c>
      <c r="C1360" t="s">
        <v>77</v>
      </c>
      <c r="D1360" t="s">
        <v>142</v>
      </c>
      <c r="E1360">
        <v>9</v>
      </c>
      <c r="F1360" s="2">
        <v>3.287671232876712E-2</v>
      </c>
    </row>
    <row r="1361" spans="2:6" x14ac:dyDescent="0.25">
      <c r="B1361" s="33">
        <v>1</v>
      </c>
      <c r="C1361" t="s">
        <v>1</v>
      </c>
      <c r="D1361" t="s">
        <v>112</v>
      </c>
      <c r="E1361">
        <v>12</v>
      </c>
      <c r="F1361" s="2">
        <v>5.4794520547945202E-2</v>
      </c>
    </row>
    <row r="1362" spans="2:6" x14ac:dyDescent="0.25">
      <c r="B1362" s="33">
        <v>1</v>
      </c>
      <c r="C1362" t="s">
        <v>88</v>
      </c>
      <c r="D1362" t="s">
        <v>160</v>
      </c>
      <c r="E1362">
        <v>14</v>
      </c>
      <c r="F1362" s="2">
        <v>6.575342465753424E-2</v>
      </c>
    </row>
    <row r="1363" spans="2:6" x14ac:dyDescent="0.25">
      <c r="B1363" s="33">
        <v>1</v>
      </c>
      <c r="C1363" t="s">
        <v>66</v>
      </c>
      <c r="D1363" t="s">
        <v>129</v>
      </c>
      <c r="E1363">
        <v>15</v>
      </c>
      <c r="F1363" s="2">
        <v>5.4794520547945202E-2</v>
      </c>
    </row>
    <row r="1364" spans="2:6" x14ac:dyDescent="0.25">
      <c r="B1364" s="33">
        <v>1</v>
      </c>
      <c r="C1364" t="s">
        <v>2</v>
      </c>
      <c r="D1364" t="s">
        <v>102</v>
      </c>
      <c r="E1364">
        <v>8</v>
      </c>
      <c r="F1364" s="2">
        <v>3.0136986301369864E-2</v>
      </c>
    </row>
    <row r="1365" spans="2:6" x14ac:dyDescent="0.25">
      <c r="B1365" s="33">
        <v>1</v>
      </c>
      <c r="C1365" t="s">
        <v>66</v>
      </c>
      <c r="D1365" t="s">
        <v>168</v>
      </c>
      <c r="E1365">
        <v>15</v>
      </c>
      <c r="F1365" s="2">
        <v>5.2054794520547946E-2</v>
      </c>
    </row>
    <row r="1366" spans="2:6" x14ac:dyDescent="0.25">
      <c r="B1366" s="33">
        <v>1</v>
      </c>
      <c r="C1366" t="s">
        <v>66</v>
      </c>
      <c r="D1366" t="s">
        <v>202</v>
      </c>
      <c r="E1366">
        <v>14</v>
      </c>
      <c r="F1366" s="2">
        <v>4.9315068493150684E-2</v>
      </c>
    </row>
    <row r="1367" spans="2:6" x14ac:dyDescent="0.25">
      <c r="B1367" s="33">
        <v>1</v>
      </c>
      <c r="C1367" t="s">
        <v>72</v>
      </c>
      <c r="D1367" t="s">
        <v>163</v>
      </c>
      <c r="E1367">
        <v>14</v>
      </c>
      <c r="F1367" s="2">
        <v>5.4794520547945202E-2</v>
      </c>
    </row>
    <row r="1368" spans="2:6" x14ac:dyDescent="0.25">
      <c r="B1368" s="33">
        <v>1</v>
      </c>
      <c r="C1368" t="s">
        <v>66</v>
      </c>
      <c r="D1368" t="s">
        <v>135</v>
      </c>
      <c r="E1368">
        <v>8</v>
      </c>
      <c r="F1368" s="2">
        <v>4.9315068493150684E-2</v>
      </c>
    </row>
    <row r="1369" spans="2:6" x14ac:dyDescent="0.25">
      <c r="B1369" s="33">
        <v>1</v>
      </c>
      <c r="C1369" t="s">
        <v>90</v>
      </c>
      <c r="D1369" t="s">
        <v>109</v>
      </c>
      <c r="E1369">
        <v>8</v>
      </c>
      <c r="F1369" s="2">
        <v>6.3013698630136991E-2</v>
      </c>
    </row>
    <row r="1370" spans="2:6" x14ac:dyDescent="0.25">
      <c r="B1370" s="33">
        <v>1</v>
      </c>
      <c r="C1370" t="s">
        <v>3</v>
      </c>
      <c r="D1370" t="s">
        <v>195</v>
      </c>
      <c r="E1370">
        <v>8</v>
      </c>
      <c r="F1370" s="2">
        <v>3.5616438356164383E-2</v>
      </c>
    </row>
    <row r="1371" spans="2:6" x14ac:dyDescent="0.25">
      <c r="B1371" s="33">
        <v>1</v>
      </c>
      <c r="C1371" t="s">
        <v>77</v>
      </c>
      <c r="D1371" t="s">
        <v>97</v>
      </c>
      <c r="E1371">
        <v>13</v>
      </c>
      <c r="F1371" s="2">
        <v>3.287671232876712E-2</v>
      </c>
    </row>
    <row r="1372" spans="2:6" x14ac:dyDescent="0.25">
      <c r="B1372" s="33">
        <v>1</v>
      </c>
      <c r="C1372" t="s">
        <v>77</v>
      </c>
      <c r="D1372" t="s">
        <v>210</v>
      </c>
      <c r="E1372">
        <v>9</v>
      </c>
      <c r="F1372" s="2">
        <v>3.287671232876712E-2</v>
      </c>
    </row>
    <row r="1373" spans="2:6" x14ac:dyDescent="0.25">
      <c r="B1373" s="33">
        <v>1</v>
      </c>
      <c r="C1373" t="s">
        <v>90</v>
      </c>
      <c r="D1373" t="s">
        <v>164</v>
      </c>
      <c r="E1373">
        <v>12</v>
      </c>
      <c r="F1373" s="2">
        <v>6.0273972602739728E-2</v>
      </c>
    </row>
    <row r="1374" spans="2:6" x14ac:dyDescent="0.25">
      <c r="B1374" s="33">
        <v>1</v>
      </c>
      <c r="C1374" t="s">
        <v>66</v>
      </c>
      <c r="D1374" t="s">
        <v>211</v>
      </c>
      <c r="E1374">
        <v>8</v>
      </c>
      <c r="F1374" s="2">
        <v>4.6575342465753428E-2</v>
      </c>
    </row>
    <row r="1375" spans="2:6" x14ac:dyDescent="0.25">
      <c r="B1375" s="33">
        <v>1</v>
      </c>
      <c r="C1375" t="s">
        <v>64</v>
      </c>
      <c r="D1375" t="s">
        <v>68</v>
      </c>
      <c r="E1375">
        <v>9</v>
      </c>
      <c r="F1375" s="2">
        <v>5.7534246575342465E-2</v>
      </c>
    </row>
    <row r="1376" spans="2:6" x14ac:dyDescent="0.25">
      <c r="B1376" s="33">
        <v>1</v>
      </c>
      <c r="C1376" t="s">
        <v>69</v>
      </c>
      <c r="D1376" t="s">
        <v>197</v>
      </c>
      <c r="E1376">
        <v>13</v>
      </c>
      <c r="F1376" s="2">
        <v>2.4657534246575342E-2</v>
      </c>
    </row>
    <row r="1377" spans="2:6" x14ac:dyDescent="0.25">
      <c r="B1377" s="33">
        <v>1</v>
      </c>
      <c r="C1377" t="s">
        <v>74</v>
      </c>
      <c r="D1377" t="s">
        <v>174</v>
      </c>
      <c r="E1377">
        <v>15</v>
      </c>
      <c r="F1377" s="2">
        <v>9.0410958904109592E-2</v>
      </c>
    </row>
    <row r="1378" spans="2:6" x14ac:dyDescent="0.25">
      <c r="B1378" s="33">
        <v>1</v>
      </c>
      <c r="C1378" t="s">
        <v>64</v>
      </c>
      <c r="D1378" t="s">
        <v>71</v>
      </c>
      <c r="E1378">
        <v>14</v>
      </c>
      <c r="F1378" s="2">
        <v>5.4794520547945202E-2</v>
      </c>
    </row>
    <row r="1379" spans="2:6" x14ac:dyDescent="0.25">
      <c r="B1379" s="33">
        <v>1</v>
      </c>
      <c r="C1379" t="s">
        <v>103</v>
      </c>
      <c r="D1379" t="s">
        <v>167</v>
      </c>
      <c r="E1379">
        <v>10</v>
      </c>
      <c r="F1379" s="2">
        <v>5.2054794520547946E-2</v>
      </c>
    </row>
    <row r="1380" spans="2:6" x14ac:dyDescent="0.25">
      <c r="B1380" s="33">
        <v>1</v>
      </c>
      <c r="C1380" t="s">
        <v>66</v>
      </c>
      <c r="D1380" t="s">
        <v>202</v>
      </c>
      <c r="E1380">
        <v>15</v>
      </c>
      <c r="F1380" s="2">
        <v>4.3835616438356165E-2</v>
      </c>
    </row>
    <row r="1381" spans="2:6" x14ac:dyDescent="0.25">
      <c r="B1381" s="33">
        <v>1</v>
      </c>
      <c r="C1381" t="s">
        <v>1</v>
      </c>
      <c r="D1381" t="s">
        <v>189</v>
      </c>
      <c r="E1381">
        <v>13</v>
      </c>
      <c r="F1381" s="2">
        <v>5.4794520547945202E-2</v>
      </c>
    </row>
    <row r="1382" spans="2:6" x14ac:dyDescent="0.25">
      <c r="B1382" s="33">
        <v>1</v>
      </c>
      <c r="C1382" t="s">
        <v>77</v>
      </c>
      <c r="D1382" t="s">
        <v>142</v>
      </c>
      <c r="E1382">
        <v>18</v>
      </c>
      <c r="F1382" s="2">
        <v>3.0136986301369864E-2</v>
      </c>
    </row>
    <row r="1383" spans="2:6" x14ac:dyDescent="0.25">
      <c r="B1383" s="33">
        <v>1</v>
      </c>
      <c r="C1383" t="s">
        <v>66</v>
      </c>
      <c r="D1383" t="s">
        <v>135</v>
      </c>
      <c r="E1383">
        <v>16</v>
      </c>
      <c r="F1383" s="2">
        <v>6.3013698630136991E-2</v>
      </c>
    </row>
    <row r="1384" spans="2:6" x14ac:dyDescent="0.25">
      <c r="B1384" s="33">
        <v>1</v>
      </c>
      <c r="C1384" t="s">
        <v>1</v>
      </c>
      <c r="D1384" t="s">
        <v>143</v>
      </c>
      <c r="E1384">
        <v>21</v>
      </c>
      <c r="F1384" s="2">
        <v>5.2054794520547946E-2</v>
      </c>
    </row>
    <row r="1385" spans="2:6" x14ac:dyDescent="0.25">
      <c r="B1385" s="33">
        <v>1</v>
      </c>
      <c r="C1385" t="s">
        <v>66</v>
      </c>
      <c r="D1385" t="s">
        <v>67</v>
      </c>
      <c r="E1385">
        <v>22</v>
      </c>
      <c r="F1385" s="2">
        <v>6.3013698630136991E-2</v>
      </c>
    </row>
    <row r="1386" spans="2:6" x14ac:dyDescent="0.25">
      <c r="B1386" s="33">
        <v>1</v>
      </c>
      <c r="C1386" t="s">
        <v>64</v>
      </c>
      <c r="D1386" t="s">
        <v>115</v>
      </c>
      <c r="E1386">
        <v>17</v>
      </c>
      <c r="F1386" s="2">
        <v>5.7534246575342465E-2</v>
      </c>
    </row>
    <row r="1387" spans="2:6" x14ac:dyDescent="0.25">
      <c r="B1387" s="33">
        <v>1</v>
      </c>
      <c r="C1387" t="s">
        <v>72</v>
      </c>
      <c r="D1387" t="s">
        <v>163</v>
      </c>
      <c r="E1387">
        <v>17</v>
      </c>
      <c r="F1387" s="2">
        <v>5.7534246575342465E-2</v>
      </c>
    </row>
    <row r="1388" spans="2:6" x14ac:dyDescent="0.25">
      <c r="B1388" s="33">
        <v>1</v>
      </c>
      <c r="C1388" t="s">
        <v>64</v>
      </c>
      <c r="D1388" t="s">
        <v>116</v>
      </c>
      <c r="E1388">
        <v>17</v>
      </c>
      <c r="F1388" s="2">
        <v>8.4931506849315067E-2</v>
      </c>
    </row>
    <row r="1389" spans="2:6" x14ac:dyDescent="0.25">
      <c r="B1389" s="33">
        <v>1</v>
      </c>
      <c r="C1389" t="s">
        <v>3</v>
      </c>
      <c r="D1389" t="s">
        <v>186</v>
      </c>
      <c r="E1389">
        <v>16</v>
      </c>
      <c r="F1389" s="2">
        <v>3.5616438356164383E-2</v>
      </c>
    </row>
    <row r="1390" spans="2:6" x14ac:dyDescent="0.25">
      <c r="B1390" s="33">
        <v>1</v>
      </c>
      <c r="C1390" t="s">
        <v>69</v>
      </c>
      <c r="D1390" t="s">
        <v>128</v>
      </c>
      <c r="E1390">
        <v>18</v>
      </c>
      <c r="F1390" s="2">
        <v>2.4657534246575342E-2</v>
      </c>
    </row>
    <row r="1391" spans="2:6" x14ac:dyDescent="0.25">
      <c r="B1391" s="33">
        <v>1</v>
      </c>
      <c r="C1391" t="s">
        <v>3</v>
      </c>
      <c r="D1391" t="s">
        <v>119</v>
      </c>
      <c r="E1391">
        <v>17</v>
      </c>
      <c r="F1391" s="2">
        <v>3.5616438356164383E-2</v>
      </c>
    </row>
    <row r="1392" spans="2:6" x14ac:dyDescent="0.25">
      <c r="B1392" s="33">
        <v>1</v>
      </c>
      <c r="C1392" t="s">
        <v>74</v>
      </c>
      <c r="D1392" t="s">
        <v>174</v>
      </c>
      <c r="E1392">
        <v>21</v>
      </c>
      <c r="F1392" s="2">
        <v>6.0273972602739728E-2</v>
      </c>
    </row>
    <row r="1393" spans="2:6" x14ac:dyDescent="0.25">
      <c r="B1393" s="33">
        <v>1</v>
      </c>
      <c r="C1393" t="s">
        <v>69</v>
      </c>
      <c r="D1393" t="s">
        <v>184</v>
      </c>
      <c r="E1393">
        <v>22</v>
      </c>
      <c r="F1393" s="2">
        <v>2.4657534246575342E-2</v>
      </c>
    </row>
    <row r="1394" spans="2:6" x14ac:dyDescent="0.25">
      <c r="B1394" s="33">
        <v>1</v>
      </c>
      <c r="C1394" t="s">
        <v>69</v>
      </c>
      <c r="D1394" t="s">
        <v>70</v>
      </c>
      <c r="E1394">
        <v>18</v>
      </c>
      <c r="F1394" s="2">
        <v>2.4657534246575342E-2</v>
      </c>
    </row>
    <row r="1395" spans="2:6" x14ac:dyDescent="0.25">
      <c r="B1395" s="33">
        <v>1</v>
      </c>
      <c r="C1395" t="s">
        <v>69</v>
      </c>
      <c r="D1395" t="s">
        <v>159</v>
      </c>
      <c r="E1395">
        <v>17</v>
      </c>
      <c r="F1395" s="2">
        <v>2.1917808219178082E-2</v>
      </c>
    </row>
    <row r="1396" spans="2:6" x14ac:dyDescent="0.25">
      <c r="B1396" s="33">
        <v>1</v>
      </c>
      <c r="C1396" t="s">
        <v>3</v>
      </c>
      <c r="D1396" t="s">
        <v>173</v>
      </c>
      <c r="E1396">
        <v>16</v>
      </c>
      <c r="F1396" s="2">
        <v>3.287671232876712E-2</v>
      </c>
    </row>
    <row r="1397" spans="2:6" x14ac:dyDescent="0.25">
      <c r="B1397" s="33">
        <v>1</v>
      </c>
      <c r="C1397" t="s">
        <v>3</v>
      </c>
      <c r="D1397" t="s">
        <v>191</v>
      </c>
      <c r="E1397">
        <v>16</v>
      </c>
      <c r="F1397" s="2">
        <v>3.287671232876712E-2</v>
      </c>
    </row>
    <row r="1398" spans="2:6" x14ac:dyDescent="0.25">
      <c r="B1398" s="33">
        <v>1</v>
      </c>
      <c r="C1398" t="s">
        <v>2</v>
      </c>
      <c r="D1398" t="s">
        <v>172</v>
      </c>
      <c r="E1398">
        <v>20</v>
      </c>
      <c r="F1398" s="2">
        <v>3.287671232876712E-2</v>
      </c>
    </row>
    <row r="1399" spans="2:6" x14ac:dyDescent="0.25">
      <c r="B1399" s="33">
        <v>1</v>
      </c>
      <c r="C1399" t="s">
        <v>77</v>
      </c>
      <c r="D1399" t="s">
        <v>142</v>
      </c>
      <c r="E1399">
        <v>16</v>
      </c>
      <c r="F1399" s="2">
        <v>3.0136986301369864E-2</v>
      </c>
    </row>
    <row r="1400" spans="2:6" x14ac:dyDescent="0.25">
      <c r="B1400" s="33">
        <v>1</v>
      </c>
      <c r="C1400" t="s">
        <v>66</v>
      </c>
      <c r="D1400" t="s">
        <v>93</v>
      </c>
      <c r="E1400">
        <v>23</v>
      </c>
      <c r="F1400" s="2">
        <v>6.3013698630136991E-2</v>
      </c>
    </row>
    <row r="1401" spans="2:6" x14ac:dyDescent="0.25">
      <c r="B1401" s="33">
        <v>1</v>
      </c>
      <c r="C1401" t="s">
        <v>66</v>
      </c>
      <c r="D1401" t="s">
        <v>107</v>
      </c>
      <c r="E1401">
        <v>20</v>
      </c>
      <c r="F1401" s="2">
        <v>6.0273972602739728E-2</v>
      </c>
    </row>
    <row r="1402" spans="2:6" x14ac:dyDescent="0.25">
      <c r="B1402" s="33">
        <v>1</v>
      </c>
      <c r="C1402" t="s">
        <v>64</v>
      </c>
      <c r="D1402" t="s">
        <v>179</v>
      </c>
      <c r="E1402">
        <v>21</v>
      </c>
      <c r="F1402" s="2">
        <v>1.3698630136986301E-2</v>
      </c>
    </row>
    <row r="1403" spans="2:6" x14ac:dyDescent="0.25">
      <c r="B1403" s="33">
        <v>1</v>
      </c>
      <c r="C1403" t="s">
        <v>66</v>
      </c>
      <c r="D1403" t="s">
        <v>182</v>
      </c>
      <c r="E1403">
        <v>18</v>
      </c>
      <c r="F1403" s="2">
        <v>6.0273972602739728E-2</v>
      </c>
    </row>
    <row r="1404" spans="2:6" x14ac:dyDescent="0.25">
      <c r="B1404" s="33">
        <v>1</v>
      </c>
      <c r="C1404" t="s">
        <v>72</v>
      </c>
      <c r="D1404" t="s">
        <v>149</v>
      </c>
      <c r="E1404">
        <v>21</v>
      </c>
      <c r="F1404" s="2">
        <v>5.4794520547945202E-2</v>
      </c>
    </row>
    <row r="1405" spans="2:6" x14ac:dyDescent="0.25">
      <c r="B1405" s="33">
        <v>1</v>
      </c>
      <c r="C1405" t="s">
        <v>1</v>
      </c>
      <c r="D1405" t="s">
        <v>200</v>
      </c>
      <c r="E1405">
        <v>18</v>
      </c>
      <c r="F1405" s="2">
        <v>5.2054794520547946E-2</v>
      </c>
    </row>
    <row r="1406" spans="2:6" x14ac:dyDescent="0.25">
      <c r="B1406" s="33">
        <v>1</v>
      </c>
      <c r="C1406" t="s">
        <v>3</v>
      </c>
      <c r="D1406" t="s">
        <v>119</v>
      </c>
      <c r="E1406">
        <v>21</v>
      </c>
      <c r="F1406" s="2">
        <v>3.287671232876712E-2</v>
      </c>
    </row>
    <row r="1407" spans="2:6" x14ac:dyDescent="0.25">
      <c r="B1407" s="33">
        <v>1</v>
      </c>
      <c r="C1407" t="s">
        <v>88</v>
      </c>
      <c r="D1407" t="s">
        <v>114</v>
      </c>
      <c r="E1407">
        <v>22</v>
      </c>
      <c r="F1407" s="2">
        <v>5.7534246575342465E-2</v>
      </c>
    </row>
    <row r="1408" spans="2:6" x14ac:dyDescent="0.25">
      <c r="B1408" s="33">
        <v>1</v>
      </c>
      <c r="C1408" t="s">
        <v>64</v>
      </c>
      <c r="D1408" t="s">
        <v>116</v>
      </c>
      <c r="E1408">
        <v>22</v>
      </c>
      <c r="F1408" s="2">
        <v>6.0273972602739728E-2</v>
      </c>
    </row>
    <row r="1409" spans="2:6" x14ac:dyDescent="0.25">
      <c r="B1409" s="33">
        <v>1</v>
      </c>
      <c r="C1409" t="s">
        <v>4</v>
      </c>
      <c r="D1409" t="s">
        <v>106</v>
      </c>
      <c r="E1409">
        <v>23</v>
      </c>
      <c r="F1409" s="2">
        <v>4.3835616438356165E-2</v>
      </c>
    </row>
    <row r="1410" spans="2:6" x14ac:dyDescent="0.25">
      <c r="B1410" s="33">
        <v>1</v>
      </c>
      <c r="C1410" t="s">
        <v>6</v>
      </c>
      <c r="D1410" t="s">
        <v>32</v>
      </c>
      <c r="E1410">
        <v>22</v>
      </c>
      <c r="F1410" s="2">
        <v>4.3835616438356165E-2</v>
      </c>
    </row>
    <row r="1411" spans="2:6" x14ac:dyDescent="0.25">
      <c r="B1411" s="33">
        <v>1</v>
      </c>
      <c r="C1411" t="s">
        <v>1</v>
      </c>
      <c r="D1411" t="s">
        <v>152</v>
      </c>
      <c r="E1411">
        <v>22</v>
      </c>
      <c r="F1411" s="2">
        <v>5.2054794520547946E-2</v>
      </c>
    </row>
    <row r="1412" spans="2:6" x14ac:dyDescent="0.25">
      <c r="B1412" s="33">
        <v>1</v>
      </c>
      <c r="C1412" t="s">
        <v>6</v>
      </c>
      <c r="D1412" t="s">
        <v>21</v>
      </c>
      <c r="E1412">
        <v>7</v>
      </c>
      <c r="F1412" s="2">
        <v>4.3835616438356165E-2</v>
      </c>
    </row>
    <row r="1413" spans="2:6" x14ac:dyDescent="0.25">
      <c r="B1413" s="33">
        <v>1</v>
      </c>
      <c r="C1413" t="s">
        <v>77</v>
      </c>
      <c r="D1413" t="s">
        <v>193</v>
      </c>
      <c r="E1413">
        <v>7</v>
      </c>
      <c r="F1413" s="2">
        <v>1.3698630136986301E-2</v>
      </c>
    </row>
    <row r="1414" spans="2:6" x14ac:dyDescent="0.25">
      <c r="B1414" s="33">
        <v>1</v>
      </c>
      <c r="C1414" t="s">
        <v>66</v>
      </c>
      <c r="D1414" t="s">
        <v>67</v>
      </c>
      <c r="E1414">
        <v>2</v>
      </c>
      <c r="F1414" s="2">
        <v>3.287671232876712E-2</v>
      </c>
    </row>
    <row r="1415" spans="2:6" x14ac:dyDescent="0.25">
      <c r="B1415" s="33">
        <v>1</v>
      </c>
      <c r="C1415" t="s">
        <v>66</v>
      </c>
      <c r="D1415" t="s">
        <v>182</v>
      </c>
      <c r="E1415">
        <v>7</v>
      </c>
      <c r="F1415" s="2">
        <v>3.287671232876712E-2</v>
      </c>
    </row>
    <row r="1416" spans="2:6" x14ac:dyDescent="0.25">
      <c r="B1416" s="33">
        <v>1</v>
      </c>
      <c r="C1416" t="s">
        <v>64</v>
      </c>
      <c r="D1416" t="s">
        <v>121</v>
      </c>
      <c r="E1416">
        <v>1</v>
      </c>
      <c r="F1416" s="2">
        <v>2.7397260273972601E-2</v>
      </c>
    </row>
    <row r="1417" spans="2:6" x14ac:dyDescent="0.25">
      <c r="B1417" s="33">
        <v>1</v>
      </c>
      <c r="C1417" t="s">
        <v>77</v>
      </c>
      <c r="D1417" t="s">
        <v>177</v>
      </c>
      <c r="E1417">
        <v>2</v>
      </c>
      <c r="F1417" s="2">
        <v>1.3698630136986301E-2</v>
      </c>
    </row>
    <row r="1418" spans="2:6" x14ac:dyDescent="0.25">
      <c r="B1418" s="33">
        <v>1</v>
      </c>
      <c r="C1418" t="s">
        <v>88</v>
      </c>
      <c r="D1418" t="s">
        <v>156</v>
      </c>
      <c r="E1418">
        <v>4</v>
      </c>
      <c r="F1418" s="2">
        <v>2.4657534246575342E-2</v>
      </c>
    </row>
    <row r="1419" spans="2:6" x14ac:dyDescent="0.25">
      <c r="B1419" s="33">
        <v>1</v>
      </c>
      <c r="C1419" t="s">
        <v>72</v>
      </c>
      <c r="D1419" t="s">
        <v>81</v>
      </c>
      <c r="E1419">
        <v>5</v>
      </c>
      <c r="F1419" s="2">
        <v>4.1095890410958902E-2</v>
      </c>
    </row>
    <row r="1420" spans="2:6" x14ac:dyDescent="0.25">
      <c r="B1420" s="33">
        <v>1</v>
      </c>
      <c r="C1420" t="s">
        <v>64</v>
      </c>
      <c r="D1420" t="s">
        <v>71</v>
      </c>
      <c r="E1420">
        <v>0</v>
      </c>
      <c r="F1420" s="2">
        <v>2.7397260273972601E-2</v>
      </c>
    </row>
    <row r="1421" spans="2:6" x14ac:dyDescent="0.25">
      <c r="B1421" s="33">
        <v>1</v>
      </c>
      <c r="C1421" t="s">
        <v>64</v>
      </c>
      <c r="D1421" t="s">
        <v>116</v>
      </c>
      <c r="E1421">
        <v>14</v>
      </c>
      <c r="F1421" s="2">
        <v>5.4794520547945202E-2</v>
      </c>
    </row>
    <row r="1422" spans="2:6" x14ac:dyDescent="0.25">
      <c r="B1422" s="33">
        <v>1</v>
      </c>
      <c r="C1422" t="s">
        <v>2</v>
      </c>
      <c r="D1422" t="s">
        <v>172</v>
      </c>
      <c r="E1422">
        <v>10</v>
      </c>
      <c r="F1422" s="2">
        <v>2.7397260273972601E-2</v>
      </c>
    </row>
    <row r="1423" spans="2:6" x14ac:dyDescent="0.25">
      <c r="B1423" s="33">
        <v>1</v>
      </c>
      <c r="C1423" t="s">
        <v>69</v>
      </c>
      <c r="D1423" t="s">
        <v>132</v>
      </c>
      <c r="E1423">
        <v>11</v>
      </c>
      <c r="F1423" s="2">
        <v>2.4657534246575342E-2</v>
      </c>
    </row>
    <row r="1424" spans="2:6" x14ac:dyDescent="0.25">
      <c r="B1424" s="33">
        <v>1</v>
      </c>
      <c r="C1424" t="s">
        <v>6</v>
      </c>
      <c r="D1424" t="s">
        <v>30</v>
      </c>
      <c r="E1424">
        <v>2</v>
      </c>
      <c r="F1424" s="2">
        <v>4.3835616438356165E-2</v>
      </c>
    </row>
    <row r="1425" spans="2:6" x14ac:dyDescent="0.25">
      <c r="B1425" s="33">
        <v>1</v>
      </c>
      <c r="C1425" t="s">
        <v>72</v>
      </c>
      <c r="D1425" t="s">
        <v>149</v>
      </c>
      <c r="E1425">
        <v>9</v>
      </c>
      <c r="F1425" s="2">
        <v>4.6575342465753428E-2</v>
      </c>
    </row>
    <row r="1426" spans="2:6" x14ac:dyDescent="0.25">
      <c r="B1426" s="33">
        <v>1</v>
      </c>
      <c r="C1426" t="s">
        <v>69</v>
      </c>
      <c r="D1426" t="s">
        <v>128</v>
      </c>
      <c r="E1426">
        <v>8</v>
      </c>
      <c r="F1426" s="2">
        <v>2.4657534246575342E-2</v>
      </c>
    </row>
    <row r="1427" spans="2:6" x14ac:dyDescent="0.25">
      <c r="B1427" s="33">
        <v>1</v>
      </c>
      <c r="C1427" t="s">
        <v>6</v>
      </c>
      <c r="D1427" t="s">
        <v>34</v>
      </c>
      <c r="E1427">
        <v>0</v>
      </c>
      <c r="F1427" s="2">
        <v>4.1095890410958902E-2</v>
      </c>
    </row>
    <row r="1428" spans="2:6" x14ac:dyDescent="0.25">
      <c r="B1428" s="33">
        <v>1</v>
      </c>
      <c r="C1428" t="s">
        <v>77</v>
      </c>
      <c r="D1428" t="s">
        <v>98</v>
      </c>
      <c r="E1428">
        <v>13</v>
      </c>
      <c r="F1428" s="2">
        <v>3.287671232876712E-2</v>
      </c>
    </row>
    <row r="1429" spans="2:6" x14ac:dyDescent="0.25">
      <c r="B1429" s="33">
        <v>1</v>
      </c>
      <c r="C1429" t="s">
        <v>6</v>
      </c>
      <c r="D1429" t="s">
        <v>25</v>
      </c>
      <c r="E1429">
        <v>8</v>
      </c>
      <c r="F1429" s="2">
        <v>4.1095890410958902E-2</v>
      </c>
    </row>
    <row r="1430" spans="2:6" x14ac:dyDescent="0.25">
      <c r="B1430" s="33">
        <v>1</v>
      </c>
      <c r="C1430" t="s">
        <v>2</v>
      </c>
      <c r="D1430" t="s">
        <v>198</v>
      </c>
      <c r="E1430">
        <v>8</v>
      </c>
      <c r="F1430" s="2">
        <v>2.7397260273972601E-2</v>
      </c>
    </row>
    <row r="1431" spans="2:6" x14ac:dyDescent="0.25">
      <c r="B1431" s="33">
        <v>1</v>
      </c>
      <c r="C1431" t="s">
        <v>3</v>
      </c>
      <c r="D1431" t="s">
        <v>180</v>
      </c>
      <c r="E1431">
        <v>15</v>
      </c>
      <c r="F1431" s="2">
        <v>3.5616438356164383E-2</v>
      </c>
    </row>
    <row r="1432" spans="2:6" x14ac:dyDescent="0.25">
      <c r="B1432" s="33">
        <v>1</v>
      </c>
      <c r="C1432" t="s">
        <v>6</v>
      </c>
      <c r="D1432" t="s">
        <v>43</v>
      </c>
      <c r="E1432">
        <v>20</v>
      </c>
      <c r="F1432" s="2">
        <v>4.1095890410958902E-2</v>
      </c>
    </row>
    <row r="1433" spans="2:6" x14ac:dyDescent="0.25">
      <c r="B1433" s="33">
        <v>1</v>
      </c>
      <c r="C1433" t="s">
        <v>1</v>
      </c>
      <c r="D1433" t="s">
        <v>152</v>
      </c>
      <c r="E1433">
        <v>15</v>
      </c>
      <c r="F1433" s="2">
        <v>5.2054794520547946E-2</v>
      </c>
    </row>
    <row r="1434" spans="2:6" x14ac:dyDescent="0.25">
      <c r="B1434" s="33">
        <v>1</v>
      </c>
      <c r="C1434" t="s">
        <v>4</v>
      </c>
      <c r="D1434" t="s">
        <v>153</v>
      </c>
      <c r="E1434">
        <v>12</v>
      </c>
      <c r="F1434" s="2">
        <v>4.6575342465753428E-2</v>
      </c>
    </row>
    <row r="1435" spans="2:6" x14ac:dyDescent="0.25">
      <c r="B1435" s="33">
        <v>1</v>
      </c>
      <c r="C1435" t="s">
        <v>66</v>
      </c>
      <c r="D1435" t="s">
        <v>212</v>
      </c>
      <c r="E1435">
        <v>9</v>
      </c>
      <c r="F1435" s="2">
        <v>4.3835616438356165E-2</v>
      </c>
    </row>
    <row r="1436" spans="2:6" x14ac:dyDescent="0.25">
      <c r="B1436" s="33">
        <v>1</v>
      </c>
      <c r="C1436" t="s">
        <v>74</v>
      </c>
      <c r="D1436" t="s">
        <v>174</v>
      </c>
      <c r="E1436">
        <v>10</v>
      </c>
      <c r="F1436" s="2">
        <v>7.9452054794520555E-2</v>
      </c>
    </row>
    <row r="1437" spans="2:6" x14ac:dyDescent="0.25">
      <c r="B1437" s="33">
        <v>1</v>
      </c>
      <c r="C1437" t="s">
        <v>6</v>
      </c>
      <c r="D1437" t="s">
        <v>42</v>
      </c>
      <c r="E1437">
        <v>0</v>
      </c>
      <c r="F1437" s="2">
        <v>4.1095890410958902E-2</v>
      </c>
    </row>
    <row r="1438" spans="2:6" x14ac:dyDescent="0.25">
      <c r="B1438" s="33">
        <v>1</v>
      </c>
      <c r="C1438" t="s">
        <v>77</v>
      </c>
      <c r="D1438" t="s">
        <v>205</v>
      </c>
      <c r="E1438">
        <v>13</v>
      </c>
      <c r="F1438" s="2">
        <v>3.0136986301369864E-2</v>
      </c>
    </row>
    <row r="1439" spans="2:6" x14ac:dyDescent="0.25">
      <c r="B1439" s="33">
        <v>1</v>
      </c>
      <c r="C1439" t="s">
        <v>6</v>
      </c>
      <c r="D1439" t="s">
        <v>23</v>
      </c>
      <c r="E1439">
        <v>0</v>
      </c>
      <c r="F1439" s="2">
        <v>4.1095890410958902E-2</v>
      </c>
    </row>
    <row r="1440" spans="2:6" x14ac:dyDescent="0.25">
      <c r="B1440" s="33">
        <v>1</v>
      </c>
      <c r="C1440" t="s">
        <v>6</v>
      </c>
      <c r="D1440" t="s">
        <v>30</v>
      </c>
      <c r="E1440">
        <v>1</v>
      </c>
      <c r="F1440" s="2">
        <v>4.1095890410958902E-2</v>
      </c>
    </row>
    <row r="1441" spans="2:6" x14ac:dyDescent="0.25">
      <c r="B1441" s="33">
        <v>1</v>
      </c>
      <c r="C1441" t="s">
        <v>88</v>
      </c>
      <c r="D1441" t="s">
        <v>134</v>
      </c>
      <c r="E1441">
        <v>9</v>
      </c>
      <c r="F1441" s="2">
        <v>6.3013698630136991E-2</v>
      </c>
    </row>
    <row r="1442" spans="2:6" x14ac:dyDescent="0.25">
      <c r="B1442" s="33">
        <v>1</v>
      </c>
      <c r="C1442" t="s">
        <v>1</v>
      </c>
      <c r="D1442" t="s">
        <v>92</v>
      </c>
      <c r="E1442">
        <v>22</v>
      </c>
      <c r="F1442" s="2">
        <v>5.2054794520547946E-2</v>
      </c>
    </row>
    <row r="1443" spans="2:6" x14ac:dyDescent="0.25">
      <c r="B1443" s="33">
        <v>1</v>
      </c>
      <c r="C1443" t="s">
        <v>64</v>
      </c>
      <c r="D1443" t="s">
        <v>115</v>
      </c>
      <c r="E1443">
        <v>16</v>
      </c>
      <c r="F1443" s="2">
        <v>0.12876712328767123</v>
      </c>
    </row>
    <row r="1444" spans="2:6" x14ac:dyDescent="0.25">
      <c r="B1444" s="33">
        <v>1</v>
      </c>
      <c r="C1444" t="s">
        <v>64</v>
      </c>
      <c r="D1444" t="s">
        <v>65</v>
      </c>
      <c r="E1444">
        <v>18</v>
      </c>
      <c r="F1444" s="2">
        <v>9.5890410958904104E-2</v>
      </c>
    </row>
    <row r="1445" spans="2:6" x14ac:dyDescent="0.25">
      <c r="B1445" s="33">
        <v>1</v>
      </c>
      <c r="C1445" t="s">
        <v>69</v>
      </c>
      <c r="D1445" t="s">
        <v>140</v>
      </c>
      <c r="E1445">
        <v>17</v>
      </c>
      <c r="F1445" s="2">
        <v>2.1917808219178082E-2</v>
      </c>
    </row>
    <row r="1446" spans="2:6" x14ac:dyDescent="0.25">
      <c r="B1446" s="33">
        <v>1</v>
      </c>
      <c r="C1446" t="s">
        <v>66</v>
      </c>
      <c r="D1446" t="s">
        <v>135</v>
      </c>
      <c r="E1446">
        <v>23</v>
      </c>
      <c r="F1446" s="2">
        <v>5.7534246575342465E-2</v>
      </c>
    </row>
    <row r="1447" spans="2:6" x14ac:dyDescent="0.25">
      <c r="B1447" s="33">
        <v>1</v>
      </c>
      <c r="C1447" t="s">
        <v>74</v>
      </c>
      <c r="D1447" t="s">
        <v>174</v>
      </c>
      <c r="E1447">
        <v>19</v>
      </c>
      <c r="F1447" s="2">
        <v>6.0273972602739728E-2</v>
      </c>
    </row>
    <row r="1448" spans="2:6" x14ac:dyDescent="0.25">
      <c r="B1448" s="33">
        <v>1</v>
      </c>
      <c r="C1448" t="s">
        <v>77</v>
      </c>
      <c r="D1448" t="s">
        <v>210</v>
      </c>
      <c r="E1448">
        <v>16</v>
      </c>
      <c r="F1448" s="2">
        <v>2.7397260273972601E-2</v>
      </c>
    </row>
    <row r="1449" spans="2:6" x14ac:dyDescent="0.25">
      <c r="B1449" s="33">
        <v>1</v>
      </c>
      <c r="C1449" t="s">
        <v>1</v>
      </c>
      <c r="D1449" t="s">
        <v>94</v>
      </c>
      <c r="E1449">
        <v>22</v>
      </c>
      <c r="F1449" s="2">
        <v>4.9315068493150684E-2</v>
      </c>
    </row>
    <row r="1450" spans="2:6" x14ac:dyDescent="0.25">
      <c r="B1450" s="33">
        <v>1</v>
      </c>
      <c r="C1450" t="s">
        <v>66</v>
      </c>
      <c r="D1450" t="s">
        <v>67</v>
      </c>
      <c r="E1450">
        <v>23</v>
      </c>
      <c r="F1450" s="2">
        <v>5.7534246575342465E-2</v>
      </c>
    </row>
    <row r="1451" spans="2:6" x14ac:dyDescent="0.25">
      <c r="B1451" s="33">
        <v>1</v>
      </c>
      <c r="C1451" t="s">
        <v>77</v>
      </c>
      <c r="D1451" t="s">
        <v>87</v>
      </c>
      <c r="E1451">
        <v>16</v>
      </c>
      <c r="F1451" s="2">
        <v>2.7397260273972601E-2</v>
      </c>
    </row>
    <row r="1452" spans="2:6" x14ac:dyDescent="0.25">
      <c r="B1452" s="33">
        <v>1</v>
      </c>
      <c r="C1452" t="s">
        <v>90</v>
      </c>
      <c r="D1452" t="s">
        <v>109</v>
      </c>
      <c r="E1452">
        <v>23</v>
      </c>
      <c r="F1452" s="2">
        <v>5.4794520547945202E-2</v>
      </c>
    </row>
    <row r="1453" spans="2:6" x14ac:dyDescent="0.25">
      <c r="B1453" s="33">
        <v>1</v>
      </c>
      <c r="C1453" t="s">
        <v>1</v>
      </c>
      <c r="D1453" t="s">
        <v>144</v>
      </c>
      <c r="E1453">
        <v>21</v>
      </c>
      <c r="F1453" s="2">
        <v>4.9315068493150684E-2</v>
      </c>
    </row>
    <row r="1454" spans="2:6" x14ac:dyDescent="0.25">
      <c r="B1454" s="33">
        <v>1</v>
      </c>
      <c r="C1454" t="s">
        <v>66</v>
      </c>
      <c r="D1454" t="s">
        <v>135</v>
      </c>
      <c r="E1454">
        <v>21</v>
      </c>
      <c r="F1454" s="2">
        <v>5.4794520547945202E-2</v>
      </c>
    </row>
    <row r="1455" spans="2:6" x14ac:dyDescent="0.25">
      <c r="B1455" s="33">
        <v>1</v>
      </c>
      <c r="C1455" t="s">
        <v>3</v>
      </c>
      <c r="D1455" t="s">
        <v>195</v>
      </c>
      <c r="E1455">
        <v>16</v>
      </c>
      <c r="F1455" s="2">
        <v>3.287671232876712E-2</v>
      </c>
    </row>
    <row r="1456" spans="2:6" x14ac:dyDescent="0.25">
      <c r="B1456" s="33">
        <v>1</v>
      </c>
      <c r="C1456" t="s">
        <v>6</v>
      </c>
      <c r="D1456" t="s">
        <v>23</v>
      </c>
      <c r="E1456">
        <v>2</v>
      </c>
      <c r="F1456" s="2">
        <v>3.8356164383561646E-2</v>
      </c>
    </row>
    <row r="1457" spans="2:6" x14ac:dyDescent="0.25">
      <c r="B1457" s="33">
        <v>1</v>
      </c>
      <c r="C1457" t="s">
        <v>6</v>
      </c>
      <c r="D1457" t="s">
        <v>38</v>
      </c>
      <c r="E1457">
        <v>15</v>
      </c>
      <c r="F1457" s="2">
        <v>3.8356164383561646E-2</v>
      </c>
    </row>
    <row r="1458" spans="2:6" x14ac:dyDescent="0.25">
      <c r="B1458" s="33">
        <v>1</v>
      </c>
      <c r="C1458" t="s">
        <v>88</v>
      </c>
      <c r="D1458" t="s">
        <v>156</v>
      </c>
      <c r="E1458">
        <v>21</v>
      </c>
      <c r="F1458" s="2">
        <v>5.7534246575342465E-2</v>
      </c>
    </row>
    <row r="1459" spans="2:6" x14ac:dyDescent="0.25">
      <c r="B1459" s="33">
        <v>1</v>
      </c>
      <c r="C1459" t="s">
        <v>64</v>
      </c>
      <c r="D1459" t="s">
        <v>213</v>
      </c>
      <c r="E1459">
        <v>23</v>
      </c>
      <c r="F1459" s="2">
        <v>5.4794520547945206E-3</v>
      </c>
    </row>
    <row r="1460" spans="2:6" x14ac:dyDescent="0.25">
      <c r="B1460" s="33">
        <v>1</v>
      </c>
      <c r="C1460" t="s">
        <v>90</v>
      </c>
      <c r="D1460" t="s">
        <v>91</v>
      </c>
      <c r="E1460">
        <v>2</v>
      </c>
      <c r="F1460" s="2">
        <v>3.8356164383561646E-2</v>
      </c>
    </row>
    <row r="1461" spans="2:6" x14ac:dyDescent="0.25">
      <c r="B1461" s="33">
        <v>1</v>
      </c>
      <c r="C1461" t="s">
        <v>1</v>
      </c>
      <c r="D1461" t="s">
        <v>152</v>
      </c>
      <c r="E1461">
        <v>3</v>
      </c>
      <c r="F1461" s="2">
        <v>2.7397260273972601E-2</v>
      </c>
    </row>
    <row r="1462" spans="2:6" x14ac:dyDescent="0.25">
      <c r="B1462" s="33">
        <v>1</v>
      </c>
      <c r="C1462" t="s">
        <v>74</v>
      </c>
      <c r="D1462" t="s">
        <v>75</v>
      </c>
      <c r="E1462">
        <v>6</v>
      </c>
      <c r="F1462" s="2">
        <v>3.5616438356164383E-2</v>
      </c>
    </row>
    <row r="1463" spans="2:6" x14ac:dyDescent="0.25">
      <c r="B1463" s="33">
        <v>1</v>
      </c>
      <c r="C1463" t="s">
        <v>1</v>
      </c>
      <c r="D1463" t="s">
        <v>112</v>
      </c>
      <c r="E1463">
        <v>5</v>
      </c>
      <c r="F1463" s="2">
        <v>2.7397260273972601E-2</v>
      </c>
    </row>
    <row r="1464" spans="2:6" x14ac:dyDescent="0.25">
      <c r="B1464" s="33">
        <v>1</v>
      </c>
      <c r="C1464" t="s">
        <v>72</v>
      </c>
      <c r="D1464" t="s">
        <v>73</v>
      </c>
      <c r="E1464">
        <v>5</v>
      </c>
      <c r="F1464" s="2">
        <v>3.5616438356164383E-2</v>
      </c>
    </row>
    <row r="1465" spans="2:6" x14ac:dyDescent="0.25">
      <c r="B1465" s="33">
        <v>1</v>
      </c>
      <c r="C1465" t="s">
        <v>1</v>
      </c>
      <c r="D1465" t="s">
        <v>92</v>
      </c>
      <c r="E1465">
        <v>6</v>
      </c>
      <c r="F1465" s="2">
        <v>2.7397260273972601E-2</v>
      </c>
    </row>
    <row r="1466" spans="2:6" x14ac:dyDescent="0.25">
      <c r="B1466" s="33">
        <v>1</v>
      </c>
      <c r="C1466" t="s">
        <v>72</v>
      </c>
      <c r="D1466" t="s">
        <v>187</v>
      </c>
      <c r="E1466">
        <v>7</v>
      </c>
      <c r="F1466" s="2">
        <v>3.5616438356164383E-2</v>
      </c>
    </row>
    <row r="1467" spans="2:6" x14ac:dyDescent="0.25">
      <c r="B1467" s="33">
        <v>1</v>
      </c>
      <c r="C1467" t="s">
        <v>1</v>
      </c>
      <c r="D1467" t="s">
        <v>110</v>
      </c>
      <c r="E1467">
        <v>3</v>
      </c>
      <c r="F1467" s="2">
        <v>2.7397260273972601E-2</v>
      </c>
    </row>
    <row r="1468" spans="2:6" x14ac:dyDescent="0.25">
      <c r="B1468" s="33">
        <v>1</v>
      </c>
      <c r="C1468" t="s">
        <v>66</v>
      </c>
      <c r="D1468" t="s">
        <v>107</v>
      </c>
      <c r="E1468">
        <v>1</v>
      </c>
      <c r="F1468" s="2">
        <v>3.287671232876712E-2</v>
      </c>
    </row>
    <row r="1469" spans="2:6" x14ac:dyDescent="0.25">
      <c r="B1469" s="33">
        <v>1</v>
      </c>
      <c r="C1469" t="s">
        <v>3</v>
      </c>
      <c r="D1469" t="s">
        <v>84</v>
      </c>
      <c r="E1469">
        <v>6</v>
      </c>
      <c r="F1469" s="2">
        <v>1.9178082191780823E-2</v>
      </c>
    </row>
    <row r="1470" spans="2:6" x14ac:dyDescent="0.25">
      <c r="B1470" s="33">
        <v>1</v>
      </c>
      <c r="C1470" t="s">
        <v>66</v>
      </c>
      <c r="D1470" t="s">
        <v>67</v>
      </c>
      <c r="E1470">
        <v>6</v>
      </c>
      <c r="F1470" s="2">
        <v>3.287671232876712E-2</v>
      </c>
    </row>
    <row r="1471" spans="2:6" x14ac:dyDescent="0.25">
      <c r="B1471" s="33">
        <v>1</v>
      </c>
      <c r="C1471" t="s">
        <v>69</v>
      </c>
      <c r="D1471" t="s">
        <v>113</v>
      </c>
      <c r="E1471">
        <v>0</v>
      </c>
      <c r="F1471" s="2">
        <v>1.3698630136986301E-2</v>
      </c>
    </row>
    <row r="1472" spans="2:6" x14ac:dyDescent="0.25">
      <c r="B1472" s="33">
        <v>1</v>
      </c>
      <c r="C1472" t="s">
        <v>64</v>
      </c>
      <c r="D1472" t="s">
        <v>68</v>
      </c>
      <c r="E1472">
        <v>12</v>
      </c>
      <c r="F1472" s="2">
        <v>4.9315068493150684E-2</v>
      </c>
    </row>
    <row r="1473" spans="2:6" x14ac:dyDescent="0.25">
      <c r="B1473" s="33">
        <v>1</v>
      </c>
      <c r="C1473" t="s">
        <v>103</v>
      </c>
      <c r="D1473" t="s">
        <v>45</v>
      </c>
      <c r="E1473">
        <v>15</v>
      </c>
      <c r="F1473" s="2">
        <v>5.2054794520547946E-2</v>
      </c>
    </row>
    <row r="1474" spans="2:6" x14ac:dyDescent="0.25">
      <c r="B1474" s="33">
        <v>1</v>
      </c>
      <c r="C1474" t="s">
        <v>6</v>
      </c>
      <c r="D1474" t="s">
        <v>23</v>
      </c>
      <c r="E1474">
        <v>23</v>
      </c>
      <c r="F1474" s="2">
        <v>3.5616438356164383E-2</v>
      </c>
    </row>
    <row r="1475" spans="2:6" x14ac:dyDescent="0.25">
      <c r="B1475" s="33">
        <v>1</v>
      </c>
      <c r="C1475" t="s">
        <v>3</v>
      </c>
      <c r="D1475" t="s">
        <v>157</v>
      </c>
      <c r="E1475">
        <v>11</v>
      </c>
      <c r="F1475" s="2">
        <v>3.5616438356164383E-2</v>
      </c>
    </row>
    <row r="1476" spans="2:6" x14ac:dyDescent="0.25">
      <c r="B1476" s="33">
        <v>1</v>
      </c>
      <c r="C1476" t="s">
        <v>1</v>
      </c>
      <c r="D1476" t="s">
        <v>214</v>
      </c>
      <c r="E1476">
        <v>11</v>
      </c>
      <c r="F1476" s="2">
        <v>4.9315068493150684E-2</v>
      </c>
    </row>
    <row r="1477" spans="2:6" x14ac:dyDescent="0.25">
      <c r="B1477" s="33">
        <v>1</v>
      </c>
      <c r="C1477" t="s">
        <v>3</v>
      </c>
      <c r="D1477" t="s">
        <v>138</v>
      </c>
      <c r="E1477">
        <v>14</v>
      </c>
      <c r="F1477" s="2">
        <v>3.287671232876712E-2</v>
      </c>
    </row>
    <row r="1478" spans="2:6" x14ac:dyDescent="0.25">
      <c r="B1478" s="33">
        <v>1</v>
      </c>
      <c r="C1478" t="s">
        <v>1</v>
      </c>
      <c r="D1478" t="s">
        <v>155</v>
      </c>
      <c r="E1478">
        <v>8</v>
      </c>
      <c r="F1478" s="2">
        <v>4.9315068493150684E-2</v>
      </c>
    </row>
    <row r="1479" spans="2:6" x14ac:dyDescent="0.25">
      <c r="B1479" s="33">
        <v>1</v>
      </c>
      <c r="C1479" t="s">
        <v>1</v>
      </c>
      <c r="D1479" t="s">
        <v>200</v>
      </c>
      <c r="E1479">
        <v>8</v>
      </c>
      <c r="F1479" s="2">
        <v>4.9315068493150684E-2</v>
      </c>
    </row>
    <row r="1480" spans="2:6" x14ac:dyDescent="0.25">
      <c r="B1480" s="33">
        <v>1</v>
      </c>
      <c r="C1480" t="s">
        <v>88</v>
      </c>
      <c r="D1480" t="s">
        <v>134</v>
      </c>
      <c r="E1480">
        <v>21</v>
      </c>
      <c r="F1480" s="2">
        <v>5.4794520547945202E-2</v>
      </c>
    </row>
    <row r="1481" spans="2:6" x14ac:dyDescent="0.25">
      <c r="B1481" s="33">
        <v>1</v>
      </c>
      <c r="C1481" t="s">
        <v>1</v>
      </c>
      <c r="D1481" t="s">
        <v>214</v>
      </c>
      <c r="E1481">
        <v>17</v>
      </c>
      <c r="F1481" s="2">
        <v>4.9315068493150684E-2</v>
      </c>
    </row>
    <row r="1482" spans="2:6" x14ac:dyDescent="0.25">
      <c r="B1482" s="33">
        <v>1</v>
      </c>
      <c r="C1482" t="s">
        <v>69</v>
      </c>
      <c r="D1482" t="s">
        <v>70</v>
      </c>
      <c r="E1482">
        <v>20</v>
      </c>
      <c r="F1482" s="2">
        <v>2.1917808219178082E-2</v>
      </c>
    </row>
    <row r="1483" spans="2:6" x14ac:dyDescent="0.25">
      <c r="B1483" s="33">
        <v>1</v>
      </c>
      <c r="C1483" t="s">
        <v>69</v>
      </c>
      <c r="D1483" t="s">
        <v>154</v>
      </c>
      <c r="E1483">
        <v>16</v>
      </c>
      <c r="F1483" s="2">
        <v>2.1917808219178082E-2</v>
      </c>
    </row>
    <row r="1484" spans="2:6" x14ac:dyDescent="0.25">
      <c r="B1484" s="33">
        <v>1</v>
      </c>
      <c r="C1484" t="s">
        <v>77</v>
      </c>
      <c r="D1484" t="s">
        <v>205</v>
      </c>
      <c r="E1484">
        <v>18</v>
      </c>
      <c r="F1484" s="2">
        <v>2.7397260273972601E-2</v>
      </c>
    </row>
    <row r="1485" spans="2:6" x14ac:dyDescent="0.25">
      <c r="B1485" s="33">
        <v>1</v>
      </c>
      <c r="C1485" t="s">
        <v>6</v>
      </c>
      <c r="D1485" t="s">
        <v>25</v>
      </c>
      <c r="E1485">
        <v>14</v>
      </c>
      <c r="F1485" s="2">
        <v>3.5616438356164383E-2</v>
      </c>
    </row>
    <row r="1486" spans="2:6" x14ac:dyDescent="0.25">
      <c r="B1486" s="33">
        <v>1</v>
      </c>
      <c r="C1486" t="s">
        <v>64</v>
      </c>
      <c r="D1486" t="s">
        <v>179</v>
      </c>
      <c r="E1486">
        <v>17</v>
      </c>
      <c r="F1486" s="2">
        <v>4.3835616438356165E-2</v>
      </c>
    </row>
    <row r="1487" spans="2:6" x14ac:dyDescent="0.25">
      <c r="B1487" s="33">
        <v>1</v>
      </c>
      <c r="C1487" t="s">
        <v>3</v>
      </c>
      <c r="D1487" t="s">
        <v>203</v>
      </c>
      <c r="E1487">
        <v>19</v>
      </c>
      <c r="F1487" s="2">
        <v>3.287671232876712E-2</v>
      </c>
    </row>
    <row r="1488" spans="2:6" x14ac:dyDescent="0.25">
      <c r="B1488" s="33">
        <v>1</v>
      </c>
      <c r="C1488" t="s">
        <v>69</v>
      </c>
      <c r="D1488" t="s">
        <v>199</v>
      </c>
      <c r="E1488">
        <v>18</v>
      </c>
      <c r="F1488" s="2">
        <v>2.1917808219178082E-2</v>
      </c>
    </row>
    <row r="1489" spans="2:6" x14ac:dyDescent="0.25">
      <c r="B1489" s="33">
        <v>1</v>
      </c>
      <c r="C1489" t="s">
        <v>1</v>
      </c>
      <c r="D1489" t="s">
        <v>200</v>
      </c>
      <c r="E1489">
        <v>19</v>
      </c>
      <c r="F1489" s="2">
        <v>4.9315068493150684E-2</v>
      </c>
    </row>
    <row r="1490" spans="2:6" x14ac:dyDescent="0.25">
      <c r="B1490" s="33">
        <v>1</v>
      </c>
      <c r="C1490" t="s">
        <v>4</v>
      </c>
      <c r="D1490" t="s">
        <v>106</v>
      </c>
      <c r="E1490">
        <v>20</v>
      </c>
      <c r="F1490" s="2">
        <v>4.3835616438356165E-2</v>
      </c>
    </row>
    <row r="1491" spans="2:6" x14ac:dyDescent="0.25">
      <c r="B1491" s="33">
        <v>1</v>
      </c>
      <c r="C1491" t="s">
        <v>64</v>
      </c>
      <c r="D1491" t="s">
        <v>99</v>
      </c>
      <c r="E1491">
        <v>21</v>
      </c>
      <c r="F1491" s="2">
        <v>4.9315068493150684E-2</v>
      </c>
    </row>
    <row r="1492" spans="2:6" x14ac:dyDescent="0.25">
      <c r="B1492" s="33">
        <v>1</v>
      </c>
      <c r="C1492" t="s">
        <v>3</v>
      </c>
      <c r="D1492" t="s">
        <v>79</v>
      </c>
      <c r="E1492">
        <v>16</v>
      </c>
      <c r="F1492" s="2">
        <v>3.287671232876712E-2</v>
      </c>
    </row>
    <row r="1493" spans="2:6" x14ac:dyDescent="0.25">
      <c r="B1493" s="33">
        <v>1</v>
      </c>
      <c r="C1493" t="s">
        <v>69</v>
      </c>
      <c r="D1493" t="s">
        <v>181</v>
      </c>
      <c r="E1493">
        <v>17</v>
      </c>
      <c r="F1493" s="2">
        <v>2.1917808219178082E-2</v>
      </c>
    </row>
    <row r="1494" spans="2:6" x14ac:dyDescent="0.25">
      <c r="B1494" s="33">
        <v>1</v>
      </c>
      <c r="C1494" t="s">
        <v>66</v>
      </c>
      <c r="D1494" t="s">
        <v>107</v>
      </c>
      <c r="E1494">
        <v>22</v>
      </c>
      <c r="F1494" s="2">
        <v>5.2054794520547946E-2</v>
      </c>
    </row>
    <row r="1495" spans="2:6" x14ac:dyDescent="0.25">
      <c r="B1495" s="33">
        <v>1</v>
      </c>
      <c r="C1495" t="s">
        <v>74</v>
      </c>
      <c r="D1495" t="s">
        <v>75</v>
      </c>
      <c r="E1495">
        <v>23</v>
      </c>
      <c r="F1495" s="2">
        <v>6.0273972602739728E-2</v>
      </c>
    </row>
    <row r="1496" spans="2:6" x14ac:dyDescent="0.25">
      <c r="B1496" s="33">
        <v>1</v>
      </c>
      <c r="C1496" t="s">
        <v>0</v>
      </c>
      <c r="D1496" t="s">
        <v>111</v>
      </c>
      <c r="E1496">
        <v>23</v>
      </c>
      <c r="F1496" s="2">
        <v>3.8356164383561646E-2</v>
      </c>
    </row>
    <row r="1497" spans="2:6" x14ac:dyDescent="0.25">
      <c r="B1497" s="33">
        <v>1</v>
      </c>
      <c r="C1497" t="s">
        <v>69</v>
      </c>
      <c r="D1497" t="s">
        <v>132</v>
      </c>
      <c r="E1497">
        <v>6</v>
      </c>
      <c r="F1497" s="2">
        <v>1.3698630136986301E-2</v>
      </c>
    </row>
    <row r="1498" spans="2:6" x14ac:dyDescent="0.25">
      <c r="B1498" s="33">
        <v>1</v>
      </c>
      <c r="C1498" t="s">
        <v>72</v>
      </c>
      <c r="D1498" t="s">
        <v>149</v>
      </c>
      <c r="E1498">
        <v>0</v>
      </c>
      <c r="F1498" s="2">
        <v>3.0136986301369864E-2</v>
      </c>
    </row>
    <row r="1499" spans="2:6" x14ac:dyDescent="0.25">
      <c r="B1499" s="33">
        <v>1</v>
      </c>
      <c r="C1499" t="s">
        <v>64</v>
      </c>
      <c r="D1499" t="s">
        <v>99</v>
      </c>
      <c r="E1499">
        <v>6</v>
      </c>
      <c r="F1499" s="2">
        <v>2.7397260273972601E-2</v>
      </c>
    </row>
    <row r="1500" spans="2:6" x14ac:dyDescent="0.25">
      <c r="B1500" s="33">
        <v>1</v>
      </c>
      <c r="C1500" t="s">
        <v>3</v>
      </c>
      <c r="D1500" t="s">
        <v>186</v>
      </c>
      <c r="E1500">
        <v>7</v>
      </c>
      <c r="F1500" s="2">
        <v>1.9178082191780823E-2</v>
      </c>
    </row>
    <row r="1501" spans="2:6" x14ac:dyDescent="0.25">
      <c r="B1501" s="33">
        <v>1</v>
      </c>
      <c r="C1501" t="s">
        <v>1</v>
      </c>
      <c r="D1501" t="s">
        <v>82</v>
      </c>
      <c r="E1501">
        <v>5</v>
      </c>
      <c r="F1501" s="2">
        <v>2.7397260273972601E-2</v>
      </c>
    </row>
    <row r="1502" spans="2:6" x14ac:dyDescent="0.25">
      <c r="B1502" s="33">
        <v>1</v>
      </c>
      <c r="C1502" t="s">
        <v>3</v>
      </c>
      <c r="D1502" t="s">
        <v>138</v>
      </c>
      <c r="E1502">
        <v>7</v>
      </c>
      <c r="F1502" s="2">
        <v>1.9178082191780823E-2</v>
      </c>
    </row>
    <row r="1503" spans="2:6" x14ac:dyDescent="0.25">
      <c r="B1503" s="33">
        <v>1</v>
      </c>
      <c r="C1503" t="s">
        <v>66</v>
      </c>
      <c r="D1503" t="s">
        <v>93</v>
      </c>
      <c r="E1503">
        <v>5</v>
      </c>
      <c r="F1503" s="2">
        <v>3.287671232876712E-2</v>
      </c>
    </row>
    <row r="1504" spans="2:6" x14ac:dyDescent="0.25">
      <c r="B1504" s="33">
        <v>1</v>
      </c>
      <c r="C1504" t="s">
        <v>90</v>
      </c>
      <c r="D1504" t="s">
        <v>120</v>
      </c>
      <c r="E1504">
        <v>3</v>
      </c>
      <c r="F1504" s="2">
        <v>3.5616438356164383E-2</v>
      </c>
    </row>
    <row r="1505" spans="2:6" x14ac:dyDescent="0.25">
      <c r="B1505" s="33">
        <v>1</v>
      </c>
      <c r="C1505" t="s">
        <v>90</v>
      </c>
      <c r="D1505" t="s">
        <v>164</v>
      </c>
      <c r="E1505">
        <v>1</v>
      </c>
      <c r="F1505" s="2">
        <v>3.0136986301369864E-2</v>
      </c>
    </row>
    <row r="1506" spans="2:6" x14ac:dyDescent="0.25">
      <c r="B1506" s="33">
        <v>1</v>
      </c>
      <c r="C1506" t="s">
        <v>0</v>
      </c>
      <c r="D1506" t="s">
        <v>95</v>
      </c>
      <c r="E1506">
        <v>1</v>
      </c>
      <c r="F1506" s="2">
        <v>4.1095890410958902E-2</v>
      </c>
    </row>
    <row r="1507" spans="2:6" x14ac:dyDescent="0.25">
      <c r="B1507" s="33">
        <v>1</v>
      </c>
      <c r="C1507" t="s">
        <v>103</v>
      </c>
      <c r="D1507" t="s">
        <v>141</v>
      </c>
      <c r="E1507">
        <v>6</v>
      </c>
      <c r="F1507" s="2">
        <v>8.21917808219178E-3</v>
      </c>
    </row>
    <row r="1508" spans="2:6" x14ac:dyDescent="0.25">
      <c r="B1508" s="33">
        <v>1</v>
      </c>
      <c r="C1508" t="s">
        <v>88</v>
      </c>
      <c r="D1508" t="s">
        <v>114</v>
      </c>
      <c r="E1508">
        <v>5</v>
      </c>
      <c r="F1508" s="2">
        <v>2.4657534246575342E-2</v>
      </c>
    </row>
    <row r="1509" spans="2:6" x14ac:dyDescent="0.25">
      <c r="B1509" s="33">
        <v>1</v>
      </c>
      <c r="C1509" t="s">
        <v>6</v>
      </c>
      <c r="D1509" t="s">
        <v>28</v>
      </c>
      <c r="E1509">
        <v>2</v>
      </c>
      <c r="F1509" s="2">
        <v>3.5616438356164383E-2</v>
      </c>
    </row>
    <row r="1510" spans="2:6" x14ac:dyDescent="0.25">
      <c r="B1510" s="33">
        <v>1</v>
      </c>
      <c r="C1510" t="s">
        <v>126</v>
      </c>
      <c r="D1510" t="s">
        <v>131</v>
      </c>
      <c r="E1510">
        <v>8</v>
      </c>
      <c r="F1510" s="2">
        <v>4.6575342465753428E-2</v>
      </c>
    </row>
    <row r="1511" spans="2:6" x14ac:dyDescent="0.25">
      <c r="B1511" s="33">
        <v>1</v>
      </c>
      <c r="C1511" t="s">
        <v>0</v>
      </c>
      <c r="D1511" t="s">
        <v>150</v>
      </c>
      <c r="E1511">
        <v>10</v>
      </c>
      <c r="F1511" s="2">
        <v>7.9452054794520555E-2</v>
      </c>
    </row>
    <row r="1512" spans="2:6" x14ac:dyDescent="0.25">
      <c r="B1512" s="33">
        <v>1</v>
      </c>
      <c r="C1512" t="s">
        <v>77</v>
      </c>
      <c r="D1512" t="s">
        <v>123</v>
      </c>
      <c r="E1512">
        <v>12</v>
      </c>
      <c r="F1512" s="2">
        <v>3.0136986301369864E-2</v>
      </c>
    </row>
    <row r="1513" spans="2:6" x14ac:dyDescent="0.25">
      <c r="B1513" s="33">
        <v>1</v>
      </c>
      <c r="C1513" t="s">
        <v>66</v>
      </c>
      <c r="D1513" t="s">
        <v>182</v>
      </c>
      <c r="E1513">
        <v>12</v>
      </c>
      <c r="F1513" s="2">
        <v>4.1095890410958902E-2</v>
      </c>
    </row>
    <row r="1514" spans="2:6" x14ac:dyDescent="0.25">
      <c r="B1514" s="33">
        <v>1</v>
      </c>
      <c r="C1514" t="s">
        <v>103</v>
      </c>
      <c r="D1514" t="s">
        <v>141</v>
      </c>
      <c r="E1514">
        <v>11</v>
      </c>
      <c r="F1514" s="2">
        <v>4.9315068493150684E-2</v>
      </c>
    </row>
    <row r="1515" spans="2:6" x14ac:dyDescent="0.25">
      <c r="B1515" s="33">
        <v>1</v>
      </c>
      <c r="C1515" t="s">
        <v>69</v>
      </c>
      <c r="D1515" t="s">
        <v>190</v>
      </c>
      <c r="E1515">
        <v>9</v>
      </c>
      <c r="F1515" s="2">
        <v>2.4657534246575342E-2</v>
      </c>
    </row>
    <row r="1516" spans="2:6" x14ac:dyDescent="0.25">
      <c r="B1516" s="33">
        <v>1</v>
      </c>
      <c r="C1516" t="s">
        <v>88</v>
      </c>
      <c r="D1516" t="s">
        <v>160</v>
      </c>
      <c r="E1516">
        <v>15</v>
      </c>
      <c r="F1516" s="2">
        <v>6.3013698630136991E-2</v>
      </c>
    </row>
    <row r="1517" spans="2:6" x14ac:dyDescent="0.25">
      <c r="B1517" s="33">
        <v>1</v>
      </c>
      <c r="C1517" t="s">
        <v>103</v>
      </c>
      <c r="D1517" t="s">
        <v>104</v>
      </c>
      <c r="E1517">
        <v>12</v>
      </c>
      <c r="F1517" s="2">
        <v>4.9315068493150684E-2</v>
      </c>
    </row>
    <row r="1518" spans="2:6" x14ac:dyDescent="0.25">
      <c r="B1518" s="33">
        <v>1</v>
      </c>
      <c r="C1518" t="s">
        <v>2</v>
      </c>
      <c r="D1518" t="s">
        <v>172</v>
      </c>
      <c r="E1518">
        <v>14</v>
      </c>
      <c r="F1518" s="2">
        <v>2.7397260273972601E-2</v>
      </c>
    </row>
    <row r="1519" spans="2:6" x14ac:dyDescent="0.25">
      <c r="B1519" s="33">
        <v>1</v>
      </c>
      <c r="C1519" t="s">
        <v>2</v>
      </c>
      <c r="D1519" t="s">
        <v>172</v>
      </c>
      <c r="E1519">
        <v>12</v>
      </c>
      <c r="F1519" s="2">
        <v>2.4657534246575342E-2</v>
      </c>
    </row>
    <row r="1520" spans="2:6" x14ac:dyDescent="0.25">
      <c r="B1520" s="33">
        <v>1</v>
      </c>
      <c r="C1520" t="s">
        <v>3</v>
      </c>
      <c r="D1520" t="s">
        <v>180</v>
      </c>
      <c r="E1520">
        <v>14</v>
      </c>
      <c r="F1520" s="2">
        <v>3.287671232876712E-2</v>
      </c>
    </row>
    <row r="1521" spans="2:6" x14ac:dyDescent="0.25">
      <c r="B1521" s="33">
        <v>1</v>
      </c>
      <c r="C1521" t="s">
        <v>69</v>
      </c>
      <c r="D1521" t="s">
        <v>132</v>
      </c>
      <c r="E1521">
        <v>13</v>
      </c>
      <c r="F1521" s="2">
        <v>2.1917808219178082E-2</v>
      </c>
    </row>
    <row r="1522" spans="2:6" x14ac:dyDescent="0.25">
      <c r="B1522" s="33">
        <v>1</v>
      </c>
      <c r="C1522" t="s">
        <v>1</v>
      </c>
      <c r="D1522" t="s">
        <v>110</v>
      </c>
      <c r="E1522">
        <v>9</v>
      </c>
      <c r="F1522" s="2">
        <v>4.9315068493150684E-2</v>
      </c>
    </row>
    <row r="1523" spans="2:6" x14ac:dyDescent="0.25">
      <c r="B1523" s="33">
        <v>1</v>
      </c>
      <c r="C1523" t="s">
        <v>1</v>
      </c>
      <c r="D1523" t="s">
        <v>143</v>
      </c>
      <c r="E1523">
        <v>8</v>
      </c>
      <c r="F1523" s="2">
        <v>4.6575342465753428E-2</v>
      </c>
    </row>
    <row r="1524" spans="2:6" x14ac:dyDescent="0.25">
      <c r="B1524" s="33">
        <v>1</v>
      </c>
      <c r="C1524" t="s">
        <v>77</v>
      </c>
      <c r="D1524" t="s">
        <v>210</v>
      </c>
      <c r="E1524">
        <v>12</v>
      </c>
      <c r="F1524" s="2">
        <v>3.0136986301369864E-2</v>
      </c>
    </row>
    <row r="1525" spans="2:6" x14ac:dyDescent="0.25">
      <c r="B1525" s="33">
        <v>1</v>
      </c>
      <c r="C1525" t="s">
        <v>3</v>
      </c>
      <c r="D1525" t="s">
        <v>208</v>
      </c>
      <c r="E1525">
        <v>11</v>
      </c>
      <c r="F1525" s="2">
        <v>3.287671232876712E-2</v>
      </c>
    </row>
    <row r="1526" spans="2:6" x14ac:dyDescent="0.25">
      <c r="B1526" s="33">
        <v>1</v>
      </c>
      <c r="C1526" t="s">
        <v>69</v>
      </c>
      <c r="D1526" t="s">
        <v>70</v>
      </c>
      <c r="E1526">
        <v>9</v>
      </c>
      <c r="F1526" s="2">
        <v>2.1917808219178082E-2</v>
      </c>
    </row>
    <row r="1527" spans="2:6" x14ac:dyDescent="0.25">
      <c r="B1527" s="33">
        <v>1</v>
      </c>
      <c r="C1527" t="s">
        <v>77</v>
      </c>
      <c r="D1527" t="s">
        <v>123</v>
      </c>
      <c r="E1527">
        <v>9</v>
      </c>
      <c r="F1527" s="2">
        <v>3.0136986301369864E-2</v>
      </c>
    </row>
    <row r="1528" spans="2:6" x14ac:dyDescent="0.25">
      <c r="B1528" s="33">
        <v>1</v>
      </c>
      <c r="C1528" t="s">
        <v>69</v>
      </c>
      <c r="D1528" t="s">
        <v>70</v>
      </c>
      <c r="E1528">
        <v>10</v>
      </c>
      <c r="F1528" s="2">
        <v>2.1917808219178082E-2</v>
      </c>
    </row>
    <row r="1529" spans="2:6" x14ac:dyDescent="0.25">
      <c r="B1529" s="33">
        <v>1</v>
      </c>
      <c r="C1529" t="s">
        <v>0</v>
      </c>
      <c r="D1529" t="s">
        <v>111</v>
      </c>
      <c r="E1529">
        <v>16</v>
      </c>
      <c r="F1529" s="2">
        <v>0.17808219178082191</v>
      </c>
    </row>
    <row r="1530" spans="2:6" x14ac:dyDescent="0.25">
      <c r="B1530" s="33">
        <v>1</v>
      </c>
      <c r="C1530" t="s">
        <v>72</v>
      </c>
      <c r="D1530" t="s">
        <v>125</v>
      </c>
      <c r="E1530">
        <v>21</v>
      </c>
      <c r="F1530" s="2">
        <v>5.4794520547945202E-2</v>
      </c>
    </row>
    <row r="1531" spans="2:6" x14ac:dyDescent="0.25">
      <c r="B1531" s="33">
        <v>1</v>
      </c>
      <c r="C1531" t="s">
        <v>69</v>
      </c>
      <c r="D1531" t="s">
        <v>199</v>
      </c>
      <c r="E1531">
        <v>16</v>
      </c>
      <c r="F1531" s="2">
        <v>1.9178082191780823E-2</v>
      </c>
    </row>
    <row r="1532" spans="2:6" x14ac:dyDescent="0.25">
      <c r="B1532" s="33">
        <v>1</v>
      </c>
      <c r="C1532" t="s">
        <v>4</v>
      </c>
      <c r="D1532" t="s">
        <v>153</v>
      </c>
      <c r="E1532">
        <v>16</v>
      </c>
      <c r="F1532" s="2">
        <v>4.1095890410958902E-2</v>
      </c>
    </row>
    <row r="1533" spans="2:6" x14ac:dyDescent="0.25">
      <c r="B1533" s="33">
        <v>1</v>
      </c>
      <c r="C1533" t="s">
        <v>6</v>
      </c>
      <c r="D1533" t="s">
        <v>38</v>
      </c>
      <c r="E1533">
        <v>10</v>
      </c>
      <c r="F1533" s="2">
        <v>3.5616438356164383E-2</v>
      </c>
    </row>
    <row r="1534" spans="2:6" x14ac:dyDescent="0.25">
      <c r="B1534" s="33">
        <v>1</v>
      </c>
      <c r="C1534" t="s">
        <v>77</v>
      </c>
      <c r="D1534" t="s">
        <v>205</v>
      </c>
      <c r="E1534">
        <v>16</v>
      </c>
      <c r="F1534" s="2">
        <v>2.7397260273972601E-2</v>
      </c>
    </row>
    <row r="1535" spans="2:6" x14ac:dyDescent="0.25">
      <c r="B1535" s="33">
        <v>1</v>
      </c>
      <c r="C1535" t="s">
        <v>69</v>
      </c>
      <c r="D1535" t="s">
        <v>190</v>
      </c>
      <c r="E1535">
        <v>20</v>
      </c>
      <c r="F1535" s="2">
        <v>1.9178082191780823E-2</v>
      </c>
    </row>
    <row r="1536" spans="2:6" x14ac:dyDescent="0.25">
      <c r="B1536" s="33">
        <v>1</v>
      </c>
      <c r="C1536" t="s">
        <v>77</v>
      </c>
      <c r="D1536" t="s">
        <v>162</v>
      </c>
      <c r="E1536">
        <v>18</v>
      </c>
      <c r="F1536" s="2">
        <v>2.7397260273972601E-2</v>
      </c>
    </row>
    <row r="1537" spans="2:6" x14ac:dyDescent="0.25">
      <c r="B1537" s="33">
        <v>1</v>
      </c>
      <c r="C1537" t="s">
        <v>69</v>
      </c>
      <c r="D1537" t="s">
        <v>190</v>
      </c>
      <c r="E1537">
        <v>21</v>
      </c>
      <c r="F1537" s="2">
        <v>1.9178082191780823E-2</v>
      </c>
    </row>
    <row r="1538" spans="2:6" x14ac:dyDescent="0.25">
      <c r="B1538" s="33">
        <v>1</v>
      </c>
      <c r="C1538" t="s">
        <v>2</v>
      </c>
      <c r="D1538" t="s">
        <v>170</v>
      </c>
      <c r="E1538">
        <v>19</v>
      </c>
      <c r="F1538" s="2">
        <v>3.287671232876712E-2</v>
      </c>
    </row>
    <row r="1539" spans="2:6" x14ac:dyDescent="0.25">
      <c r="B1539" s="33">
        <v>1</v>
      </c>
      <c r="C1539" t="s">
        <v>90</v>
      </c>
      <c r="D1539" t="s">
        <v>164</v>
      </c>
      <c r="E1539">
        <v>18</v>
      </c>
      <c r="F1539" s="2">
        <v>5.2054794520547946E-2</v>
      </c>
    </row>
    <row r="1540" spans="2:6" x14ac:dyDescent="0.25">
      <c r="B1540" s="33">
        <v>1</v>
      </c>
      <c r="C1540" t="s">
        <v>64</v>
      </c>
      <c r="D1540" t="s">
        <v>179</v>
      </c>
      <c r="E1540">
        <v>22</v>
      </c>
      <c r="F1540" s="2">
        <v>1.643835616438356E-2</v>
      </c>
    </row>
    <row r="1541" spans="2:6" x14ac:dyDescent="0.25">
      <c r="B1541" s="33">
        <v>1</v>
      </c>
      <c r="C1541" t="s">
        <v>3</v>
      </c>
      <c r="D1541" t="s">
        <v>108</v>
      </c>
      <c r="E1541">
        <v>16</v>
      </c>
      <c r="F1541" s="2">
        <v>3.0136986301369864E-2</v>
      </c>
    </row>
    <row r="1542" spans="2:6" x14ac:dyDescent="0.25">
      <c r="B1542" s="33">
        <v>1</v>
      </c>
      <c r="C1542" t="s">
        <v>3</v>
      </c>
      <c r="D1542" t="s">
        <v>180</v>
      </c>
      <c r="E1542">
        <v>22</v>
      </c>
      <c r="F1542" s="2">
        <v>3.0136986301369864E-2</v>
      </c>
    </row>
    <row r="1543" spans="2:6" x14ac:dyDescent="0.25">
      <c r="B1543" s="33">
        <v>1</v>
      </c>
      <c r="C1543" t="s">
        <v>64</v>
      </c>
      <c r="D1543" t="s">
        <v>165</v>
      </c>
      <c r="E1543">
        <v>23</v>
      </c>
      <c r="F1543" s="2">
        <v>8.21917808219178E-3</v>
      </c>
    </row>
    <row r="1544" spans="2:6" x14ac:dyDescent="0.25">
      <c r="B1544" s="33">
        <v>1</v>
      </c>
      <c r="C1544" t="s">
        <v>3</v>
      </c>
      <c r="D1544" t="s">
        <v>180</v>
      </c>
      <c r="E1544">
        <v>7</v>
      </c>
      <c r="F1544" s="2">
        <v>1.9178082191780823E-2</v>
      </c>
    </row>
    <row r="1545" spans="2:6" x14ac:dyDescent="0.25">
      <c r="B1545" s="33">
        <v>1</v>
      </c>
      <c r="C1545" t="s">
        <v>72</v>
      </c>
      <c r="D1545" t="s">
        <v>76</v>
      </c>
      <c r="E1545">
        <v>1</v>
      </c>
      <c r="F1545" s="2">
        <v>3.0136986301369864E-2</v>
      </c>
    </row>
    <row r="1546" spans="2:6" x14ac:dyDescent="0.25">
      <c r="B1546" s="33">
        <v>1</v>
      </c>
      <c r="C1546" t="s">
        <v>1</v>
      </c>
      <c r="D1546" t="s">
        <v>110</v>
      </c>
      <c r="E1546">
        <v>5</v>
      </c>
      <c r="F1546" s="2">
        <v>2.4657534246575342E-2</v>
      </c>
    </row>
    <row r="1547" spans="2:6" x14ac:dyDescent="0.25">
      <c r="B1547" s="33">
        <v>1</v>
      </c>
      <c r="C1547" t="s">
        <v>74</v>
      </c>
      <c r="D1547" t="s">
        <v>130</v>
      </c>
      <c r="E1547">
        <v>2</v>
      </c>
      <c r="F1547" s="2">
        <v>3.0136986301369864E-2</v>
      </c>
    </row>
    <row r="1548" spans="2:6" x14ac:dyDescent="0.25">
      <c r="B1548" s="33">
        <v>1</v>
      </c>
      <c r="C1548" t="s">
        <v>72</v>
      </c>
      <c r="D1548" t="s">
        <v>76</v>
      </c>
      <c r="E1548">
        <v>2</v>
      </c>
      <c r="F1548" s="2">
        <v>3.0136986301369864E-2</v>
      </c>
    </row>
    <row r="1549" spans="2:6" x14ac:dyDescent="0.25">
      <c r="B1549" s="33">
        <v>1</v>
      </c>
      <c r="C1549" t="s">
        <v>1</v>
      </c>
      <c r="D1549" t="s">
        <v>176</v>
      </c>
      <c r="E1549">
        <v>8</v>
      </c>
      <c r="F1549" s="2">
        <v>4.1095890410958902E-2</v>
      </c>
    </row>
    <row r="1550" spans="2:6" x14ac:dyDescent="0.25">
      <c r="B1550" s="33">
        <v>1</v>
      </c>
      <c r="C1550" t="s">
        <v>1</v>
      </c>
      <c r="D1550" t="s">
        <v>144</v>
      </c>
      <c r="E1550">
        <v>13</v>
      </c>
      <c r="F1550" s="2">
        <v>4.1095890410958902E-2</v>
      </c>
    </row>
    <row r="1551" spans="2:6" x14ac:dyDescent="0.25">
      <c r="B1551" s="33">
        <v>1</v>
      </c>
      <c r="C1551" t="s">
        <v>64</v>
      </c>
      <c r="D1551" t="s">
        <v>179</v>
      </c>
      <c r="E1551">
        <v>15</v>
      </c>
      <c r="F1551" s="2">
        <v>4.6575342465753428E-2</v>
      </c>
    </row>
    <row r="1552" spans="2:6" x14ac:dyDescent="0.25">
      <c r="B1552" s="33">
        <v>1</v>
      </c>
      <c r="C1552" t="s">
        <v>3</v>
      </c>
      <c r="D1552" t="s">
        <v>173</v>
      </c>
      <c r="E1552">
        <v>8</v>
      </c>
      <c r="F1552" s="2">
        <v>3.287671232876712E-2</v>
      </c>
    </row>
    <row r="1553" spans="2:6" x14ac:dyDescent="0.25">
      <c r="B1553" s="33">
        <v>1</v>
      </c>
      <c r="C1553" t="s">
        <v>77</v>
      </c>
      <c r="D1553" t="s">
        <v>85</v>
      </c>
      <c r="E1553">
        <v>9</v>
      </c>
      <c r="F1553" s="2">
        <v>3.0136986301369864E-2</v>
      </c>
    </row>
    <row r="1554" spans="2:6" x14ac:dyDescent="0.25">
      <c r="B1554" s="33">
        <v>1</v>
      </c>
      <c r="C1554" t="s">
        <v>1</v>
      </c>
      <c r="D1554" t="s">
        <v>214</v>
      </c>
      <c r="E1554">
        <v>12</v>
      </c>
      <c r="F1554" s="2">
        <v>3.8356164383561646E-2</v>
      </c>
    </row>
    <row r="1555" spans="2:6" x14ac:dyDescent="0.25">
      <c r="B1555" s="33">
        <v>1</v>
      </c>
      <c r="C1555" t="s">
        <v>2</v>
      </c>
      <c r="D1555" t="s">
        <v>185</v>
      </c>
      <c r="E1555">
        <v>12</v>
      </c>
      <c r="F1555" s="2">
        <v>2.1917808219178082E-2</v>
      </c>
    </row>
    <row r="1556" spans="2:6" x14ac:dyDescent="0.25">
      <c r="B1556" s="33">
        <v>1</v>
      </c>
      <c r="C1556" t="s">
        <v>69</v>
      </c>
      <c r="D1556" t="s">
        <v>113</v>
      </c>
      <c r="E1556">
        <v>14</v>
      </c>
      <c r="F1556" s="2">
        <v>2.1917808219178082E-2</v>
      </c>
    </row>
    <row r="1557" spans="2:6" x14ac:dyDescent="0.25">
      <c r="B1557" s="33">
        <v>1</v>
      </c>
      <c r="C1557" t="s">
        <v>6</v>
      </c>
      <c r="D1557" t="s">
        <v>25</v>
      </c>
      <c r="E1557">
        <v>13</v>
      </c>
      <c r="F1557" s="2">
        <v>3.5616438356164383E-2</v>
      </c>
    </row>
    <row r="1558" spans="2:6" x14ac:dyDescent="0.25">
      <c r="B1558" s="33">
        <v>1</v>
      </c>
      <c r="C1558" t="s">
        <v>64</v>
      </c>
      <c r="D1558" t="s">
        <v>99</v>
      </c>
      <c r="E1558">
        <v>10</v>
      </c>
      <c r="F1558" s="2">
        <v>4.6575342465753428E-2</v>
      </c>
    </row>
    <row r="1559" spans="2:6" x14ac:dyDescent="0.25">
      <c r="B1559" s="33">
        <v>1</v>
      </c>
      <c r="C1559" t="s">
        <v>6</v>
      </c>
      <c r="D1559" t="s">
        <v>43</v>
      </c>
      <c r="E1559">
        <v>9</v>
      </c>
      <c r="F1559" s="2">
        <v>3.5616438356164383E-2</v>
      </c>
    </row>
    <row r="1560" spans="2:6" x14ac:dyDescent="0.25">
      <c r="B1560" s="33">
        <v>1</v>
      </c>
      <c r="C1560" t="s">
        <v>64</v>
      </c>
      <c r="D1560" t="s">
        <v>179</v>
      </c>
      <c r="E1560">
        <v>10</v>
      </c>
      <c r="F1560" s="2">
        <v>4.3835616438356165E-2</v>
      </c>
    </row>
    <row r="1561" spans="2:6" x14ac:dyDescent="0.25">
      <c r="B1561" s="33">
        <v>1</v>
      </c>
      <c r="C1561" t="s">
        <v>2</v>
      </c>
      <c r="D1561" t="s">
        <v>170</v>
      </c>
      <c r="E1561">
        <v>9</v>
      </c>
      <c r="F1561" s="2">
        <v>2.1917808219178082E-2</v>
      </c>
    </row>
    <row r="1562" spans="2:6" x14ac:dyDescent="0.25">
      <c r="B1562" s="33">
        <v>1</v>
      </c>
      <c r="C1562" t="s">
        <v>126</v>
      </c>
      <c r="D1562" t="s">
        <v>131</v>
      </c>
      <c r="E1562">
        <v>12</v>
      </c>
      <c r="F1562" s="2">
        <v>2.7397260273972601E-2</v>
      </c>
    </row>
    <row r="1563" spans="2:6" x14ac:dyDescent="0.25">
      <c r="B1563" s="33">
        <v>1</v>
      </c>
      <c r="C1563" t="s">
        <v>3</v>
      </c>
      <c r="D1563" t="s">
        <v>119</v>
      </c>
      <c r="E1563">
        <v>12</v>
      </c>
      <c r="F1563" s="2">
        <v>3.0136986301369864E-2</v>
      </c>
    </row>
    <row r="1564" spans="2:6" x14ac:dyDescent="0.25">
      <c r="B1564" s="33">
        <v>1</v>
      </c>
      <c r="C1564" t="s">
        <v>1</v>
      </c>
      <c r="D1564" t="s">
        <v>200</v>
      </c>
      <c r="E1564">
        <v>13</v>
      </c>
      <c r="F1564" s="2">
        <v>3.5616438356164383E-2</v>
      </c>
    </row>
    <row r="1565" spans="2:6" x14ac:dyDescent="0.25">
      <c r="B1565" s="33">
        <v>1</v>
      </c>
      <c r="C1565" t="s">
        <v>64</v>
      </c>
      <c r="D1565" t="s">
        <v>179</v>
      </c>
      <c r="E1565">
        <v>9</v>
      </c>
      <c r="F1565" s="2">
        <v>4.3835616438356165E-2</v>
      </c>
    </row>
    <row r="1566" spans="2:6" x14ac:dyDescent="0.25">
      <c r="B1566" s="33">
        <v>1</v>
      </c>
      <c r="C1566" t="s">
        <v>4</v>
      </c>
      <c r="D1566" t="s">
        <v>166</v>
      </c>
      <c r="E1566">
        <v>10</v>
      </c>
      <c r="F1566" s="2">
        <v>4.6575342465753428E-2</v>
      </c>
    </row>
    <row r="1567" spans="2:6" x14ac:dyDescent="0.25">
      <c r="B1567" s="33">
        <v>1</v>
      </c>
      <c r="C1567" t="s">
        <v>66</v>
      </c>
      <c r="D1567" t="s">
        <v>168</v>
      </c>
      <c r="E1567">
        <v>9</v>
      </c>
      <c r="F1567" s="2">
        <v>4.1095890410958902E-2</v>
      </c>
    </row>
    <row r="1568" spans="2:6" x14ac:dyDescent="0.25">
      <c r="B1568" s="33">
        <v>1</v>
      </c>
      <c r="C1568" t="s">
        <v>77</v>
      </c>
      <c r="D1568" t="s">
        <v>97</v>
      </c>
      <c r="E1568">
        <v>21</v>
      </c>
      <c r="F1568" s="2">
        <v>2.7397260273972601E-2</v>
      </c>
    </row>
    <row r="1569" spans="2:6" x14ac:dyDescent="0.25">
      <c r="B1569" s="33">
        <v>1</v>
      </c>
      <c r="C1569" t="s">
        <v>90</v>
      </c>
      <c r="D1569" t="s">
        <v>120</v>
      </c>
      <c r="E1569">
        <v>23</v>
      </c>
      <c r="F1569" s="2">
        <v>5.2054794520547946E-2</v>
      </c>
    </row>
    <row r="1570" spans="2:6" x14ac:dyDescent="0.25">
      <c r="B1570" s="33">
        <v>1</v>
      </c>
      <c r="C1570" t="s">
        <v>3</v>
      </c>
      <c r="D1570" t="s">
        <v>195</v>
      </c>
      <c r="E1570">
        <v>18</v>
      </c>
      <c r="F1570" s="2">
        <v>3.0136986301369864E-2</v>
      </c>
    </row>
    <row r="1571" spans="2:6" x14ac:dyDescent="0.25">
      <c r="B1571" s="33">
        <v>1</v>
      </c>
      <c r="C1571" t="s">
        <v>6</v>
      </c>
      <c r="D1571" t="s">
        <v>38</v>
      </c>
      <c r="E1571">
        <v>13</v>
      </c>
      <c r="F1571" s="2">
        <v>3.5616438356164383E-2</v>
      </c>
    </row>
    <row r="1572" spans="2:6" x14ac:dyDescent="0.25">
      <c r="B1572" s="33">
        <v>1</v>
      </c>
      <c r="C1572" t="s">
        <v>126</v>
      </c>
      <c r="D1572" t="s">
        <v>131</v>
      </c>
      <c r="E1572">
        <v>21</v>
      </c>
      <c r="F1572" s="2">
        <v>4.1095890410958902E-2</v>
      </c>
    </row>
    <row r="1573" spans="2:6" x14ac:dyDescent="0.25">
      <c r="B1573" s="33">
        <v>1</v>
      </c>
      <c r="C1573" t="s">
        <v>3</v>
      </c>
      <c r="D1573" t="s">
        <v>191</v>
      </c>
      <c r="E1573">
        <v>19</v>
      </c>
      <c r="F1573" s="2">
        <v>3.0136986301369864E-2</v>
      </c>
    </row>
    <row r="1574" spans="2:6" x14ac:dyDescent="0.25">
      <c r="B1574" s="33">
        <v>1</v>
      </c>
      <c r="C1574" t="s">
        <v>66</v>
      </c>
      <c r="D1574" t="s">
        <v>151</v>
      </c>
      <c r="E1574">
        <v>21</v>
      </c>
      <c r="F1574" s="2">
        <v>5.2054794520547946E-2</v>
      </c>
    </row>
    <row r="1575" spans="2:6" x14ac:dyDescent="0.25">
      <c r="B1575" s="33">
        <v>1</v>
      </c>
      <c r="C1575" t="s">
        <v>64</v>
      </c>
      <c r="D1575" t="s">
        <v>175</v>
      </c>
      <c r="E1575">
        <v>18</v>
      </c>
      <c r="F1575" s="2">
        <v>2.7397260273972601E-2</v>
      </c>
    </row>
    <row r="1576" spans="2:6" x14ac:dyDescent="0.25">
      <c r="B1576" s="33">
        <v>1</v>
      </c>
      <c r="C1576" t="s">
        <v>64</v>
      </c>
      <c r="D1576" t="s">
        <v>68</v>
      </c>
      <c r="E1576">
        <v>20</v>
      </c>
      <c r="F1576" s="2">
        <v>6.3013698630136991E-2</v>
      </c>
    </row>
    <row r="1577" spans="2:6" x14ac:dyDescent="0.25">
      <c r="B1577" s="33">
        <v>1</v>
      </c>
      <c r="C1577" t="s">
        <v>77</v>
      </c>
      <c r="D1577" t="s">
        <v>98</v>
      </c>
      <c r="E1577">
        <v>16</v>
      </c>
      <c r="F1577" s="2">
        <v>2.7397260273972601E-2</v>
      </c>
    </row>
    <row r="1578" spans="2:6" x14ac:dyDescent="0.25">
      <c r="B1578" s="33">
        <v>1</v>
      </c>
      <c r="C1578" t="s">
        <v>1</v>
      </c>
      <c r="D1578" t="s">
        <v>189</v>
      </c>
      <c r="E1578">
        <v>19</v>
      </c>
      <c r="F1578" s="2">
        <v>4.6575342465753428E-2</v>
      </c>
    </row>
    <row r="1579" spans="2:6" x14ac:dyDescent="0.25">
      <c r="B1579" s="33">
        <v>1</v>
      </c>
      <c r="C1579" t="s">
        <v>72</v>
      </c>
      <c r="D1579" t="s">
        <v>187</v>
      </c>
      <c r="E1579">
        <v>18</v>
      </c>
      <c r="F1579" s="2">
        <v>5.2054794520547946E-2</v>
      </c>
    </row>
    <row r="1580" spans="2:6" x14ac:dyDescent="0.25">
      <c r="B1580" s="33">
        <v>1</v>
      </c>
      <c r="C1580" t="s">
        <v>2</v>
      </c>
      <c r="D1580" t="s">
        <v>102</v>
      </c>
      <c r="E1580">
        <v>18</v>
      </c>
      <c r="F1580" s="2">
        <v>3.0136986301369864E-2</v>
      </c>
    </row>
    <row r="1581" spans="2:6" x14ac:dyDescent="0.25">
      <c r="B1581" s="33">
        <v>1</v>
      </c>
      <c r="C1581" t="s">
        <v>1</v>
      </c>
      <c r="D1581" t="s">
        <v>176</v>
      </c>
      <c r="E1581">
        <v>21</v>
      </c>
      <c r="F1581" s="2">
        <v>4.6575342465753428E-2</v>
      </c>
    </row>
    <row r="1582" spans="2:6" x14ac:dyDescent="0.25">
      <c r="B1582" s="33">
        <v>1</v>
      </c>
      <c r="C1582" t="s">
        <v>88</v>
      </c>
      <c r="D1582" t="s">
        <v>156</v>
      </c>
      <c r="E1582">
        <v>20</v>
      </c>
      <c r="F1582" s="2">
        <v>5.4794520547945202E-2</v>
      </c>
    </row>
    <row r="1583" spans="2:6" x14ac:dyDescent="0.25">
      <c r="B1583" s="33">
        <v>1</v>
      </c>
      <c r="C1583" t="s">
        <v>88</v>
      </c>
      <c r="D1583" t="s">
        <v>156</v>
      </c>
      <c r="E1583">
        <v>22</v>
      </c>
      <c r="F1583" s="2">
        <v>4.6575342465753428E-2</v>
      </c>
    </row>
    <row r="1584" spans="2:6" x14ac:dyDescent="0.25">
      <c r="B1584" s="33">
        <v>1</v>
      </c>
      <c r="C1584" t="s">
        <v>1</v>
      </c>
      <c r="D1584" t="s">
        <v>176</v>
      </c>
      <c r="E1584">
        <v>17</v>
      </c>
      <c r="F1584" s="2">
        <v>4.1095890410958902E-2</v>
      </c>
    </row>
    <row r="1585" spans="2:6" x14ac:dyDescent="0.25">
      <c r="B1585" s="33">
        <v>1</v>
      </c>
      <c r="C1585" t="s">
        <v>66</v>
      </c>
      <c r="D1585" t="s">
        <v>151</v>
      </c>
      <c r="E1585">
        <v>0</v>
      </c>
      <c r="F1585" s="2">
        <v>3.0136986301369864E-2</v>
      </c>
    </row>
    <row r="1586" spans="2:6" x14ac:dyDescent="0.25">
      <c r="B1586" s="33">
        <v>1</v>
      </c>
      <c r="C1586" t="s">
        <v>1</v>
      </c>
      <c r="D1586" t="s">
        <v>92</v>
      </c>
      <c r="E1586">
        <v>4</v>
      </c>
      <c r="F1586" s="2">
        <v>2.4657534246575342E-2</v>
      </c>
    </row>
    <row r="1587" spans="2:6" x14ac:dyDescent="0.25">
      <c r="B1587" s="33">
        <v>1</v>
      </c>
      <c r="C1587" t="s">
        <v>66</v>
      </c>
      <c r="D1587" t="s">
        <v>107</v>
      </c>
      <c r="E1587">
        <v>4</v>
      </c>
      <c r="F1587" s="2">
        <v>3.0136986301369864E-2</v>
      </c>
    </row>
    <row r="1588" spans="2:6" x14ac:dyDescent="0.25">
      <c r="B1588" s="33">
        <v>1</v>
      </c>
      <c r="C1588" t="s">
        <v>77</v>
      </c>
      <c r="D1588" t="s">
        <v>98</v>
      </c>
      <c r="E1588">
        <v>0</v>
      </c>
      <c r="F1588" s="2">
        <v>1.3698630136986301E-2</v>
      </c>
    </row>
    <row r="1589" spans="2:6" x14ac:dyDescent="0.25">
      <c r="B1589" s="33">
        <v>1</v>
      </c>
      <c r="C1589" t="s">
        <v>64</v>
      </c>
      <c r="D1589" t="s">
        <v>65</v>
      </c>
      <c r="E1589">
        <v>5</v>
      </c>
      <c r="F1589" s="2">
        <v>2.4657534246575342E-2</v>
      </c>
    </row>
    <row r="1590" spans="2:6" x14ac:dyDescent="0.25">
      <c r="B1590" s="33">
        <v>1</v>
      </c>
      <c r="C1590" t="s">
        <v>88</v>
      </c>
      <c r="D1590" t="s">
        <v>201</v>
      </c>
      <c r="E1590">
        <v>0</v>
      </c>
      <c r="F1590" s="2">
        <v>2.4657534246575342E-2</v>
      </c>
    </row>
    <row r="1591" spans="2:6" x14ac:dyDescent="0.25">
      <c r="B1591" s="33">
        <v>1</v>
      </c>
      <c r="C1591" t="s">
        <v>66</v>
      </c>
      <c r="D1591" t="s">
        <v>182</v>
      </c>
      <c r="E1591">
        <v>5</v>
      </c>
      <c r="F1591" s="2">
        <v>2.7397260273972601E-2</v>
      </c>
    </row>
    <row r="1592" spans="2:6" x14ac:dyDescent="0.25">
      <c r="B1592" s="33">
        <v>1</v>
      </c>
      <c r="C1592" t="s">
        <v>1</v>
      </c>
      <c r="D1592" t="s">
        <v>189</v>
      </c>
      <c r="E1592">
        <v>1</v>
      </c>
      <c r="F1592" s="2">
        <v>2.4657534246575342E-2</v>
      </c>
    </row>
    <row r="1593" spans="2:6" x14ac:dyDescent="0.25">
      <c r="B1593" s="33">
        <v>1</v>
      </c>
      <c r="C1593" t="s">
        <v>0</v>
      </c>
      <c r="D1593" t="s">
        <v>111</v>
      </c>
      <c r="E1593">
        <v>10</v>
      </c>
      <c r="F1593" s="2">
        <v>7.3972602739726029E-2</v>
      </c>
    </row>
    <row r="1594" spans="2:6" x14ac:dyDescent="0.25">
      <c r="B1594" s="33">
        <v>1</v>
      </c>
      <c r="C1594" t="s">
        <v>4</v>
      </c>
      <c r="D1594" t="s">
        <v>166</v>
      </c>
      <c r="E1594">
        <v>8</v>
      </c>
      <c r="F1594" s="2">
        <v>4.3835616438356165E-2</v>
      </c>
    </row>
    <row r="1595" spans="2:6" x14ac:dyDescent="0.25">
      <c r="B1595" s="33">
        <v>1</v>
      </c>
      <c r="C1595" t="s">
        <v>90</v>
      </c>
      <c r="D1595" t="s">
        <v>109</v>
      </c>
      <c r="E1595">
        <v>10</v>
      </c>
      <c r="F1595" s="2">
        <v>6.0273972602739728E-2</v>
      </c>
    </row>
    <row r="1596" spans="2:6" x14ac:dyDescent="0.25">
      <c r="B1596" s="33">
        <v>1</v>
      </c>
      <c r="C1596" t="s">
        <v>77</v>
      </c>
      <c r="D1596" t="s">
        <v>83</v>
      </c>
      <c r="E1596">
        <v>11</v>
      </c>
      <c r="F1596" s="2">
        <v>3.0136986301369864E-2</v>
      </c>
    </row>
    <row r="1597" spans="2:6" x14ac:dyDescent="0.25">
      <c r="B1597" s="33">
        <v>1</v>
      </c>
      <c r="C1597" t="s">
        <v>1</v>
      </c>
      <c r="D1597" t="s">
        <v>176</v>
      </c>
      <c r="E1597">
        <v>9</v>
      </c>
      <c r="F1597" s="2">
        <v>3.5616438356164383E-2</v>
      </c>
    </row>
    <row r="1598" spans="2:6" x14ac:dyDescent="0.25">
      <c r="B1598" s="33">
        <v>1</v>
      </c>
      <c r="C1598" t="s">
        <v>126</v>
      </c>
      <c r="D1598" t="s">
        <v>131</v>
      </c>
      <c r="E1598">
        <v>10</v>
      </c>
      <c r="F1598" s="2">
        <v>3.287671232876712E-2</v>
      </c>
    </row>
    <row r="1599" spans="2:6" x14ac:dyDescent="0.25">
      <c r="B1599" s="33">
        <v>1</v>
      </c>
      <c r="C1599" t="s">
        <v>64</v>
      </c>
      <c r="D1599" t="s">
        <v>68</v>
      </c>
      <c r="E1599">
        <v>14</v>
      </c>
      <c r="F1599" s="2">
        <v>4.3835616438356165E-2</v>
      </c>
    </row>
    <row r="1600" spans="2:6" x14ac:dyDescent="0.25">
      <c r="B1600" s="33">
        <v>1</v>
      </c>
      <c r="C1600" t="s">
        <v>66</v>
      </c>
      <c r="D1600" t="s">
        <v>182</v>
      </c>
      <c r="E1600">
        <v>11</v>
      </c>
      <c r="F1600" s="2">
        <v>3.8356164383561646E-2</v>
      </c>
    </row>
    <row r="1601" spans="2:6" x14ac:dyDescent="0.25">
      <c r="B1601" s="33">
        <v>1</v>
      </c>
      <c r="C1601" t="s">
        <v>69</v>
      </c>
      <c r="D1601" t="s">
        <v>70</v>
      </c>
      <c r="E1601">
        <v>14</v>
      </c>
      <c r="F1601" s="2">
        <v>2.1917808219178082E-2</v>
      </c>
    </row>
    <row r="1602" spans="2:6" x14ac:dyDescent="0.25">
      <c r="B1602" s="33">
        <v>1</v>
      </c>
      <c r="C1602" t="s">
        <v>77</v>
      </c>
      <c r="D1602" t="s">
        <v>210</v>
      </c>
      <c r="E1602">
        <v>15</v>
      </c>
      <c r="F1602" s="2">
        <v>3.0136986301369864E-2</v>
      </c>
    </row>
    <row r="1603" spans="2:6" x14ac:dyDescent="0.25">
      <c r="B1603" s="33">
        <v>1</v>
      </c>
      <c r="C1603" t="s">
        <v>77</v>
      </c>
      <c r="D1603" t="s">
        <v>85</v>
      </c>
      <c r="E1603">
        <v>15</v>
      </c>
      <c r="F1603" s="2">
        <v>3.0136986301369864E-2</v>
      </c>
    </row>
    <row r="1604" spans="2:6" x14ac:dyDescent="0.25">
      <c r="B1604" s="33">
        <v>1</v>
      </c>
      <c r="C1604" t="s">
        <v>77</v>
      </c>
      <c r="D1604" t="s">
        <v>177</v>
      </c>
      <c r="E1604">
        <v>12</v>
      </c>
      <c r="F1604" s="2">
        <v>3.0136986301369864E-2</v>
      </c>
    </row>
    <row r="1605" spans="2:6" x14ac:dyDescent="0.25">
      <c r="B1605" s="33">
        <v>1</v>
      </c>
      <c r="C1605" t="s">
        <v>74</v>
      </c>
      <c r="D1605" t="s">
        <v>174</v>
      </c>
      <c r="E1605">
        <v>11</v>
      </c>
      <c r="F1605" s="2">
        <v>7.3972602739726029E-2</v>
      </c>
    </row>
    <row r="1606" spans="2:6" x14ac:dyDescent="0.25">
      <c r="B1606" s="33">
        <v>1</v>
      </c>
      <c r="C1606" t="s">
        <v>69</v>
      </c>
      <c r="D1606" t="s">
        <v>159</v>
      </c>
      <c r="E1606">
        <v>12</v>
      </c>
      <c r="F1606" s="2">
        <v>2.1917808219178082E-2</v>
      </c>
    </row>
    <row r="1607" spans="2:6" x14ac:dyDescent="0.25">
      <c r="B1607" s="33">
        <v>1</v>
      </c>
      <c r="C1607" t="s">
        <v>103</v>
      </c>
      <c r="D1607" t="s">
        <v>158</v>
      </c>
      <c r="E1607">
        <v>14</v>
      </c>
      <c r="F1607" s="2">
        <v>4.3835616438356165E-2</v>
      </c>
    </row>
    <row r="1608" spans="2:6" x14ac:dyDescent="0.25">
      <c r="B1608" s="33">
        <v>1</v>
      </c>
      <c r="C1608" t="s">
        <v>64</v>
      </c>
      <c r="D1608" t="s">
        <v>179</v>
      </c>
      <c r="E1608">
        <v>11</v>
      </c>
      <c r="F1608" s="2">
        <v>4.3835616438356165E-2</v>
      </c>
    </row>
    <row r="1609" spans="2:6" x14ac:dyDescent="0.25">
      <c r="B1609" s="33">
        <v>1</v>
      </c>
      <c r="C1609" t="s">
        <v>1</v>
      </c>
      <c r="D1609" t="s">
        <v>189</v>
      </c>
      <c r="E1609">
        <v>10</v>
      </c>
      <c r="F1609" s="2">
        <v>3.5616438356164383E-2</v>
      </c>
    </row>
    <row r="1610" spans="2:6" x14ac:dyDescent="0.25">
      <c r="B1610" s="33">
        <v>1</v>
      </c>
      <c r="C1610" t="s">
        <v>2</v>
      </c>
      <c r="D1610" t="s">
        <v>198</v>
      </c>
      <c r="E1610">
        <v>11</v>
      </c>
      <c r="F1610" s="2">
        <v>2.1917808219178082E-2</v>
      </c>
    </row>
    <row r="1611" spans="2:6" x14ac:dyDescent="0.25">
      <c r="B1611" s="33">
        <v>1</v>
      </c>
      <c r="C1611" t="s">
        <v>1</v>
      </c>
      <c r="D1611" t="s">
        <v>112</v>
      </c>
      <c r="E1611">
        <v>23</v>
      </c>
      <c r="F1611" s="2">
        <v>4.1095890410958902E-2</v>
      </c>
    </row>
    <row r="1612" spans="2:6" x14ac:dyDescent="0.25">
      <c r="B1612" s="33">
        <v>1</v>
      </c>
      <c r="C1612" t="s">
        <v>103</v>
      </c>
      <c r="D1612" t="s">
        <v>139</v>
      </c>
      <c r="E1612">
        <v>17</v>
      </c>
      <c r="F1612" s="2">
        <v>3.5616438356164383E-2</v>
      </c>
    </row>
    <row r="1613" spans="2:6" x14ac:dyDescent="0.25">
      <c r="B1613" s="33">
        <v>1</v>
      </c>
      <c r="C1613" t="s">
        <v>69</v>
      </c>
      <c r="D1613" t="s">
        <v>113</v>
      </c>
      <c r="E1613">
        <v>21</v>
      </c>
      <c r="F1613" s="2">
        <v>1.9178082191780823E-2</v>
      </c>
    </row>
    <row r="1614" spans="2:6" x14ac:dyDescent="0.25">
      <c r="B1614" s="33">
        <v>1</v>
      </c>
      <c r="C1614" t="s">
        <v>77</v>
      </c>
      <c r="D1614" t="s">
        <v>87</v>
      </c>
      <c r="E1614">
        <v>20</v>
      </c>
      <c r="F1614" s="2">
        <v>2.7397260273972601E-2</v>
      </c>
    </row>
    <row r="1615" spans="2:6" x14ac:dyDescent="0.25">
      <c r="B1615" s="33">
        <v>1</v>
      </c>
      <c r="C1615" t="s">
        <v>77</v>
      </c>
      <c r="D1615" t="s">
        <v>136</v>
      </c>
      <c r="E1615">
        <v>22</v>
      </c>
      <c r="F1615" s="2">
        <v>2.7397260273972601E-2</v>
      </c>
    </row>
    <row r="1616" spans="2:6" x14ac:dyDescent="0.25">
      <c r="B1616" s="33">
        <v>1</v>
      </c>
      <c r="C1616" t="s">
        <v>69</v>
      </c>
      <c r="D1616" t="s">
        <v>128</v>
      </c>
      <c r="E1616">
        <v>19</v>
      </c>
      <c r="F1616" s="2">
        <v>1.9178082191780823E-2</v>
      </c>
    </row>
    <row r="1617" spans="2:6" x14ac:dyDescent="0.25">
      <c r="B1617" s="33">
        <v>1</v>
      </c>
      <c r="C1617" t="s">
        <v>77</v>
      </c>
      <c r="D1617" t="s">
        <v>136</v>
      </c>
      <c r="E1617">
        <v>20</v>
      </c>
      <c r="F1617" s="2">
        <v>2.7397260273972601E-2</v>
      </c>
    </row>
    <row r="1618" spans="2:6" x14ac:dyDescent="0.25">
      <c r="B1618" s="33">
        <v>1</v>
      </c>
      <c r="C1618" t="s">
        <v>77</v>
      </c>
      <c r="D1618" t="s">
        <v>177</v>
      </c>
      <c r="E1618">
        <v>16</v>
      </c>
      <c r="F1618" s="2">
        <v>2.7397260273972601E-2</v>
      </c>
    </row>
    <row r="1619" spans="2:6" x14ac:dyDescent="0.25">
      <c r="B1619" s="33">
        <v>1</v>
      </c>
      <c r="C1619" t="s">
        <v>103</v>
      </c>
      <c r="D1619" t="s">
        <v>167</v>
      </c>
      <c r="E1619">
        <v>17</v>
      </c>
      <c r="F1619" s="2">
        <v>3.5616438356164383E-2</v>
      </c>
    </row>
    <row r="1620" spans="2:6" x14ac:dyDescent="0.25">
      <c r="B1620" s="33">
        <v>1</v>
      </c>
      <c r="C1620" t="s">
        <v>1</v>
      </c>
      <c r="D1620" t="s">
        <v>200</v>
      </c>
      <c r="E1620">
        <v>17</v>
      </c>
      <c r="F1620" s="2">
        <v>3.5616438356164383E-2</v>
      </c>
    </row>
    <row r="1621" spans="2:6" x14ac:dyDescent="0.25">
      <c r="B1621" s="33">
        <v>1</v>
      </c>
      <c r="C1621" t="s">
        <v>74</v>
      </c>
      <c r="D1621" t="s">
        <v>105</v>
      </c>
      <c r="E1621">
        <v>22</v>
      </c>
      <c r="F1621" s="2">
        <v>5.2054794520547946E-2</v>
      </c>
    </row>
    <row r="1622" spans="2:6" x14ac:dyDescent="0.25">
      <c r="B1622" s="33">
        <v>1</v>
      </c>
      <c r="C1622" t="s">
        <v>72</v>
      </c>
      <c r="D1622" t="s">
        <v>187</v>
      </c>
      <c r="E1622">
        <v>19</v>
      </c>
      <c r="F1622" s="2">
        <v>4.9315068493150684E-2</v>
      </c>
    </row>
    <row r="1623" spans="2:6" x14ac:dyDescent="0.25">
      <c r="B1623" s="33">
        <v>1</v>
      </c>
      <c r="C1623" t="s">
        <v>77</v>
      </c>
      <c r="D1623" t="s">
        <v>162</v>
      </c>
      <c r="E1623">
        <v>23</v>
      </c>
      <c r="F1623" s="2">
        <v>2.4657534246575342E-2</v>
      </c>
    </row>
    <row r="1624" spans="2:6" x14ac:dyDescent="0.25">
      <c r="B1624" s="33">
        <v>1</v>
      </c>
      <c r="C1624" t="s">
        <v>4</v>
      </c>
      <c r="D1624" t="s">
        <v>106</v>
      </c>
      <c r="E1624">
        <v>0</v>
      </c>
      <c r="F1624" s="2">
        <v>1.643835616438356E-2</v>
      </c>
    </row>
    <row r="1625" spans="2:6" x14ac:dyDescent="0.25">
      <c r="B1625" s="33">
        <v>1</v>
      </c>
      <c r="C1625" t="s">
        <v>64</v>
      </c>
      <c r="D1625" t="s">
        <v>115</v>
      </c>
      <c r="E1625">
        <v>3</v>
      </c>
      <c r="F1625" s="2">
        <v>2.4657534246575342E-2</v>
      </c>
    </row>
    <row r="1626" spans="2:6" x14ac:dyDescent="0.25">
      <c r="B1626" s="33">
        <v>1</v>
      </c>
      <c r="C1626" t="s">
        <v>72</v>
      </c>
      <c r="D1626" t="s">
        <v>76</v>
      </c>
      <c r="E1626">
        <v>5</v>
      </c>
      <c r="F1626" s="2">
        <v>3.0136986301369864E-2</v>
      </c>
    </row>
    <row r="1627" spans="2:6" x14ac:dyDescent="0.25">
      <c r="B1627" s="33">
        <v>1</v>
      </c>
      <c r="C1627" t="s">
        <v>2</v>
      </c>
      <c r="D1627" t="s">
        <v>170</v>
      </c>
      <c r="E1627">
        <v>5</v>
      </c>
      <c r="F1627" s="2">
        <v>2.7397260273972603E-3</v>
      </c>
    </row>
    <row r="1628" spans="2:6" x14ac:dyDescent="0.25">
      <c r="B1628" s="33">
        <v>1</v>
      </c>
      <c r="C1628" t="s">
        <v>66</v>
      </c>
      <c r="D1628" t="s">
        <v>129</v>
      </c>
      <c r="E1628">
        <v>5</v>
      </c>
      <c r="F1628" s="2">
        <v>2.7397260273972601E-2</v>
      </c>
    </row>
    <row r="1629" spans="2:6" x14ac:dyDescent="0.25">
      <c r="B1629" s="33">
        <v>1</v>
      </c>
      <c r="C1629" t="s">
        <v>72</v>
      </c>
      <c r="D1629" t="s">
        <v>163</v>
      </c>
      <c r="E1629">
        <v>2</v>
      </c>
      <c r="F1629" s="2">
        <v>2.7397260273972601E-2</v>
      </c>
    </row>
    <row r="1630" spans="2:6" x14ac:dyDescent="0.25">
      <c r="B1630" s="33">
        <v>1</v>
      </c>
      <c r="C1630" t="s">
        <v>3</v>
      </c>
      <c r="D1630" t="s">
        <v>157</v>
      </c>
      <c r="E1630">
        <v>7</v>
      </c>
      <c r="F1630" s="2">
        <v>1.9178082191780823E-2</v>
      </c>
    </row>
    <row r="1631" spans="2:6" x14ac:dyDescent="0.25">
      <c r="B1631" s="33">
        <v>1</v>
      </c>
      <c r="C1631" t="s">
        <v>0</v>
      </c>
      <c r="D1631" t="s">
        <v>95</v>
      </c>
      <c r="E1631">
        <v>2</v>
      </c>
      <c r="F1631" s="2">
        <v>4.1095890410958902E-2</v>
      </c>
    </row>
    <row r="1632" spans="2:6" x14ac:dyDescent="0.25">
      <c r="B1632" s="33">
        <v>1</v>
      </c>
      <c r="C1632" t="s">
        <v>4</v>
      </c>
      <c r="D1632" t="s">
        <v>153</v>
      </c>
      <c r="E1632">
        <v>7</v>
      </c>
      <c r="F1632" s="2">
        <v>4.6575342465753428E-2</v>
      </c>
    </row>
    <row r="1633" spans="2:6" x14ac:dyDescent="0.25">
      <c r="B1633" s="33">
        <v>1</v>
      </c>
      <c r="C1633" t="s">
        <v>74</v>
      </c>
      <c r="D1633" t="s">
        <v>174</v>
      </c>
      <c r="E1633">
        <v>13</v>
      </c>
      <c r="F1633" s="2">
        <v>7.1232876712328766E-2</v>
      </c>
    </row>
    <row r="1634" spans="2:6" x14ac:dyDescent="0.25">
      <c r="B1634" s="33">
        <v>1</v>
      </c>
      <c r="C1634" t="s">
        <v>103</v>
      </c>
      <c r="D1634" t="s">
        <v>167</v>
      </c>
      <c r="E1634">
        <v>14</v>
      </c>
      <c r="F1634" s="2">
        <v>4.3835616438356165E-2</v>
      </c>
    </row>
    <row r="1635" spans="2:6" x14ac:dyDescent="0.25">
      <c r="B1635" s="33">
        <v>1</v>
      </c>
      <c r="C1635" t="s">
        <v>69</v>
      </c>
      <c r="D1635" t="s">
        <v>113</v>
      </c>
      <c r="E1635">
        <v>13</v>
      </c>
      <c r="F1635" s="2">
        <v>2.1917808219178082E-2</v>
      </c>
    </row>
    <row r="1636" spans="2:6" x14ac:dyDescent="0.25">
      <c r="B1636" s="33">
        <v>1</v>
      </c>
      <c r="C1636" t="s">
        <v>6</v>
      </c>
      <c r="D1636" t="s">
        <v>43</v>
      </c>
      <c r="E1636">
        <v>8</v>
      </c>
      <c r="F1636" s="2">
        <v>3.287671232876712E-2</v>
      </c>
    </row>
    <row r="1637" spans="2:6" x14ac:dyDescent="0.25">
      <c r="B1637" s="33">
        <v>1</v>
      </c>
      <c r="C1637" t="s">
        <v>1</v>
      </c>
      <c r="D1637" t="s">
        <v>189</v>
      </c>
      <c r="E1637">
        <v>14</v>
      </c>
      <c r="F1637" s="2">
        <v>3.287671232876712E-2</v>
      </c>
    </row>
    <row r="1638" spans="2:6" x14ac:dyDescent="0.25">
      <c r="B1638" s="33">
        <v>1</v>
      </c>
      <c r="C1638" t="s">
        <v>64</v>
      </c>
      <c r="D1638" t="s">
        <v>179</v>
      </c>
      <c r="E1638">
        <v>12</v>
      </c>
      <c r="F1638" s="2">
        <v>4.1095890410958902E-2</v>
      </c>
    </row>
    <row r="1639" spans="2:6" x14ac:dyDescent="0.25">
      <c r="B1639" s="33">
        <v>1</v>
      </c>
      <c r="C1639" t="s">
        <v>69</v>
      </c>
      <c r="D1639" t="s">
        <v>190</v>
      </c>
      <c r="E1639">
        <v>11</v>
      </c>
      <c r="F1639" s="2">
        <v>2.1917808219178082E-2</v>
      </c>
    </row>
    <row r="1640" spans="2:6" x14ac:dyDescent="0.25">
      <c r="B1640" s="33">
        <v>1</v>
      </c>
      <c r="C1640" t="s">
        <v>90</v>
      </c>
      <c r="D1640" t="s">
        <v>164</v>
      </c>
      <c r="E1640">
        <v>10</v>
      </c>
      <c r="F1640" s="2">
        <v>4.9315068493150684E-2</v>
      </c>
    </row>
    <row r="1641" spans="2:6" x14ac:dyDescent="0.25">
      <c r="B1641" s="33">
        <v>1</v>
      </c>
      <c r="C1641" t="s">
        <v>6</v>
      </c>
      <c r="D1641" t="s">
        <v>43</v>
      </c>
      <c r="E1641">
        <v>14</v>
      </c>
      <c r="F1641" s="2">
        <v>3.287671232876712E-2</v>
      </c>
    </row>
    <row r="1642" spans="2:6" x14ac:dyDescent="0.25">
      <c r="B1642" s="33">
        <v>1</v>
      </c>
      <c r="C1642" t="s">
        <v>0</v>
      </c>
      <c r="D1642" t="s">
        <v>150</v>
      </c>
      <c r="E1642">
        <v>13</v>
      </c>
      <c r="F1642" s="2">
        <v>7.3972602739726029E-2</v>
      </c>
    </row>
    <row r="1643" spans="2:6" x14ac:dyDescent="0.25">
      <c r="B1643" s="33">
        <v>1</v>
      </c>
      <c r="C1643" t="s">
        <v>103</v>
      </c>
      <c r="D1643" t="s">
        <v>167</v>
      </c>
      <c r="E1643">
        <v>11</v>
      </c>
      <c r="F1643" s="2">
        <v>3.8356164383561646E-2</v>
      </c>
    </row>
    <row r="1644" spans="2:6" x14ac:dyDescent="0.25">
      <c r="B1644" s="33">
        <v>1</v>
      </c>
      <c r="C1644" t="s">
        <v>66</v>
      </c>
      <c r="D1644" t="s">
        <v>122</v>
      </c>
      <c r="E1644">
        <v>12</v>
      </c>
      <c r="F1644" s="2">
        <v>3.8356164383561646E-2</v>
      </c>
    </row>
    <row r="1645" spans="2:6" x14ac:dyDescent="0.25">
      <c r="B1645" s="33">
        <v>1</v>
      </c>
      <c r="C1645" t="s">
        <v>66</v>
      </c>
      <c r="D1645" t="s">
        <v>211</v>
      </c>
      <c r="E1645">
        <v>9</v>
      </c>
      <c r="F1645" s="2">
        <v>3.5616438356164383E-2</v>
      </c>
    </row>
    <row r="1646" spans="2:6" x14ac:dyDescent="0.25">
      <c r="B1646" s="33">
        <v>1</v>
      </c>
      <c r="C1646" t="s">
        <v>69</v>
      </c>
      <c r="D1646" t="s">
        <v>70</v>
      </c>
      <c r="E1646">
        <v>13</v>
      </c>
      <c r="F1646" s="2">
        <v>2.1917808219178082E-2</v>
      </c>
    </row>
    <row r="1647" spans="2:6" x14ac:dyDescent="0.25">
      <c r="B1647" s="33">
        <v>1</v>
      </c>
      <c r="C1647" t="s">
        <v>126</v>
      </c>
      <c r="D1647" t="s">
        <v>171</v>
      </c>
      <c r="E1647">
        <v>13</v>
      </c>
      <c r="F1647" s="2">
        <v>3.287671232876712E-2</v>
      </c>
    </row>
    <row r="1648" spans="2:6" x14ac:dyDescent="0.25">
      <c r="B1648" s="33">
        <v>1</v>
      </c>
      <c r="C1648" t="s">
        <v>72</v>
      </c>
      <c r="D1648" t="s">
        <v>209</v>
      </c>
      <c r="E1648">
        <v>13</v>
      </c>
      <c r="F1648" s="2">
        <v>4.6575342465753428E-2</v>
      </c>
    </row>
    <row r="1649" spans="2:6" x14ac:dyDescent="0.25">
      <c r="B1649" s="33">
        <v>1</v>
      </c>
      <c r="C1649" t="s">
        <v>72</v>
      </c>
      <c r="D1649" t="s">
        <v>187</v>
      </c>
      <c r="E1649">
        <v>10</v>
      </c>
      <c r="F1649" s="2">
        <v>4.1095890410958902E-2</v>
      </c>
    </row>
    <row r="1650" spans="2:6" x14ac:dyDescent="0.25">
      <c r="B1650" s="33">
        <v>1</v>
      </c>
      <c r="C1650" t="s">
        <v>6</v>
      </c>
      <c r="D1650" t="s">
        <v>43</v>
      </c>
      <c r="E1650">
        <v>7</v>
      </c>
      <c r="F1650" s="2">
        <v>3.287671232876712E-2</v>
      </c>
    </row>
    <row r="1651" spans="2:6" x14ac:dyDescent="0.25">
      <c r="B1651" s="33">
        <v>1</v>
      </c>
      <c r="C1651" t="s">
        <v>3</v>
      </c>
      <c r="D1651" t="s">
        <v>79</v>
      </c>
      <c r="E1651">
        <v>10</v>
      </c>
      <c r="F1651" s="2">
        <v>3.0136986301369864E-2</v>
      </c>
    </row>
    <row r="1652" spans="2:6" x14ac:dyDescent="0.25">
      <c r="B1652" s="33">
        <v>1</v>
      </c>
      <c r="C1652" t="s">
        <v>6</v>
      </c>
      <c r="D1652" t="s">
        <v>38</v>
      </c>
      <c r="E1652">
        <v>18</v>
      </c>
      <c r="F1652" s="2">
        <v>3.287671232876712E-2</v>
      </c>
    </row>
    <row r="1653" spans="2:6" x14ac:dyDescent="0.25">
      <c r="B1653" s="33">
        <v>1</v>
      </c>
      <c r="C1653" t="s">
        <v>72</v>
      </c>
      <c r="D1653" t="s">
        <v>163</v>
      </c>
      <c r="E1653">
        <v>21</v>
      </c>
      <c r="F1653" s="2">
        <v>4.9315068493150684E-2</v>
      </c>
    </row>
    <row r="1654" spans="2:6" x14ac:dyDescent="0.25">
      <c r="B1654" s="33">
        <v>1</v>
      </c>
      <c r="C1654" t="s">
        <v>126</v>
      </c>
      <c r="D1654" t="s">
        <v>147</v>
      </c>
      <c r="E1654">
        <v>18</v>
      </c>
      <c r="F1654" s="2">
        <v>4.1095890410958902E-2</v>
      </c>
    </row>
    <row r="1655" spans="2:6" x14ac:dyDescent="0.25">
      <c r="B1655" s="33">
        <v>1</v>
      </c>
      <c r="C1655" t="s">
        <v>66</v>
      </c>
      <c r="D1655" t="s">
        <v>129</v>
      </c>
      <c r="E1655">
        <v>22</v>
      </c>
      <c r="F1655" s="2">
        <v>5.2054794520547946E-2</v>
      </c>
    </row>
    <row r="1656" spans="2:6" x14ac:dyDescent="0.25">
      <c r="B1656" s="33">
        <v>1</v>
      </c>
      <c r="C1656" t="s">
        <v>69</v>
      </c>
      <c r="D1656" t="s">
        <v>215</v>
      </c>
      <c r="E1656">
        <v>17</v>
      </c>
      <c r="F1656" s="2">
        <v>1.9178082191780823E-2</v>
      </c>
    </row>
    <row r="1657" spans="2:6" x14ac:dyDescent="0.25">
      <c r="B1657" s="33">
        <v>1</v>
      </c>
      <c r="C1657" t="s">
        <v>77</v>
      </c>
      <c r="D1657" t="s">
        <v>196</v>
      </c>
      <c r="E1657">
        <v>16</v>
      </c>
      <c r="F1657" s="2">
        <v>2.4657534246575342E-2</v>
      </c>
    </row>
    <row r="1658" spans="2:6" x14ac:dyDescent="0.25">
      <c r="B1658" s="33">
        <v>1</v>
      </c>
      <c r="C1658" t="s">
        <v>2</v>
      </c>
      <c r="D1658" t="s">
        <v>185</v>
      </c>
      <c r="E1658">
        <v>19</v>
      </c>
      <c r="F1658" s="2">
        <v>3.0136986301369864E-2</v>
      </c>
    </row>
    <row r="1659" spans="2:6" x14ac:dyDescent="0.25">
      <c r="B1659" s="33">
        <v>1</v>
      </c>
      <c r="C1659" t="s">
        <v>88</v>
      </c>
      <c r="D1659" t="s">
        <v>160</v>
      </c>
      <c r="E1659">
        <v>20</v>
      </c>
      <c r="F1659" s="2">
        <v>4.1095890410958902E-2</v>
      </c>
    </row>
    <row r="1660" spans="2:6" x14ac:dyDescent="0.25">
      <c r="B1660" s="33">
        <v>1</v>
      </c>
      <c r="C1660" t="s">
        <v>88</v>
      </c>
      <c r="D1660" t="s">
        <v>160</v>
      </c>
      <c r="E1660">
        <v>21</v>
      </c>
      <c r="F1660" s="2">
        <v>4.1095890410958902E-2</v>
      </c>
    </row>
    <row r="1661" spans="2:6" x14ac:dyDescent="0.25">
      <c r="B1661" s="33">
        <v>1</v>
      </c>
      <c r="C1661" t="s">
        <v>6</v>
      </c>
      <c r="D1661" t="s">
        <v>44</v>
      </c>
      <c r="E1661">
        <v>10</v>
      </c>
      <c r="F1661" s="2">
        <v>3.287671232876712E-2</v>
      </c>
    </row>
    <row r="1662" spans="2:6" x14ac:dyDescent="0.25">
      <c r="B1662" s="33">
        <v>1</v>
      </c>
      <c r="C1662" t="s">
        <v>2</v>
      </c>
      <c r="D1662" t="s">
        <v>118</v>
      </c>
      <c r="E1662">
        <v>17</v>
      </c>
      <c r="F1662" s="2">
        <v>3.0136986301369864E-2</v>
      </c>
    </row>
    <row r="1663" spans="2:6" x14ac:dyDescent="0.25">
      <c r="B1663" s="33">
        <v>1</v>
      </c>
      <c r="C1663" t="s">
        <v>77</v>
      </c>
      <c r="D1663" t="s">
        <v>123</v>
      </c>
      <c r="E1663">
        <v>20</v>
      </c>
      <c r="F1663" s="2">
        <v>2.4657534246575342E-2</v>
      </c>
    </row>
    <row r="1664" spans="2:6" x14ac:dyDescent="0.25">
      <c r="B1664" s="33">
        <v>1</v>
      </c>
      <c r="C1664" t="s">
        <v>64</v>
      </c>
      <c r="D1664" t="s">
        <v>175</v>
      </c>
      <c r="E1664">
        <v>20</v>
      </c>
      <c r="F1664" s="2">
        <v>1.0958904109589041E-2</v>
      </c>
    </row>
    <row r="1665" spans="2:6" x14ac:dyDescent="0.25">
      <c r="B1665" s="33">
        <v>1</v>
      </c>
      <c r="C1665" t="s">
        <v>64</v>
      </c>
      <c r="D1665" t="s">
        <v>179</v>
      </c>
      <c r="E1665">
        <v>20</v>
      </c>
      <c r="F1665" s="2">
        <v>2.7397260273972601E-2</v>
      </c>
    </row>
    <row r="1666" spans="2:6" x14ac:dyDescent="0.25">
      <c r="B1666" s="33">
        <v>1</v>
      </c>
      <c r="C1666" t="s">
        <v>64</v>
      </c>
      <c r="D1666" t="s">
        <v>165</v>
      </c>
      <c r="E1666">
        <v>21</v>
      </c>
      <c r="F1666" s="2">
        <v>5.4794520547945206E-3</v>
      </c>
    </row>
    <row r="1667" spans="2:6" x14ac:dyDescent="0.25">
      <c r="B1667" s="33">
        <v>1</v>
      </c>
      <c r="C1667" t="s">
        <v>1</v>
      </c>
      <c r="D1667" t="s">
        <v>216</v>
      </c>
      <c r="E1667">
        <v>17</v>
      </c>
      <c r="F1667" s="2">
        <v>3.287671232876712E-2</v>
      </c>
    </row>
    <row r="1668" spans="2:6" x14ac:dyDescent="0.25">
      <c r="B1668" s="33">
        <v>1</v>
      </c>
      <c r="C1668" t="s">
        <v>64</v>
      </c>
      <c r="D1668" t="s">
        <v>71</v>
      </c>
      <c r="E1668">
        <v>21</v>
      </c>
      <c r="F1668" s="2">
        <v>8.7671232876712329E-2</v>
      </c>
    </row>
    <row r="1669" spans="2:6" x14ac:dyDescent="0.25">
      <c r="B1669" s="33">
        <v>1</v>
      </c>
      <c r="C1669" t="s">
        <v>6</v>
      </c>
      <c r="D1669" t="s">
        <v>28</v>
      </c>
      <c r="E1669">
        <v>6</v>
      </c>
      <c r="F1669" s="2">
        <v>3.287671232876712E-2</v>
      </c>
    </row>
    <row r="1670" spans="2:6" x14ac:dyDescent="0.25">
      <c r="B1670" s="33">
        <v>1</v>
      </c>
      <c r="C1670" t="s">
        <v>74</v>
      </c>
      <c r="D1670" t="s">
        <v>130</v>
      </c>
      <c r="E1670">
        <v>23</v>
      </c>
      <c r="F1670" s="2">
        <v>5.2054794520547946E-2</v>
      </c>
    </row>
    <row r="1671" spans="2:6" x14ac:dyDescent="0.25">
      <c r="B1671" s="33">
        <v>1</v>
      </c>
      <c r="C1671" t="s">
        <v>3</v>
      </c>
      <c r="D1671" t="s">
        <v>173</v>
      </c>
      <c r="E1671">
        <v>18</v>
      </c>
      <c r="F1671" s="2">
        <v>2.7397260273972601E-2</v>
      </c>
    </row>
    <row r="1672" spans="2:6" x14ac:dyDescent="0.25">
      <c r="B1672" s="33">
        <v>1</v>
      </c>
      <c r="C1672" t="s">
        <v>64</v>
      </c>
      <c r="D1672" t="s">
        <v>121</v>
      </c>
      <c r="E1672">
        <v>23</v>
      </c>
      <c r="F1672" s="2">
        <v>1.9178082191780823E-2</v>
      </c>
    </row>
    <row r="1673" spans="2:6" x14ac:dyDescent="0.25">
      <c r="B1673" s="33">
        <v>1</v>
      </c>
      <c r="C1673" t="s">
        <v>77</v>
      </c>
      <c r="D1673" t="s">
        <v>136</v>
      </c>
      <c r="E1673">
        <v>17</v>
      </c>
      <c r="F1673" s="2">
        <v>2.4657534246575342E-2</v>
      </c>
    </row>
    <row r="1674" spans="2:6" x14ac:dyDescent="0.25">
      <c r="B1674" s="33">
        <v>1</v>
      </c>
      <c r="C1674" t="s">
        <v>72</v>
      </c>
      <c r="D1674" t="s">
        <v>149</v>
      </c>
      <c r="E1674">
        <v>6</v>
      </c>
      <c r="F1674" s="2">
        <v>2.4657534246575342E-2</v>
      </c>
    </row>
    <row r="1675" spans="2:6" x14ac:dyDescent="0.25">
      <c r="B1675" s="33">
        <v>1</v>
      </c>
      <c r="C1675" t="s">
        <v>64</v>
      </c>
      <c r="D1675" t="s">
        <v>99</v>
      </c>
      <c r="E1675">
        <v>5</v>
      </c>
      <c r="F1675" s="2">
        <v>2.4657534246575342E-2</v>
      </c>
    </row>
    <row r="1676" spans="2:6" x14ac:dyDescent="0.25">
      <c r="B1676" s="33">
        <v>1</v>
      </c>
      <c r="C1676" t="s">
        <v>66</v>
      </c>
      <c r="D1676" t="s">
        <v>80</v>
      </c>
      <c r="E1676">
        <v>2</v>
      </c>
      <c r="F1676" s="2">
        <v>2.7397260273972601E-2</v>
      </c>
    </row>
    <row r="1677" spans="2:6" x14ac:dyDescent="0.25">
      <c r="B1677" s="33">
        <v>1</v>
      </c>
      <c r="C1677" t="s">
        <v>3</v>
      </c>
      <c r="D1677" t="s">
        <v>138</v>
      </c>
      <c r="E1677">
        <v>5</v>
      </c>
      <c r="F1677" s="2">
        <v>1.643835616438356E-2</v>
      </c>
    </row>
    <row r="1678" spans="2:6" x14ac:dyDescent="0.25">
      <c r="B1678" s="33">
        <v>1</v>
      </c>
      <c r="C1678" t="s">
        <v>66</v>
      </c>
      <c r="D1678" t="s">
        <v>135</v>
      </c>
      <c r="E1678">
        <v>2</v>
      </c>
      <c r="F1678" s="2">
        <v>2.7397260273972601E-2</v>
      </c>
    </row>
    <row r="1679" spans="2:6" x14ac:dyDescent="0.25">
      <c r="B1679" s="33">
        <v>1</v>
      </c>
      <c r="C1679" t="s">
        <v>77</v>
      </c>
      <c r="D1679" t="s">
        <v>78</v>
      </c>
      <c r="E1679">
        <v>13</v>
      </c>
      <c r="F1679" s="2">
        <v>3.0136986301369864E-2</v>
      </c>
    </row>
    <row r="1680" spans="2:6" x14ac:dyDescent="0.25">
      <c r="B1680" s="33">
        <v>1</v>
      </c>
      <c r="C1680" t="s">
        <v>3</v>
      </c>
      <c r="D1680" t="s">
        <v>188</v>
      </c>
      <c r="E1680">
        <v>15</v>
      </c>
      <c r="F1680" s="2">
        <v>3.0136986301369864E-2</v>
      </c>
    </row>
    <row r="1681" spans="2:6" x14ac:dyDescent="0.25">
      <c r="B1681" s="33">
        <v>1</v>
      </c>
      <c r="C1681" t="s">
        <v>69</v>
      </c>
      <c r="D1681" t="s">
        <v>148</v>
      </c>
      <c r="E1681">
        <v>12</v>
      </c>
      <c r="F1681" s="2">
        <v>2.1917808219178082E-2</v>
      </c>
    </row>
    <row r="1682" spans="2:6" x14ac:dyDescent="0.25">
      <c r="B1682" s="33">
        <v>1</v>
      </c>
      <c r="C1682" t="s">
        <v>103</v>
      </c>
      <c r="D1682" t="s">
        <v>194</v>
      </c>
      <c r="E1682">
        <v>10</v>
      </c>
      <c r="F1682" s="2">
        <v>3.8356164383561646E-2</v>
      </c>
    </row>
    <row r="1683" spans="2:6" x14ac:dyDescent="0.25">
      <c r="B1683" s="33">
        <v>1</v>
      </c>
      <c r="C1683" t="s">
        <v>1</v>
      </c>
      <c r="D1683" t="s">
        <v>189</v>
      </c>
      <c r="E1683">
        <v>12</v>
      </c>
      <c r="F1683" s="2">
        <v>3.287671232876712E-2</v>
      </c>
    </row>
    <row r="1684" spans="2:6" x14ac:dyDescent="0.25">
      <c r="B1684" s="33">
        <v>1</v>
      </c>
      <c r="C1684" t="s">
        <v>1</v>
      </c>
      <c r="D1684" t="s">
        <v>214</v>
      </c>
      <c r="E1684">
        <v>15</v>
      </c>
      <c r="F1684" s="2">
        <v>3.287671232876712E-2</v>
      </c>
    </row>
    <row r="1685" spans="2:6" x14ac:dyDescent="0.25">
      <c r="B1685" s="33">
        <v>1</v>
      </c>
      <c r="C1685" t="s">
        <v>1</v>
      </c>
      <c r="D1685" t="s">
        <v>214</v>
      </c>
      <c r="E1685">
        <v>8</v>
      </c>
      <c r="F1685" s="2">
        <v>3.0136986301369864E-2</v>
      </c>
    </row>
    <row r="1686" spans="2:6" x14ac:dyDescent="0.25">
      <c r="B1686" s="33">
        <v>1</v>
      </c>
      <c r="C1686" t="s">
        <v>77</v>
      </c>
      <c r="D1686" t="s">
        <v>78</v>
      </c>
      <c r="E1686">
        <v>9</v>
      </c>
      <c r="F1686" s="2">
        <v>3.0136986301369864E-2</v>
      </c>
    </row>
    <row r="1687" spans="2:6" x14ac:dyDescent="0.25">
      <c r="B1687" s="33">
        <v>1</v>
      </c>
      <c r="C1687" t="s">
        <v>103</v>
      </c>
      <c r="D1687" t="s">
        <v>194</v>
      </c>
      <c r="E1687">
        <v>13</v>
      </c>
      <c r="F1687" s="2">
        <v>3.8356164383561646E-2</v>
      </c>
    </row>
    <row r="1688" spans="2:6" x14ac:dyDescent="0.25">
      <c r="B1688" s="33">
        <v>1</v>
      </c>
      <c r="C1688" t="s">
        <v>3</v>
      </c>
      <c r="D1688" t="s">
        <v>173</v>
      </c>
      <c r="E1688">
        <v>11</v>
      </c>
      <c r="F1688" s="2">
        <v>3.0136986301369864E-2</v>
      </c>
    </row>
    <row r="1689" spans="2:6" x14ac:dyDescent="0.25">
      <c r="B1689" s="33">
        <v>1</v>
      </c>
      <c r="C1689" t="s">
        <v>1</v>
      </c>
      <c r="D1689" t="s">
        <v>189</v>
      </c>
      <c r="E1689">
        <v>11</v>
      </c>
      <c r="F1689" s="2">
        <v>2.7397260273972601E-2</v>
      </c>
    </row>
    <row r="1690" spans="2:6" x14ac:dyDescent="0.25">
      <c r="B1690" s="33">
        <v>1</v>
      </c>
      <c r="C1690" t="s">
        <v>6</v>
      </c>
      <c r="D1690" t="s">
        <v>43</v>
      </c>
      <c r="E1690">
        <v>21</v>
      </c>
      <c r="F1690" s="2">
        <v>3.287671232876712E-2</v>
      </c>
    </row>
    <row r="1691" spans="2:6" x14ac:dyDescent="0.25">
      <c r="B1691" s="33">
        <v>1</v>
      </c>
      <c r="C1691" t="s">
        <v>3</v>
      </c>
      <c r="D1691" t="s">
        <v>191</v>
      </c>
      <c r="E1691">
        <v>15</v>
      </c>
      <c r="F1691" s="2">
        <v>3.0136986301369864E-2</v>
      </c>
    </row>
    <row r="1692" spans="2:6" x14ac:dyDescent="0.25">
      <c r="B1692" s="33">
        <v>1</v>
      </c>
      <c r="C1692" t="s">
        <v>77</v>
      </c>
      <c r="D1692" t="s">
        <v>145</v>
      </c>
      <c r="E1692">
        <v>14</v>
      </c>
      <c r="F1692" s="2">
        <v>2.7397260273972601E-2</v>
      </c>
    </row>
    <row r="1693" spans="2:6" x14ac:dyDescent="0.25">
      <c r="B1693" s="33">
        <v>1</v>
      </c>
      <c r="C1693" t="s">
        <v>66</v>
      </c>
      <c r="D1693" t="s">
        <v>122</v>
      </c>
      <c r="E1693">
        <v>19</v>
      </c>
      <c r="F1693" s="2">
        <v>5.2054794520547946E-2</v>
      </c>
    </row>
    <row r="1694" spans="2:6" x14ac:dyDescent="0.25">
      <c r="B1694" s="33">
        <v>1</v>
      </c>
      <c r="C1694" t="s">
        <v>1</v>
      </c>
      <c r="D1694" t="s">
        <v>155</v>
      </c>
      <c r="E1694">
        <v>22</v>
      </c>
      <c r="F1694" s="2">
        <v>3.287671232876712E-2</v>
      </c>
    </row>
    <row r="1695" spans="2:6" x14ac:dyDescent="0.25">
      <c r="B1695" s="33">
        <v>1</v>
      </c>
      <c r="C1695" t="s">
        <v>77</v>
      </c>
      <c r="D1695" t="s">
        <v>162</v>
      </c>
      <c r="E1695">
        <v>17</v>
      </c>
      <c r="F1695" s="2">
        <v>2.1917808219178082E-2</v>
      </c>
    </row>
    <row r="1696" spans="2:6" x14ac:dyDescent="0.25">
      <c r="B1696" s="33">
        <v>1</v>
      </c>
      <c r="C1696" t="s">
        <v>77</v>
      </c>
      <c r="D1696" t="s">
        <v>83</v>
      </c>
      <c r="E1696">
        <v>18</v>
      </c>
      <c r="F1696" s="2">
        <v>2.1917808219178082E-2</v>
      </c>
    </row>
    <row r="1697" spans="2:6" x14ac:dyDescent="0.25">
      <c r="B1697" s="33">
        <v>1</v>
      </c>
      <c r="C1697" t="s">
        <v>1</v>
      </c>
      <c r="D1697" t="s">
        <v>200</v>
      </c>
      <c r="E1697">
        <v>16</v>
      </c>
      <c r="F1697" s="2">
        <v>2.7397260273972601E-2</v>
      </c>
    </row>
    <row r="1698" spans="2:6" x14ac:dyDescent="0.25">
      <c r="B1698" s="33">
        <v>1</v>
      </c>
      <c r="C1698" t="s">
        <v>3</v>
      </c>
      <c r="D1698" t="s">
        <v>207</v>
      </c>
      <c r="E1698">
        <v>16</v>
      </c>
      <c r="F1698" s="2">
        <v>2.7397260273972601E-2</v>
      </c>
    </row>
    <row r="1699" spans="2:6" x14ac:dyDescent="0.25">
      <c r="B1699" s="33">
        <v>1</v>
      </c>
      <c r="C1699" t="s">
        <v>1</v>
      </c>
      <c r="D1699" t="s">
        <v>176</v>
      </c>
      <c r="E1699">
        <v>19</v>
      </c>
      <c r="F1699" s="2">
        <v>2.7397260273972601E-2</v>
      </c>
    </row>
    <row r="1700" spans="2:6" x14ac:dyDescent="0.25">
      <c r="B1700" s="33">
        <v>1</v>
      </c>
      <c r="C1700" t="s">
        <v>77</v>
      </c>
      <c r="D1700" t="s">
        <v>205</v>
      </c>
      <c r="E1700">
        <v>19</v>
      </c>
      <c r="F1700" s="2">
        <v>2.1917808219178082E-2</v>
      </c>
    </row>
    <row r="1701" spans="2:6" x14ac:dyDescent="0.25">
      <c r="B1701" s="33">
        <v>1</v>
      </c>
      <c r="C1701" t="s">
        <v>3</v>
      </c>
      <c r="D1701" t="s">
        <v>161</v>
      </c>
      <c r="E1701">
        <v>19</v>
      </c>
      <c r="F1701" s="2">
        <v>2.7397260273972601E-2</v>
      </c>
    </row>
    <row r="1702" spans="2:6" x14ac:dyDescent="0.25">
      <c r="B1702" s="33">
        <v>1</v>
      </c>
      <c r="C1702" t="s">
        <v>77</v>
      </c>
      <c r="D1702" t="s">
        <v>97</v>
      </c>
      <c r="E1702">
        <v>18</v>
      </c>
      <c r="F1702" s="2">
        <v>2.1917808219178082E-2</v>
      </c>
    </row>
    <row r="1703" spans="2:6" x14ac:dyDescent="0.25">
      <c r="B1703" s="33">
        <v>1</v>
      </c>
      <c r="C1703" t="s">
        <v>126</v>
      </c>
      <c r="D1703" t="s">
        <v>169</v>
      </c>
      <c r="E1703">
        <v>17</v>
      </c>
      <c r="F1703" s="2">
        <v>3.8356164383561646E-2</v>
      </c>
    </row>
    <row r="1704" spans="2:6" x14ac:dyDescent="0.25">
      <c r="B1704" s="33">
        <v>1</v>
      </c>
      <c r="C1704" t="s">
        <v>126</v>
      </c>
      <c r="D1704" t="s">
        <v>131</v>
      </c>
      <c r="E1704">
        <v>20</v>
      </c>
      <c r="F1704" s="2">
        <v>3.5616438356164383E-2</v>
      </c>
    </row>
    <row r="1705" spans="2:6" x14ac:dyDescent="0.25">
      <c r="B1705" s="33">
        <v>1</v>
      </c>
      <c r="C1705" t="s">
        <v>126</v>
      </c>
      <c r="D1705" t="s">
        <v>171</v>
      </c>
      <c r="E1705">
        <v>16</v>
      </c>
      <c r="F1705" s="2">
        <v>3.5616438356164383E-2</v>
      </c>
    </row>
    <row r="1706" spans="2:6" x14ac:dyDescent="0.25">
      <c r="B1706" s="33">
        <v>1</v>
      </c>
      <c r="C1706" t="s">
        <v>0</v>
      </c>
      <c r="D1706" t="s">
        <v>95</v>
      </c>
      <c r="E1706">
        <v>20</v>
      </c>
      <c r="F1706" s="2">
        <v>0.12328767123287671</v>
      </c>
    </row>
    <row r="1707" spans="2:6" x14ac:dyDescent="0.25">
      <c r="B1707" s="33">
        <v>1</v>
      </c>
      <c r="C1707" t="s">
        <v>90</v>
      </c>
      <c r="D1707" t="s">
        <v>164</v>
      </c>
      <c r="E1707">
        <v>21</v>
      </c>
      <c r="F1707" s="2">
        <v>4.6575342465753428E-2</v>
      </c>
    </row>
    <row r="1708" spans="2:6" x14ac:dyDescent="0.25">
      <c r="B1708" s="33">
        <v>1</v>
      </c>
      <c r="C1708" t="s">
        <v>66</v>
      </c>
      <c r="D1708" t="s">
        <v>211</v>
      </c>
      <c r="E1708">
        <v>17</v>
      </c>
      <c r="F1708" s="2">
        <v>4.9315068493150684E-2</v>
      </c>
    </row>
    <row r="1709" spans="2:6" x14ac:dyDescent="0.25">
      <c r="B1709" s="33">
        <v>1</v>
      </c>
      <c r="C1709" t="s">
        <v>77</v>
      </c>
      <c r="D1709" t="s">
        <v>78</v>
      </c>
      <c r="E1709">
        <v>23</v>
      </c>
      <c r="F1709" s="2">
        <v>2.1917808219178082E-2</v>
      </c>
    </row>
    <row r="1710" spans="2:6" x14ac:dyDescent="0.25">
      <c r="B1710" s="33">
        <v>1</v>
      </c>
      <c r="C1710" t="s">
        <v>1</v>
      </c>
      <c r="D1710" t="s">
        <v>214</v>
      </c>
      <c r="E1710">
        <v>16</v>
      </c>
      <c r="F1710" s="2">
        <v>2.7397260273972601E-2</v>
      </c>
    </row>
    <row r="1711" spans="2:6" x14ac:dyDescent="0.25">
      <c r="B1711" s="33">
        <v>1</v>
      </c>
      <c r="C1711" t="s">
        <v>3</v>
      </c>
      <c r="D1711" t="s">
        <v>195</v>
      </c>
      <c r="E1711">
        <v>21</v>
      </c>
      <c r="F1711" s="2">
        <v>2.4657534246575342E-2</v>
      </c>
    </row>
    <row r="1712" spans="2:6" x14ac:dyDescent="0.25">
      <c r="B1712" s="33">
        <v>1</v>
      </c>
      <c r="C1712" t="s">
        <v>64</v>
      </c>
      <c r="D1712" t="s">
        <v>68</v>
      </c>
      <c r="E1712">
        <v>5</v>
      </c>
      <c r="F1712" s="2">
        <v>2.4657534246575342E-2</v>
      </c>
    </row>
    <row r="1713" spans="2:6" x14ac:dyDescent="0.25">
      <c r="B1713" s="33">
        <v>1</v>
      </c>
      <c r="C1713" t="s">
        <v>3</v>
      </c>
      <c r="D1713" t="s">
        <v>191</v>
      </c>
      <c r="E1713">
        <v>0</v>
      </c>
      <c r="F1713" s="2">
        <v>1.643835616438356E-2</v>
      </c>
    </row>
    <row r="1714" spans="2:6" x14ac:dyDescent="0.25">
      <c r="B1714" s="33">
        <v>1</v>
      </c>
      <c r="C1714" t="s">
        <v>3</v>
      </c>
      <c r="D1714" t="s">
        <v>195</v>
      </c>
      <c r="E1714">
        <v>0</v>
      </c>
      <c r="F1714" s="2">
        <v>1.643835616438356E-2</v>
      </c>
    </row>
    <row r="1715" spans="2:6" x14ac:dyDescent="0.25">
      <c r="B1715" s="33">
        <v>1</v>
      </c>
      <c r="C1715" t="s">
        <v>3</v>
      </c>
      <c r="D1715" t="s">
        <v>157</v>
      </c>
      <c r="E1715">
        <v>0</v>
      </c>
      <c r="F1715" s="2">
        <v>1.643835616438356E-2</v>
      </c>
    </row>
    <row r="1716" spans="2:6" x14ac:dyDescent="0.25">
      <c r="B1716" s="33">
        <v>1</v>
      </c>
      <c r="C1716" t="s">
        <v>77</v>
      </c>
      <c r="D1716" t="s">
        <v>142</v>
      </c>
      <c r="E1716">
        <v>3</v>
      </c>
      <c r="F1716" s="2">
        <v>1.3698630136986301E-2</v>
      </c>
    </row>
    <row r="1717" spans="2:6" x14ac:dyDescent="0.25">
      <c r="B1717" s="33">
        <v>1</v>
      </c>
      <c r="C1717" t="s">
        <v>4</v>
      </c>
      <c r="D1717" t="s">
        <v>166</v>
      </c>
      <c r="E1717">
        <v>3</v>
      </c>
      <c r="F1717" s="2">
        <v>8.21917808219178E-3</v>
      </c>
    </row>
    <row r="1718" spans="2:6" x14ac:dyDescent="0.25">
      <c r="B1718" s="33">
        <v>1</v>
      </c>
      <c r="C1718" t="s">
        <v>64</v>
      </c>
      <c r="D1718" t="s">
        <v>71</v>
      </c>
      <c r="E1718">
        <v>4</v>
      </c>
      <c r="F1718" s="2">
        <v>2.4657534246575342E-2</v>
      </c>
    </row>
    <row r="1719" spans="2:6" x14ac:dyDescent="0.25">
      <c r="B1719" s="33">
        <v>1</v>
      </c>
      <c r="C1719" t="s">
        <v>1</v>
      </c>
      <c r="D1719" t="s">
        <v>200</v>
      </c>
      <c r="E1719">
        <v>7</v>
      </c>
      <c r="F1719" s="2">
        <v>2.4657534246575342E-2</v>
      </c>
    </row>
    <row r="1720" spans="2:6" x14ac:dyDescent="0.25">
      <c r="B1720" s="33">
        <v>1</v>
      </c>
      <c r="C1720" t="s">
        <v>69</v>
      </c>
      <c r="D1720" t="s">
        <v>128</v>
      </c>
      <c r="E1720">
        <v>7</v>
      </c>
      <c r="F1720" s="2">
        <v>1.3698630136986301E-2</v>
      </c>
    </row>
    <row r="1721" spans="2:6" x14ac:dyDescent="0.25">
      <c r="B1721" s="33">
        <v>1</v>
      </c>
      <c r="C1721" t="s">
        <v>88</v>
      </c>
      <c r="D1721" t="s">
        <v>89</v>
      </c>
      <c r="E1721">
        <v>5</v>
      </c>
      <c r="F1721" s="2">
        <v>2.4657534246575342E-2</v>
      </c>
    </row>
    <row r="1722" spans="2:6" x14ac:dyDescent="0.25">
      <c r="B1722" s="33">
        <v>1</v>
      </c>
      <c r="C1722" t="s">
        <v>77</v>
      </c>
      <c r="D1722" t="s">
        <v>192</v>
      </c>
      <c r="E1722">
        <v>5</v>
      </c>
      <c r="F1722" s="2">
        <v>1.3698630136986301E-2</v>
      </c>
    </row>
    <row r="1723" spans="2:6" x14ac:dyDescent="0.25">
      <c r="B1723" s="33">
        <v>1</v>
      </c>
      <c r="C1723" t="s">
        <v>77</v>
      </c>
      <c r="D1723" t="s">
        <v>146</v>
      </c>
      <c r="E1723">
        <v>0</v>
      </c>
      <c r="F1723" s="2">
        <v>1.3698630136986301E-2</v>
      </c>
    </row>
    <row r="1724" spans="2:6" x14ac:dyDescent="0.25">
      <c r="B1724" s="33">
        <v>1</v>
      </c>
      <c r="C1724" t="s">
        <v>72</v>
      </c>
      <c r="D1724" t="s">
        <v>76</v>
      </c>
      <c r="E1724">
        <v>4</v>
      </c>
      <c r="F1724" s="2">
        <v>2.4657534246575342E-2</v>
      </c>
    </row>
    <row r="1725" spans="2:6" x14ac:dyDescent="0.25">
      <c r="B1725" s="33">
        <v>1</v>
      </c>
      <c r="C1725" t="s">
        <v>64</v>
      </c>
      <c r="D1725" t="s">
        <v>68</v>
      </c>
      <c r="E1725">
        <v>4</v>
      </c>
      <c r="F1725" s="2">
        <v>2.4657534246575342E-2</v>
      </c>
    </row>
    <row r="1726" spans="2:6" x14ac:dyDescent="0.25">
      <c r="B1726" s="33">
        <v>1</v>
      </c>
      <c r="C1726" t="s">
        <v>66</v>
      </c>
      <c r="D1726" t="s">
        <v>67</v>
      </c>
      <c r="E1726">
        <v>3</v>
      </c>
      <c r="F1726" s="2">
        <v>2.7397260273972601E-2</v>
      </c>
    </row>
    <row r="1727" spans="2:6" x14ac:dyDescent="0.25">
      <c r="B1727" s="33">
        <v>1</v>
      </c>
      <c r="C1727" t="s">
        <v>3</v>
      </c>
      <c r="D1727" t="s">
        <v>180</v>
      </c>
      <c r="E1727">
        <v>8</v>
      </c>
      <c r="F1727" s="2">
        <v>2.7397260273972601E-2</v>
      </c>
    </row>
    <row r="1728" spans="2:6" x14ac:dyDescent="0.25">
      <c r="B1728" s="33">
        <v>1</v>
      </c>
      <c r="C1728" t="s">
        <v>77</v>
      </c>
      <c r="D1728" t="s">
        <v>162</v>
      </c>
      <c r="E1728">
        <v>15</v>
      </c>
      <c r="F1728" s="2">
        <v>2.7397260273972601E-2</v>
      </c>
    </row>
    <row r="1729" spans="2:6" x14ac:dyDescent="0.25">
      <c r="B1729" s="33">
        <v>1</v>
      </c>
      <c r="C1729" t="s">
        <v>77</v>
      </c>
      <c r="D1729" t="s">
        <v>210</v>
      </c>
      <c r="E1729">
        <v>8</v>
      </c>
      <c r="F1729" s="2">
        <v>2.4657534246575342E-2</v>
      </c>
    </row>
    <row r="1730" spans="2:6" x14ac:dyDescent="0.25">
      <c r="B1730" s="33">
        <v>1</v>
      </c>
      <c r="C1730" t="s">
        <v>66</v>
      </c>
      <c r="D1730" t="s">
        <v>135</v>
      </c>
      <c r="E1730">
        <v>14</v>
      </c>
      <c r="F1730" s="2">
        <v>3.5616438356164383E-2</v>
      </c>
    </row>
    <row r="1731" spans="2:6" x14ac:dyDescent="0.25">
      <c r="B1731" s="33">
        <v>1</v>
      </c>
      <c r="C1731" t="s">
        <v>88</v>
      </c>
      <c r="D1731" t="s">
        <v>160</v>
      </c>
      <c r="E1731">
        <v>13</v>
      </c>
      <c r="F1731" s="2">
        <v>6.0273972602739728E-2</v>
      </c>
    </row>
    <row r="1732" spans="2:6" x14ac:dyDescent="0.25">
      <c r="B1732" s="33">
        <v>1</v>
      </c>
      <c r="C1732" t="s">
        <v>6</v>
      </c>
      <c r="D1732" t="s">
        <v>25</v>
      </c>
      <c r="E1732">
        <v>20</v>
      </c>
      <c r="F1732" s="2">
        <v>3.287671232876712E-2</v>
      </c>
    </row>
    <row r="1733" spans="2:6" x14ac:dyDescent="0.25">
      <c r="B1733" s="33">
        <v>1</v>
      </c>
      <c r="C1733" t="s">
        <v>69</v>
      </c>
      <c r="D1733" t="s">
        <v>184</v>
      </c>
      <c r="E1733">
        <v>10</v>
      </c>
      <c r="F1733" s="2">
        <v>2.1917808219178082E-2</v>
      </c>
    </row>
    <row r="1734" spans="2:6" x14ac:dyDescent="0.25">
      <c r="B1734" s="33">
        <v>1</v>
      </c>
      <c r="C1734" t="s">
        <v>66</v>
      </c>
      <c r="D1734" t="s">
        <v>202</v>
      </c>
      <c r="E1734">
        <v>9</v>
      </c>
      <c r="F1734" s="2">
        <v>3.5616438356164383E-2</v>
      </c>
    </row>
    <row r="1735" spans="2:6" x14ac:dyDescent="0.25">
      <c r="B1735" s="33">
        <v>1</v>
      </c>
      <c r="C1735" t="s">
        <v>72</v>
      </c>
      <c r="D1735" t="s">
        <v>209</v>
      </c>
      <c r="E1735">
        <v>10</v>
      </c>
      <c r="F1735" s="2">
        <v>4.1095890410958902E-2</v>
      </c>
    </row>
    <row r="1736" spans="2:6" x14ac:dyDescent="0.25">
      <c r="B1736" s="33">
        <v>1</v>
      </c>
      <c r="C1736" t="s">
        <v>77</v>
      </c>
      <c r="D1736" t="s">
        <v>101</v>
      </c>
      <c r="E1736">
        <v>15</v>
      </c>
      <c r="F1736" s="2">
        <v>2.4657534246575342E-2</v>
      </c>
    </row>
    <row r="1737" spans="2:6" x14ac:dyDescent="0.25">
      <c r="B1737" s="33">
        <v>1</v>
      </c>
      <c r="C1737" t="s">
        <v>2</v>
      </c>
      <c r="D1737" t="s">
        <v>170</v>
      </c>
      <c r="E1737">
        <v>11</v>
      </c>
      <c r="F1737" s="2">
        <v>2.1917808219178082E-2</v>
      </c>
    </row>
    <row r="1738" spans="2:6" x14ac:dyDescent="0.25">
      <c r="B1738" s="33">
        <v>1</v>
      </c>
      <c r="C1738" t="s">
        <v>2</v>
      </c>
      <c r="D1738" t="s">
        <v>102</v>
      </c>
      <c r="E1738">
        <v>17</v>
      </c>
      <c r="F1738" s="2">
        <v>2.7397260273972601E-2</v>
      </c>
    </row>
    <row r="1739" spans="2:6" x14ac:dyDescent="0.25">
      <c r="B1739" s="33">
        <v>1</v>
      </c>
      <c r="C1739" t="s">
        <v>1</v>
      </c>
      <c r="D1739" t="s">
        <v>214</v>
      </c>
      <c r="E1739">
        <v>18</v>
      </c>
      <c r="F1739" s="2">
        <v>2.7397260273972601E-2</v>
      </c>
    </row>
    <row r="1740" spans="2:6" x14ac:dyDescent="0.25">
      <c r="B1740" s="33">
        <v>1</v>
      </c>
      <c r="C1740" t="s">
        <v>77</v>
      </c>
      <c r="D1740" t="s">
        <v>142</v>
      </c>
      <c r="E1740">
        <v>21</v>
      </c>
      <c r="F1740" s="2">
        <v>1.9178082191780823E-2</v>
      </c>
    </row>
    <row r="1741" spans="2:6" x14ac:dyDescent="0.25">
      <c r="B1741" s="33">
        <v>1</v>
      </c>
      <c r="C1741" t="s">
        <v>77</v>
      </c>
      <c r="D1741" t="s">
        <v>142</v>
      </c>
      <c r="E1741">
        <v>19</v>
      </c>
      <c r="F1741" s="2">
        <v>1.9178082191780823E-2</v>
      </c>
    </row>
    <row r="1742" spans="2:6" x14ac:dyDescent="0.25">
      <c r="B1742" s="33">
        <v>1</v>
      </c>
      <c r="C1742" t="s">
        <v>74</v>
      </c>
      <c r="D1742" t="s">
        <v>105</v>
      </c>
      <c r="E1742">
        <v>23</v>
      </c>
      <c r="F1742" s="2">
        <v>4.9315068493150684E-2</v>
      </c>
    </row>
    <row r="1743" spans="2:6" x14ac:dyDescent="0.25">
      <c r="B1743" s="33">
        <v>1</v>
      </c>
      <c r="C1743" t="s">
        <v>1</v>
      </c>
      <c r="D1743" t="s">
        <v>152</v>
      </c>
      <c r="E1743">
        <v>23</v>
      </c>
      <c r="F1743" s="2">
        <v>2.7397260273972601E-2</v>
      </c>
    </row>
    <row r="1744" spans="2:6" x14ac:dyDescent="0.25">
      <c r="B1744" s="33">
        <v>1</v>
      </c>
      <c r="C1744" t="s">
        <v>0</v>
      </c>
      <c r="D1744" t="s">
        <v>133</v>
      </c>
      <c r="E1744">
        <v>18</v>
      </c>
      <c r="F1744" s="2">
        <v>9.3150684931506855E-2</v>
      </c>
    </row>
    <row r="1745" spans="2:6" x14ac:dyDescent="0.25">
      <c r="B1745" s="33">
        <v>1</v>
      </c>
      <c r="C1745" t="s">
        <v>88</v>
      </c>
      <c r="D1745" t="s">
        <v>201</v>
      </c>
      <c r="E1745">
        <v>16</v>
      </c>
      <c r="F1745" s="2">
        <v>3.5616438356164383E-2</v>
      </c>
    </row>
    <row r="1746" spans="2:6" x14ac:dyDescent="0.25">
      <c r="B1746" s="33">
        <v>1</v>
      </c>
      <c r="C1746" t="s">
        <v>66</v>
      </c>
      <c r="D1746" t="s">
        <v>202</v>
      </c>
      <c r="E1746">
        <v>17</v>
      </c>
      <c r="F1746" s="2">
        <v>4.3835616438356165E-2</v>
      </c>
    </row>
    <row r="1747" spans="2:6" x14ac:dyDescent="0.25">
      <c r="B1747" s="33">
        <v>1</v>
      </c>
      <c r="C1747" t="s">
        <v>88</v>
      </c>
      <c r="D1747" t="s">
        <v>134</v>
      </c>
      <c r="E1747">
        <v>23</v>
      </c>
      <c r="F1747" s="2">
        <v>3.287671232876712E-2</v>
      </c>
    </row>
    <row r="1748" spans="2:6" x14ac:dyDescent="0.25">
      <c r="B1748" s="33">
        <v>1</v>
      </c>
      <c r="C1748" t="s">
        <v>1</v>
      </c>
      <c r="D1748" t="s">
        <v>200</v>
      </c>
      <c r="E1748">
        <v>23</v>
      </c>
      <c r="F1748" s="2">
        <v>2.7397260273972601E-2</v>
      </c>
    </row>
    <row r="1749" spans="2:6" x14ac:dyDescent="0.25">
      <c r="B1749" s="33">
        <v>1</v>
      </c>
      <c r="C1749" t="s">
        <v>72</v>
      </c>
      <c r="D1749" t="s">
        <v>209</v>
      </c>
      <c r="E1749">
        <v>18</v>
      </c>
      <c r="F1749" s="2">
        <v>4.3835616438356165E-2</v>
      </c>
    </row>
    <row r="1750" spans="2:6" x14ac:dyDescent="0.25">
      <c r="B1750" s="33">
        <v>1</v>
      </c>
      <c r="C1750" t="s">
        <v>6</v>
      </c>
      <c r="D1750" t="s">
        <v>30</v>
      </c>
      <c r="E1750">
        <v>6</v>
      </c>
      <c r="F1750" s="2">
        <v>3.0136986301369864E-2</v>
      </c>
    </row>
    <row r="1751" spans="2:6" x14ac:dyDescent="0.25">
      <c r="B1751" s="33">
        <v>1</v>
      </c>
      <c r="C1751" t="s">
        <v>1</v>
      </c>
      <c r="D1751" t="s">
        <v>200</v>
      </c>
      <c r="E1751">
        <v>20</v>
      </c>
      <c r="F1751" s="2">
        <v>2.4657534246575342E-2</v>
      </c>
    </row>
    <row r="1752" spans="2:6" x14ac:dyDescent="0.25">
      <c r="B1752" s="33">
        <v>1</v>
      </c>
      <c r="C1752" t="s">
        <v>90</v>
      </c>
      <c r="D1752" t="s">
        <v>120</v>
      </c>
      <c r="E1752">
        <v>22</v>
      </c>
      <c r="F1752" s="2">
        <v>4.3835616438356165E-2</v>
      </c>
    </row>
    <row r="1753" spans="2:6" x14ac:dyDescent="0.25">
      <c r="B1753" s="33">
        <v>1</v>
      </c>
      <c r="C1753" t="s">
        <v>103</v>
      </c>
      <c r="D1753" t="s">
        <v>137</v>
      </c>
      <c r="E1753">
        <v>17</v>
      </c>
      <c r="F1753" s="2">
        <v>3.5616438356164383E-2</v>
      </c>
    </row>
    <row r="1754" spans="2:6" x14ac:dyDescent="0.25">
      <c r="B1754" s="33">
        <v>1</v>
      </c>
      <c r="C1754" t="s">
        <v>66</v>
      </c>
      <c r="D1754" t="s">
        <v>80</v>
      </c>
      <c r="E1754">
        <v>5</v>
      </c>
      <c r="F1754" s="2">
        <v>2.4657534246575342E-2</v>
      </c>
    </row>
    <row r="1755" spans="2:6" x14ac:dyDescent="0.25">
      <c r="B1755" s="33">
        <v>1</v>
      </c>
      <c r="C1755" t="s">
        <v>1</v>
      </c>
      <c r="D1755" t="s">
        <v>152</v>
      </c>
      <c r="E1755">
        <v>5</v>
      </c>
      <c r="F1755" s="2">
        <v>2.4657534246575342E-2</v>
      </c>
    </row>
    <row r="1756" spans="2:6" x14ac:dyDescent="0.25">
      <c r="B1756" s="33">
        <v>1</v>
      </c>
      <c r="C1756" t="s">
        <v>90</v>
      </c>
      <c r="D1756" t="s">
        <v>109</v>
      </c>
      <c r="E1756">
        <v>4</v>
      </c>
      <c r="F1756" s="2">
        <v>2.7397260273972601E-2</v>
      </c>
    </row>
    <row r="1757" spans="2:6" x14ac:dyDescent="0.25">
      <c r="B1757" s="33">
        <v>1</v>
      </c>
      <c r="C1757" t="s">
        <v>126</v>
      </c>
      <c r="D1757" t="s">
        <v>127</v>
      </c>
      <c r="E1757">
        <v>4</v>
      </c>
      <c r="F1757" s="2">
        <v>5.4794520547945206E-3</v>
      </c>
    </row>
    <row r="1758" spans="2:6" x14ac:dyDescent="0.25">
      <c r="B1758" s="33">
        <v>1</v>
      </c>
      <c r="C1758" t="s">
        <v>72</v>
      </c>
      <c r="D1758" t="s">
        <v>81</v>
      </c>
      <c r="E1758">
        <v>1</v>
      </c>
      <c r="F1758" s="2">
        <v>2.4657534246575342E-2</v>
      </c>
    </row>
    <row r="1759" spans="2:6" x14ac:dyDescent="0.25">
      <c r="B1759" s="33">
        <v>1</v>
      </c>
      <c r="C1759" t="s">
        <v>66</v>
      </c>
      <c r="D1759" t="s">
        <v>67</v>
      </c>
      <c r="E1759">
        <v>4</v>
      </c>
      <c r="F1759" s="2">
        <v>2.4657534246575342E-2</v>
      </c>
    </row>
    <row r="1760" spans="2:6" x14ac:dyDescent="0.25">
      <c r="B1760" s="33">
        <v>1</v>
      </c>
      <c r="C1760" t="s">
        <v>72</v>
      </c>
      <c r="D1760" t="s">
        <v>81</v>
      </c>
      <c r="E1760">
        <v>6</v>
      </c>
      <c r="F1760" s="2">
        <v>2.4657534246575342E-2</v>
      </c>
    </row>
    <row r="1761" spans="2:6" x14ac:dyDescent="0.25">
      <c r="B1761" s="33">
        <v>1</v>
      </c>
      <c r="C1761" t="s">
        <v>3</v>
      </c>
      <c r="D1761" t="s">
        <v>188</v>
      </c>
      <c r="E1761">
        <v>7</v>
      </c>
      <c r="F1761" s="2">
        <v>1.3698630136986301E-2</v>
      </c>
    </row>
    <row r="1762" spans="2:6" x14ac:dyDescent="0.25">
      <c r="B1762" s="33">
        <v>1</v>
      </c>
      <c r="C1762" t="s">
        <v>126</v>
      </c>
      <c r="D1762" t="s">
        <v>127</v>
      </c>
      <c r="E1762">
        <v>7</v>
      </c>
      <c r="F1762" s="2">
        <v>5.4794520547945206E-3</v>
      </c>
    </row>
    <row r="1763" spans="2:6" x14ac:dyDescent="0.25">
      <c r="B1763" s="33">
        <v>1</v>
      </c>
      <c r="C1763" t="s">
        <v>6</v>
      </c>
      <c r="D1763" t="s">
        <v>32</v>
      </c>
      <c r="E1763">
        <v>2</v>
      </c>
      <c r="F1763" s="2">
        <v>3.0136986301369864E-2</v>
      </c>
    </row>
    <row r="1764" spans="2:6" x14ac:dyDescent="0.25">
      <c r="B1764" s="33">
        <v>1</v>
      </c>
      <c r="C1764" t="s">
        <v>3</v>
      </c>
      <c r="D1764" t="s">
        <v>203</v>
      </c>
      <c r="E1764">
        <v>11</v>
      </c>
      <c r="F1764" s="2">
        <v>2.7397260273972601E-2</v>
      </c>
    </row>
    <row r="1765" spans="2:6" x14ac:dyDescent="0.25">
      <c r="B1765" s="33">
        <v>1</v>
      </c>
      <c r="C1765" t="s">
        <v>0</v>
      </c>
      <c r="D1765" t="s">
        <v>150</v>
      </c>
      <c r="E1765">
        <v>8</v>
      </c>
      <c r="F1765" s="2">
        <v>7.1232876712328766E-2</v>
      </c>
    </row>
    <row r="1766" spans="2:6" x14ac:dyDescent="0.25">
      <c r="B1766" s="33">
        <v>1</v>
      </c>
      <c r="C1766" t="s">
        <v>126</v>
      </c>
      <c r="D1766" t="s">
        <v>169</v>
      </c>
      <c r="E1766">
        <v>11</v>
      </c>
      <c r="F1766" s="2">
        <v>1.643835616438356E-2</v>
      </c>
    </row>
    <row r="1767" spans="2:6" x14ac:dyDescent="0.25">
      <c r="B1767" s="33">
        <v>1</v>
      </c>
      <c r="C1767" t="s">
        <v>103</v>
      </c>
      <c r="D1767" t="s">
        <v>194</v>
      </c>
      <c r="E1767">
        <v>15</v>
      </c>
      <c r="F1767" s="2">
        <v>3.5616438356164383E-2</v>
      </c>
    </row>
    <row r="1768" spans="2:6" x14ac:dyDescent="0.25">
      <c r="B1768" s="33">
        <v>1</v>
      </c>
      <c r="C1768" t="s">
        <v>6</v>
      </c>
      <c r="D1768" t="s">
        <v>43</v>
      </c>
      <c r="E1768">
        <v>23</v>
      </c>
      <c r="F1768" s="2">
        <v>2.7397260273972601E-2</v>
      </c>
    </row>
    <row r="1769" spans="2:6" x14ac:dyDescent="0.25">
      <c r="B1769" s="33">
        <v>1</v>
      </c>
      <c r="C1769" t="s">
        <v>1</v>
      </c>
      <c r="D1769" t="s">
        <v>189</v>
      </c>
      <c r="E1769">
        <v>18</v>
      </c>
      <c r="F1769" s="2">
        <v>2.4657534246575342E-2</v>
      </c>
    </row>
    <row r="1770" spans="2:6" x14ac:dyDescent="0.25">
      <c r="B1770" s="33">
        <v>1</v>
      </c>
      <c r="C1770" t="s">
        <v>77</v>
      </c>
      <c r="D1770" t="s">
        <v>145</v>
      </c>
      <c r="E1770">
        <v>19</v>
      </c>
      <c r="F1770" s="2">
        <v>1.9178082191780823E-2</v>
      </c>
    </row>
    <row r="1771" spans="2:6" x14ac:dyDescent="0.25">
      <c r="B1771" s="33">
        <v>1</v>
      </c>
      <c r="C1771" t="s">
        <v>3</v>
      </c>
      <c r="D1771" t="s">
        <v>138</v>
      </c>
      <c r="E1771">
        <v>23</v>
      </c>
      <c r="F1771" s="2">
        <v>2.4657534246575342E-2</v>
      </c>
    </row>
    <row r="1772" spans="2:6" x14ac:dyDescent="0.25">
      <c r="B1772" s="33">
        <v>1</v>
      </c>
      <c r="C1772" t="s">
        <v>6</v>
      </c>
      <c r="D1772" t="s">
        <v>30</v>
      </c>
      <c r="E1772">
        <v>4</v>
      </c>
      <c r="F1772" s="2">
        <v>2.7397260273972601E-2</v>
      </c>
    </row>
    <row r="1773" spans="2:6" x14ac:dyDescent="0.25">
      <c r="B1773" s="33">
        <v>1</v>
      </c>
      <c r="C1773" t="s">
        <v>88</v>
      </c>
      <c r="D1773" t="s">
        <v>201</v>
      </c>
      <c r="E1773">
        <v>19</v>
      </c>
      <c r="F1773" s="2">
        <v>3.287671232876712E-2</v>
      </c>
    </row>
    <row r="1774" spans="2:6" x14ac:dyDescent="0.25">
      <c r="B1774" s="33">
        <v>1</v>
      </c>
      <c r="C1774" t="s">
        <v>72</v>
      </c>
      <c r="D1774" t="s">
        <v>163</v>
      </c>
      <c r="E1774">
        <v>19</v>
      </c>
      <c r="F1774" s="2">
        <v>3.8356164383561646E-2</v>
      </c>
    </row>
    <row r="1775" spans="2:6" x14ac:dyDescent="0.25">
      <c r="B1775" s="33">
        <v>1</v>
      </c>
      <c r="C1775" t="s">
        <v>72</v>
      </c>
      <c r="D1775" t="s">
        <v>187</v>
      </c>
      <c r="E1775">
        <v>21</v>
      </c>
      <c r="F1775" s="2">
        <v>3.8356164383561646E-2</v>
      </c>
    </row>
    <row r="1776" spans="2:6" x14ac:dyDescent="0.25">
      <c r="B1776" s="33">
        <v>1</v>
      </c>
      <c r="C1776" t="s">
        <v>69</v>
      </c>
      <c r="D1776" t="s">
        <v>132</v>
      </c>
      <c r="E1776">
        <v>22</v>
      </c>
      <c r="F1776" s="2">
        <v>1.9178082191780823E-2</v>
      </c>
    </row>
    <row r="1777" spans="2:6" x14ac:dyDescent="0.25">
      <c r="B1777" s="33">
        <v>1</v>
      </c>
      <c r="C1777" t="s">
        <v>3</v>
      </c>
      <c r="D1777" t="s">
        <v>79</v>
      </c>
      <c r="E1777">
        <v>23</v>
      </c>
      <c r="F1777" s="2">
        <v>2.4657534246575342E-2</v>
      </c>
    </row>
    <row r="1778" spans="2:6" x14ac:dyDescent="0.25">
      <c r="B1778" s="33">
        <v>1</v>
      </c>
      <c r="C1778" t="s">
        <v>64</v>
      </c>
      <c r="D1778" t="s">
        <v>68</v>
      </c>
      <c r="E1778">
        <v>21</v>
      </c>
      <c r="F1778" s="2">
        <v>6.8493150684931503E-2</v>
      </c>
    </row>
    <row r="1779" spans="2:6" x14ac:dyDescent="0.25">
      <c r="B1779" s="33">
        <v>1</v>
      </c>
      <c r="C1779" t="s">
        <v>1</v>
      </c>
      <c r="D1779" t="s">
        <v>144</v>
      </c>
      <c r="E1779">
        <v>23</v>
      </c>
      <c r="F1779" s="2">
        <v>2.4657534246575342E-2</v>
      </c>
    </row>
    <row r="1780" spans="2:6" x14ac:dyDescent="0.25">
      <c r="B1780" s="33">
        <v>1</v>
      </c>
      <c r="C1780" t="s">
        <v>4</v>
      </c>
      <c r="D1780" t="s">
        <v>166</v>
      </c>
      <c r="E1780">
        <v>21</v>
      </c>
      <c r="F1780" s="2">
        <v>3.8356164383561646E-2</v>
      </c>
    </row>
    <row r="1781" spans="2:6" x14ac:dyDescent="0.25">
      <c r="B1781" s="33">
        <v>1</v>
      </c>
      <c r="C1781" t="s">
        <v>66</v>
      </c>
      <c r="D1781" t="s">
        <v>202</v>
      </c>
      <c r="E1781">
        <v>16</v>
      </c>
      <c r="F1781" s="2">
        <v>4.3835616438356165E-2</v>
      </c>
    </row>
    <row r="1782" spans="2:6" x14ac:dyDescent="0.25">
      <c r="B1782" s="33">
        <v>1</v>
      </c>
      <c r="C1782" t="s">
        <v>77</v>
      </c>
      <c r="D1782" t="s">
        <v>101</v>
      </c>
      <c r="E1782">
        <v>20</v>
      </c>
      <c r="F1782" s="2">
        <v>1.9178082191780823E-2</v>
      </c>
    </row>
    <row r="1783" spans="2:6" x14ac:dyDescent="0.25">
      <c r="B1783" s="33">
        <v>1</v>
      </c>
      <c r="C1783" t="s">
        <v>4</v>
      </c>
      <c r="D1783" t="s">
        <v>153</v>
      </c>
      <c r="E1783">
        <v>0</v>
      </c>
      <c r="F1783" s="2">
        <v>2.1917808219178082E-2</v>
      </c>
    </row>
    <row r="1784" spans="2:6" x14ac:dyDescent="0.25">
      <c r="B1784" s="33">
        <v>1</v>
      </c>
      <c r="C1784" t="s">
        <v>0</v>
      </c>
      <c r="D1784" t="s">
        <v>111</v>
      </c>
      <c r="E1784">
        <v>6</v>
      </c>
      <c r="F1784" s="2">
        <v>3.5616438356164383E-2</v>
      </c>
    </row>
    <row r="1785" spans="2:6" x14ac:dyDescent="0.25">
      <c r="B1785" s="33">
        <v>1</v>
      </c>
      <c r="C1785" t="s">
        <v>66</v>
      </c>
      <c r="D1785" t="s">
        <v>107</v>
      </c>
      <c r="E1785">
        <v>5</v>
      </c>
      <c r="F1785" s="2">
        <v>1.9178082191780823E-2</v>
      </c>
    </row>
    <row r="1786" spans="2:6" x14ac:dyDescent="0.25">
      <c r="B1786" s="33">
        <v>1</v>
      </c>
      <c r="C1786" t="s">
        <v>66</v>
      </c>
      <c r="D1786" t="s">
        <v>93</v>
      </c>
      <c r="E1786">
        <v>1</v>
      </c>
      <c r="F1786" s="2">
        <v>1.9178082191780823E-2</v>
      </c>
    </row>
    <row r="1787" spans="2:6" x14ac:dyDescent="0.25">
      <c r="B1787" s="33">
        <v>1</v>
      </c>
      <c r="C1787" t="s">
        <v>69</v>
      </c>
      <c r="D1787" t="s">
        <v>70</v>
      </c>
      <c r="E1787">
        <v>1</v>
      </c>
      <c r="F1787" s="2">
        <v>1.3698630136986301E-2</v>
      </c>
    </row>
    <row r="1788" spans="2:6" x14ac:dyDescent="0.25">
      <c r="B1788" s="33">
        <v>1</v>
      </c>
      <c r="C1788" t="s">
        <v>66</v>
      </c>
      <c r="D1788" t="s">
        <v>122</v>
      </c>
      <c r="E1788">
        <v>4</v>
      </c>
      <c r="F1788" s="2">
        <v>1.9178082191780823E-2</v>
      </c>
    </row>
    <row r="1789" spans="2:6" x14ac:dyDescent="0.25">
      <c r="B1789" s="33">
        <v>1</v>
      </c>
      <c r="C1789" t="s">
        <v>72</v>
      </c>
      <c r="D1789" t="s">
        <v>209</v>
      </c>
      <c r="E1789">
        <v>7</v>
      </c>
      <c r="F1789" s="2">
        <v>2.4657534246575342E-2</v>
      </c>
    </row>
    <row r="1790" spans="2:6" x14ac:dyDescent="0.25">
      <c r="B1790" s="33">
        <v>1</v>
      </c>
      <c r="C1790" t="s">
        <v>1</v>
      </c>
      <c r="D1790" t="s">
        <v>176</v>
      </c>
      <c r="E1790">
        <v>14</v>
      </c>
      <c r="F1790" s="2">
        <v>2.4657534246575342E-2</v>
      </c>
    </row>
    <row r="1791" spans="2:6" x14ac:dyDescent="0.25">
      <c r="B1791" s="33">
        <v>1</v>
      </c>
      <c r="C1791" t="s">
        <v>103</v>
      </c>
      <c r="D1791" t="s">
        <v>137</v>
      </c>
      <c r="E1791">
        <v>11</v>
      </c>
      <c r="F1791" s="2">
        <v>3.5616438356164383E-2</v>
      </c>
    </row>
    <row r="1792" spans="2:6" x14ac:dyDescent="0.25">
      <c r="B1792" s="33">
        <v>1</v>
      </c>
      <c r="C1792" t="s">
        <v>77</v>
      </c>
      <c r="D1792" t="s">
        <v>83</v>
      </c>
      <c r="E1792">
        <v>9</v>
      </c>
      <c r="F1792" s="2">
        <v>2.4657534246575342E-2</v>
      </c>
    </row>
    <row r="1793" spans="2:6" x14ac:dyDescent="0.25">
      <c r="B1793" s="33">
        <v>1</v>
      </c>
      <c r="C1793" t="s">
        <v>126</v>
      </c>
      <c r="D1793" t="s">
        <v>171</v>
      </c>
      <c r="E1793">
        <v>10</v>
      </c>
      <c r="F1793" s="2">
        <v>1.0958904109589041E-2</v>
      </c>
    </row>
    <row r="1794" spans="2:6" x14ac:dyDescent="0.25">
      <c r="B1794" s="33">
        <v>1</v>
      </c>
      <c r="C1794" t="s">
        <v>1</v>
      </c>
      <c r="D1794" t="s">
        <v>217</v>
      </c>
      <c r="E1794">
        <v>8</v>
      </c>
      <c r="F1794" s="2">
        <v>2.4657534246575342E-2</v>
      </c>
    </row>
    <row r="1795" spans="2:6" x14ac:dyDescent="0.25">
      <c r="B1795" s="33">
        <v>1</v>
      </c>
      <c r="C1795" t="s">
        <v>64</v>
      </c>
      <c r="D1795" t="s">
        <v>175</v>
      </c>
      <c r="E1795">
        <v>14</v>
      </c>
      <c r="F1795" s="2">
        <v>4.1095890410958902E-2</v>
      </c>
    </row>
    <row r="1796" spans="2:6" x14ac:dyDescent="0.25">
      <c r="B1796" s="33">
        <v>1</v>
      </c>
      <c r="C1796" t="s">
        <v>1</v>
      </c>
      <c r="D1796" t="s">
        <v>189</v>
      </c>
      <c r="E1796">
        <v>15</v>
      </c>
      <c r="F1796" s="2">
        <v>2.4657534246575342E-2</v>
      </c>
    </row>
    <row r="1797" spans="2:6" x14ac:dyDescent="0.25">
      <c r="B1797" s="33">
        <v>1</v>
      </c>
      <c r="C1797" t="s">
        <v>66</v>
      </c>
      <c r="D1797" t="s">
        <v>182</v>
      </c>
      <c r="E1797">
        <v>14</v>
      </c>
      <c r="F1797" s="2">
        <v>3.5616438356164383E-2</v>
      </c>
    </row>
    <row r="1798" spans="2:6" x14ac:dyDescent="0.25">
      <c r="B1798" s="33">
        <v>1</v>
      </c>
      <c r="C1798" t="s">
        <v>66</v>
      </c>
      <c r="D1798" t="s">
        <v>168</v>
      </c>
      <c r="E1798">
        <v>8</v>
      </c>
      <c r="F1798" s="2">
        <v>3.287671232876712E-2</v>
      </c>
    </row>
    <row r="1799" spans="2:6" x14ac:dyDescent="0.25">
      <c r="B1799" s="33">
        <v>1</v>
      </c>
      <c r="C1799" t="s">
        <v>66</v>
      </c>
      <c r="D1799" t="s">
        <v>168</v>
      </c>
      <c r="E1799">
        <v>14</v>
      </c>
      <c r="F1799" s="2">
        <v>3.287671232876712E-2</v>
      </c>
    </row>
    <row r="1800" spans="2:6" x14ac:dyDescent="0.25">
      <c r="B1800" s="33">
        <v>1</v>
      </c>
      <c r="C1800" t="s">
        <v>1</v>
      </c>
      <c r="D1800" t="s">
        <v>152</v>
      </c>
      <c r="E1800">
        <v>12</v>
      </c>
      <c r="F1800" s="2">
        <v>2.4657534246575342E-2</v>
      </c>
    </row>
    <row r="1801" spans="2:6" x14ac:dyDescent="0.25">
      <c r="B1801" s="33">
        <v>1</v>
      </c>
      <c r="C1801" t="s">
        <v>69</v>
      </c>
      <c r="D1801" t="s">
        <v>184</v>
      </c>
      <c r="E1801">
        <v>11</v>
      </c>
      <c r="F1801" s="2">
        <v>2.1917808219178082E-2</v>
      </c>
    </row>
    <row r="1802" spans="2:6" x14ac:dyDescent="0.25">
      <c r="B1802" s="33">
        <v>1</v>
      </c>
      <c r="C1802" t="s">
        <v>64</v>
      </c>
      <c r="D1802" t="s">
        <v>175</v>
      </c>
      <c r="E1802">
        <v>8</v>
      </c>
      <c r="F1802" s="2">
        <v>3.8356164383561646E-2</v>
      </c>
    </row>
    <row r="1803" spans="2:6" x14ac:dyDescent="0.25">
      <c r="B1803" s="33">
        <v>1</v>
      </c>
      <c r="C1803" t="s">
        <v>72</v>
      </c>
      <c r="D1803" t="s">
        <v>149</v>
      </c>
      <c r="E1803">
        <v>14</v>
      </c>
      <c r="F1803" s="2">
        <v>3.8356164383561646E-2</v>
      </c>
    </row>
    <row r="1804" spans="2:6" x14ac:dyDescent="0.25">
      <c r="B1804" s="33">
        <v>1</v>
      </c>
      <c r="C1804" t="s">
        <v>72</v>
      </c>
      <c r="D1804" t="s">
        <v>187</v>
      </c>
      <c r="E1804">
        <v>9</v>
      </c>
      <c r="F1804" s="2">
        <v>3.8356164383561646E-2</v>
      </c>
    </row>
    <row r="1805" spans="2:6" x14ac:dyDescent="0.25">
      <c r="B1805" s="33">
        <v>1</v>
      </c>
      <c r="C1805" t="s">
        <v>4</v>
      </c>
      <c r="D1805" t="s">
        <v>166</v>
      </c>
      <c r="E1805">
        <v>11</v>
      </c>
      <c r="F1805" s="2">
        <v>4.1095890410958902E-2</v>
      </c>
    </row>
    <row r="1806" spans="2:6" x14ac:dyDescent="0.25">
      <c r="B1806" s="33">
        <v>1</v>
      </c>
      <c r="C1806" t="s">
        <v>103</v>
      </c>
      <c r="D1806" t="s">
        <v>45</v>
      </c>
      <c r="E1806">
        <v>16</v>
      </c>
      <c r="F1806" s="2">
        <v>3.287671232876712E-2</v>
      </c>
    </row>
    <row r="1807" spans="2:6" x14ac:dyDescent="0.25">
      <c r="B1807" s="33">
        <v>1</v>
      </c>
      <c r="C1807" t="s">
        <v>66</v>
      </c>
      <c r="D1807" t="s">
        <v>107</v>
      </c>
      <c r="E1807">
        <v>23</v>
      </c>
      <c r="F1807" s="2">
        <v>4.1095890410958902E-2</v>
      </c>
    </row>
    <row r="1808" spans="2:6" x14ac:dyDescent="0.25">
      <c r="B1808" s="33">
        <v>1</v>
      </c>
      <c r="C1808" t="s">
        <v>77</v>
      </c>
      <c r="D1808" t="s">
        <v>83</v>
      </c>
      <c r="E1808">
        <v>17</v>
      </c>
      <c r="F1808" s="2">
        <v>1.9178082191780823E-2</v>
      </c>
    </row>
    <row r="1809" spans="2:6" x14ac:dyDescent="0.25">
      <c r="B1809" s="33">
        <v>1</v>
      </c>
      <c r="C1809" t="s">
        <v>66</v>
      </c>
      <c r="D1809" t="s">
        <v>168</v>
      </c>
      <c r="E1809">
        <v>21</v>
      </c>
      <c r="F1809" s="2">
        <v>4.1095890410958902E-2</v>
      </c>
    </row>
    <row r="1810" spans="2:6" x14ac:dyDescent="0.25">
      <c r="B1810" s="33">
        <v>1</v>
      </c>
      <c r="C1810" t="s">
        <v>2</v>
      </c>
      <c r="D1810" t="s">
        <v>102</v>
      </c>
      <c r="E1810">
        <v>23</v>
      </c>
      <c r="F1810" s="2">
        <v>2.7397260273972601E-2</v>
      </c>
    </row>
    <row r="1811" spans="2:6" x14ac:dyDescent="0.25">
      <c r="B1811" s="33">
        <v>1</v>
      </c>
      <c r="C1811" t="s">
        <v>74</v>
      </c>
      <c r="D1811" t="s">
        <v>130</v>
      </c>
      <c r="E1811">
        <v>21</v>
      </c>
      <c r="F1811" s="2">
        <v>4.9315068493150684E-2</v>
      </c>
    </row>
    <row r="1812" spans="2:6" x14ac:dyDescent="0.25">
      <c r="B1812" s="33">
        <v>1</v>
      </c>
      <c r="C1812" t="s">
        <v>69</v>
      </c>
      <c r="D1812" t="s">
        <v>140</v>
      </c>
      <c r="E1812">
        <v>16</v>
      </c>
      <c r="F1812" s="2">
        <v>1.9178082191780823E-2</v>
      </c>
    </row>
    <row r="1813" spans="2:6" x14ac:dyDescent="0.25">
      <c r="B1813" s="33">
        <v>1</v>
      </c>
      <c r="C1813" t="s">
        <v>77</v>
      </c>
      <c r="D1813" t="s">
        <v>196</v>
      </c>
      <c r="E1813">
        <v>18</v>
      </c>
      <c r="F1813" s="2">
        <v>1.9178082191780823E-2</v>
      </c>
    </row>
    <row r="1814" spans="2:6" x14ac:dyDescent="0.25">
      <c r="B1814" s="33">
        <v>1</v>
      </c>
      <c r="C1814" t="s">
        <v>103</v>
      </c>
      <c r="D1814" t="s">
        <v>158</v>
      </c>
      <c r="E1814">
        <v>22</v>
      </c>
      <c r="F1814" s="2">
        <v>3.287671232876712E-2</v>
      </c>
    </row>
    <row r="1815" spans="2:6" x14ac:dyDescent="0.25">
      <c r="B1815" s="33">
        <v>1</v>
      </c>
      <c r="C1815" t="s">
        <v>69</v>
      </c>
      <c r="D1815" t="s">
        <v>183</v>
      </c>
      <c r="E1815">
        <v>17</v>
      </c>
      <c r="F1815" s="2">
        <v>1.9178082191780823E-2</v>
      </c>
    </row>
    <row r="1816" spans="2:6" x14ac:dyDescent="0.25">
      <c r="B1816" s="33">
        <v>1</v>
      </c>
      <c r="C1816" t="s">
        <v>77</v>
      </c>
      <c r="D1816" t="s">
        <v>177</v>
      </c>
      <c r="E1816">
        <v>20</v>
      </c>
      <c r="F1816" s="2">
        <v>1.9178082191780823E-2</v>
      </c>
    </row>
    <row r="1817" spans="2:6" x14ac:dyDescent="0.25">
      <c r="B1817" s="33">
        <v>1</v>
      </c>
      <c r="C1817" t="s">
        <v>77</v>
      </c>
      <c r="D1817" t="s">
        <v>97</v>
      </c>
      <c r="E1817">
        <v>19</v>
      </c>
      <c r="F1817" s="2">
        <v>1.9178082191780823E-2</v>
      </c>
    </row>
    <row r="1818" spans="2:6" x14ac:dyDescent="0.25">
      <c r="B1818" s="33">
        <v>1</v>
      </c>
      <c r="C1818" t="s">
        <v>6</v>
      </c>
      <c r="D1818" t="s">
        <v>38</v>
      </c>
      <c r="E1818">
        <v>9</v>
      </c>
      <c r="F1818" s="2">
        <v>2.7397260273972601E-2</v>
      </c>
    </row>
    <row r="1819" spans="2:6" x14ac:dyDescent="0.25">
      <c r="B1819" s="33">
        <v>1</v>
      </c>
      <c r="C1819" t="s">
        <v>6</v>
      </c>
      <c r="D1819" t="s">
        <v>28</v>
      </c>
      <c r="E1819">
        <v>1</v>
      </c>
      <c r="F1819" s="2">
        <v>2.7397260273972601E-2</v>
      </c>
    </row>
    <row r="1820" spans="2:6" x14ac:dyDescent="0.25">
      <c r="B1820" s="33">
        <v>1</v>
      </c>
      <c r="C1820" t="s">
        <v>6</v>
      </c>
      <c r="D1820" t="s">
        <v>42</v>
      </c>
      <c r="E1820">
        <v>6</v>
      </c>
      <c r="F1820" s="2">
        <v>2.7397260273972601E-2</v>
      </c>
    </row>
    <row r="1821" spans="2:6" x14ac:dyDescent="0.25">
      <c r="B1821" s="33">
        <v>1</v>
      </c>
      <c r="C1821" t="s">
        <v>69</v>
      </c>
      <c r="D1821" t="s">
        <v>86</v>
      </c>
      <c r="E1821">
        <v>23</v>
      </c>
      <c r="F1821" s="2">
        <v>1.9178082191780823E-2</v>
      </c>
    </row>
    <row r="1822" spans="2:6" x14ac:dyDescent="0.25">
      <c r="B1822" s="33">
        <v>1</v>
      </c>
      <c r="C1822" t="s">
        <v>77</v>
      </c>
      <c r="D1822" t="s">
        <v>196</v>
      </c>
      <c r="E1822">
        <v>19</v>
      </c>
      <c r="F1822" s="2">
        <v>1.9178082191780823E-2</v>
      </c>
    </row>
    <row r="1823" spans="2:6" x14ac:dyDescent="0.25">
      <c r="B1823" s="33">
        <v>1</v>
      </c>
      <c r="C1823" t="s">
        <v>66</v>
      </c>
      <c r="D1823" t="s">
        <v>211</v>
      </c>
      <c r="E1823">
        <v>18</v>
      </c>
      <c r="F1823" s="2">
        <v>4.1095890410958902E-2</v>
      </c>
    </row>
    <row r="1824" spans="2:6" x14ac:dyDescent="0.25">
      <c r="B1824" s="33">
        <v>1</v>
      </c>
      <c r="C1824" t="s">
        <v>88</v>
      </c>
      <c r="D1824" t="s">
        <v>134</v>
      </c>
      <c r="E1824">
        <v>6</v>
      </c>
      <c r="F1824" s="2">
        <v>2.1917808219178082E-2</v>
      </c>
    </row>
    <row r="1825" spans="2:6" x14ac:dyDescent="0.25">
      <c r="B1825" s="33">
        <v>1</v>
      </c>
      <c r="C1825" t="s">
        <v>0</v>
      </c>
      <c r="D1825" t="s">
        <v>95</v>
      </c>
      <c r="E1825">
        <v>6</v>
      </c>
      <c r="F1825" s="2">
        <v>3.5616438356164383E-2</v>
      </c>
    </row>
    <row r="1826" spans="2:6" x14ac:dyDescent="0.25">
      <c r="B1826" s="33">
        <v>1</v>
      </c>
      <c r="C1826" t="s">
        <v>64</v>
      </c>
      <c r="D1826" t="s">
        <v>179</v>
      </c>
      <c r="E1826">
        <v>0</v>
      </c>
      <c r="F1826" s="2">
        <v>2.1917808219178082E-2</v>
      </c>
    </row>
    <row r="1827" spans="2:6" x14ac:dyDescent="0.25">
      <c r="B1827" s="33">
        <v>1</v>
      </c>
      <c r="C1827" t="s">
        <v>88</v>
      </c>
      <c r="D1827" t="s">
        <v>160</v>
      </c>
      <c r="E1827">
        <v>6</v>
      </c>
      <c r="F1827" s="2">
        <v>2.1917808219178082E-2</v>
      </c>
    </row>
    <row r="1828" spans="2:6" x14ac:dyDescent="0.25">
      <c r="B1828" s="33">
        <v>1</v>
      </c>
      <c r="C1828" t="s">
        <v>77</v>
      </c>
      <c r="D1828" t="s">
        <v>196</v>
      </c>
      <c r="E1828">
        <v>7</v>
      </c>
      <c r="F1828" s="2">
        <v>1.3698630136986301E-2</v>
      </c>
    </row>
    <row r="1829" spans="2:6" x14ac:dyDescent="0.25">
      <c r="B1829" s="33">
        <v>1</v>
      </c>
      <c r="C1829" t="s">
        <v>3</v>
      </c>
      <c r="D1829" t="s">
        <v>119</v>
      </c>
      <c r="E1829">
        <v>9</v>
      </c>
      <c r="F1829" s="2">
        <v>2.7397260273972601E-2</v>
      </c>
    </row>
    <row r="1830" spans="2:6" x14ac:dyDescent="0.25">
      <c r="B1830" s="33">
        <v>1</v>
      </c>
      <c r="C1830" t="s">
        <v>2</v>
      </c>
      <c r="D1830" t="s">
        <v>102</v>
      </c>
      <c r="E1830">
        <v>13</v>
      </c>
      <c r="F1830" s="2">
        <v>2.1917808219178082E-2</v>
      </c>
    </row>
    <row r="1831" spans="2:6" x14ac:dyDescent="0.25">
      <c r="B1831" s="33">
        <v>1</v>
      </c>
      <c r="C1831" t="s">
        <v>66</v>
      </c>
      <c r="D1831" t="s">
        <v>211</v>
      </c>
      <c r="E1831">
        <v>14</v>
      </c>
      <c r="F1831" s="2">
        <v>3.287671232876712E-2</v>
      </c>
    </row>
    <row r="1832" spans="2:6" x14ac:dyDescent="0.25">
      <c r="B1832" s="33">
        <v>1</v>
      </c>
      <c r="C1832" t="s">
        <v>3</v>
      </c>
      <c r="D1832" t="s">
        <v>173</v>
      </c>
      <c r="E1832">
        <v>15</v>
      </c>
      <c r="F1832" s="2">
        <v>2.7397260273972601E-2</v>
      </c>
    </row>
    <row r="1833" spans="2:6" x14ac:dyDescent="0.25">
      <c r="B1833" s="33">
        <v>1</v>
      </c>
      <c r="C1833" t="s">
        <v>69</v>
      </c>
      <c r="D1833" t="s">
        <v>70</v>
      </c>
      <c r="E1833">
        <v>12</v>
      </c>
      <c r="F1833" s="2">
        <v>2.1917808219178082E-2</v>
      </c>
    </row>
    <row r="1834" spans="2:6" x14ac:dyDescent="0.25">
      <c r="B1834" s="33">
        <v>1</v>
      </c>
      <c r="C1834" t="s">
        <v>69</v>
      </c>
      <c r="D1834" t="s">
        <v>148</v>
      </c>
      <c r="E1834">
        <v>11</v>
      </c>
      <c r="F1834" s="2">
        <v>2.1917808219178082E-2</v>
      </c>
    </row>
    <row r="1835" spans="2:6" x14ac:dyDescent="0.25">
      <c r="B1835" s="33">
        <v>1</v>
      </c>
      <c r="C1835" t="s">
        <v>74</v>
      </c>
      <c r="D1835" t="s">
        <v>174</v>
      </c>
      <c r="E1835">
        <v>9</v>
      </c>
      <c r="F1835" s="2">
        <v>6.0273972602739728E-2</v>
      </c>
    </row>
    <row r="1836" spans="2:6" x14ac:dyDescent="0.25">
      <c r="B1836" s="33">
        <v>1</v>
      </c>
      <c r="C1836" t="s">
        <v>64</v>
      </c>
      <c r="D1836" t="s">
        <v>179</v>
      </c>
      <c r="E1836">
        <v>8</v>
      </c>
      <c r="F1836" s="2">
        <v>3.287671232876712E-2</v>
      </c>
    </row>
    <row r="1837" spans="2:6" x14ac:dyDescent="0.25">
      <c r="B1837" s="33">
        <v>1</v>
      </c>
      <c r="C1837" t="s">
        <v>103</v>
      </c>
      <c r="D1837" t="s">
        <v>167</v>
      </c>
      <c r="E1837">
        <v>13</v>
      </c>
      <c r="F1837" s="2">
        <v>3.5616438356164383E-2</v>
      </c>
    </row>
    <row r="1838" spans="2:6" x14ac:dyDescent="0.25">
      <c r="B1838" s="33">
        <v>1</v>
      </c>
      <c r="C1838" t="s">
        <v>66</v>
      </c>
      <c r="D1838" t="s">
        <v>168</v>
      </c>
      <c r="E1838">
        <v>12</v>
      </c>
      <c r="F1838" s="2">
        <v>3.0136986301369864E-2</v>
      </c>
    </row>
    <row r="1839" spans="2:6" x14ac:dyDescent="0.25">
      <c r="B1839" s="33">
        <v>1</v>
      </c>
      <c r="C1839" t="s">
        <v>66</v>
      </c>
      <c r="D1839" t="s">
        <v>211</v>
      </c>
      <c r="E1839">
        <v>10</v>
      </c>
      <c r="F1839" s="2">
        <v>3.0136986301369864E-2</v>
      </c>
    </row>
    <row r="1840" spans="2:6" x14ac:dyDescent="0.25">
      <c r="B1840" s="33">
        <v>1</v>
      </c>
      <c r="C1840" t="s">
        <v>66</v>
      </c>
      <c r="D1840" t="s">
        <v>182</v>
      </c>
      <c r="E1840">
        <v>21</v>
      </c>
      <c r="F1840" s="2">
        <v>4.1095890410958902E-2</v>
      </c>
    </row>
    <row r="1841" spans="2:6" x14ac:dyDescent="0.25">
      <c r="B1841" s="33">
        <v>1</v>
      </c>
      <c r="C1841" t="s">
        <v>103</v>
      </c>
      <c r="D1841" t="s">
        <v>141</v>
      </c>
      <c r="E1841">
        <v>17</v>
      </c>
      <c r="F1841" s="2">
        <v>3.0136986301369864E-2</v>
      </c>
    </row>
    <row r="1842" spans="2:6" x14ac:dyDescent="0.25">
      <c r="B1842" s="33">
        <v>1</v>
      </c>
      <c r="C1842" t="s">
        <v>72</v>
      </c>
      <c r="D1842" t="s">
        <v>163</v>
      </c>
      <c r="E1842">
        <v>20</v>
      </c>
      <c r="F1842" s="2">
        <v>3.5616438356164383E-2</v>
      </c>
    </row>
    <row r="1843" spans="2:6" x14ac:dyDescent="0.25">
      <c r="B1843" s="33">
        <v>1</v>
      </c>
      <c r="C1843" t="s">
        <v>0</v>
      </c>
      <c r="D1843" t="s">
        <v>150</v>
      </c>
      <c r="E1843">
        <v>18</v>
      </c>
      <c r="F1843" s="2">
        <v>8.7671232876712329E-2</v>
      </c>
    </row>
    <row r="1844" spans="2:6" x14ac:dyDescent="0.25">
      <c r="B1844" s="33">
        <v>1</v>
      </c>
      <c r="C1844" t="s">
        <v>103</v>
      </c>
      <c r="D1844" t="s">
        <v>45</v>
      </c>
      <c r="E1844">
        <v>19</v>
      </c>
      <c r="F1844" s="2">
        <v>3.0136986301369864E-2</v>
      </c>
    </row>
    <row r="1845" spans="2:6" x14ac:dyDescent="0.25">
      <c r="B1845" s="33">
        <v>1</v>
      </c>
      <c r="C1845" t="s">
        <v>3</v>
      </c>
      <c r="D1845" t="s">
        <v>180</v>
      </c>
      <c r="E1845">
        <v>17</v>
      </c>
      <c r="F1845" s="2">
        <v>2.4657534246575342E-2</v>
      </c>
    </row>
    <row r="1846" spans="2:6" x14ac:dyDescent="0.25">
      <c r="B1846" s="33">
        <v>1</v>
      </c>
      <c r="C1846" t="s">
        <v>77</v>
      </c>
      <c r="D1846" t="s">
        <v>97</v>
      </c>
      <c r="E1846">
        <v>16</v>
      </c>
      <c r="F1846" s="2">
        <v>1.9178082191780823E-2</v>
      </c>
    </row>
    <row r="1847" spans="2:6" x14ac:dyDescent="0.25">
      <c r="B1847" s="33">
        <v>1</v>
      </c>
      <c r="C1847" t="s">
        <v>6</v>
      </c>
      <c r="D1847" t="s">
        <v>42</v>
      </c>
      <c r="E1847">
        <v>7</v>
      </c>
      <c r="F1847" s="2">
        <v>2.7397260273972601E-2</v>
      </c>
    </row>
    <row r="1848" spans="2:6" x14ac:dyDescent="0.25">
      <c r="B1848" s="33">
        <v>1</v>
      </c>
      <c r="C1848" t="s">
        <v>66</v>
      </c>
      <c r="D1848" t="s">
        <v>182</v>
      </c>
      <c r="E1848">
        <v>23</v>
      </c>
      <c r="F1848" s="2">
        <v>3.8356164383561646E-2</v>
      </c>
    </row>
    <row r="1849" spans="2:6" x14ac:dyDescent="0.25">
      <c r="B1849" s="33">
        <v>1</v>
      </c>
      <c r="C1849" t="s">
        <v>66</v>
      </c>
      <c r="D1849" t="s">
        <v>182</v>
      </c>
      <c r="E1849">
        <v>20</v>
      </c>
      <c r="F1849" s="2">
        <v>3.8356164383561646E-2</v>
      </c>
    </row>
    <row r="1850" spans="2:6" x14ac:dyDescent="0.25">
      <c r="B1850" s="33">
        <v>1</v>
      </c>
      <c r="C1850" t="s">
        <v>1</v>
      </c>
      <c r="D1850" t="s">
        <v>216</v>
      </c>
      <c r="E1850">
        <v>16</v>
      </c>
      <c r="F1850" s="2">
        <v>2.4657534246575342E-2</v>
      </c>
    </row>
    <row r="1851" spans="2:6" x14ac:dyDescent="0.25">
      <c r="B1851" s="33">
        <v>1</v>
      </c>
      <c r="C1851" t="s">
        <v>0</v>
      </c>
      <c r="D1851" t="s">
        <v>133</v>
      </c>
      <c r="E1851">
        <v>1</v>
      </c>
      <c r="F1851" s="2">
        <v>3.0136986301369864E-2</v>
      </c>
    </row>
    <row r="1852" spans="2:6" x14ac:dyDescent="0.25">
      <c r="B1852" s="33">
        <v>1</v>
      </c>
      <c r="C1852" t="s">
        <v>6</v>
      </c>
      <c r="D1852" t="s">
        <v>43</v>
      </c>
      <c r="E1852">
        <v>16</v>
      </c>
      <c r="F1852" s="2">
        <v>2.7397260273972601E-2</v>
      </c>
    </row>
    <row r="1853" spans="2:6" x14ac:dyDescent="0.25">
      <c r="B1853" s="33">
        <v>1</v>
      </c>
      <c r="C1853" t="s">
        <v>64</v>
      </c>
      <c r="D1853" t="s">
        <v>99</v>
      </c>
      <c r="E1853">
        <v>2</v>
      </c>
      <c r="F1853" s="2">
        <v>2.1917808219178082E-2</v>
      </c>
    </row>
    <row r="1854" spans="2:6" x14ac:dyDescent="0.25">
      <c r="B1854" s="33">
        <v>1</v>
      </c>
      <c r="C1854" t="s">
        <v>69</v>
      </c>
      <c r="D1854" t="s">
        <v>148</v>
      </c>
      <c r="E1854">
        <v>14</v>
      </c>
      <c r="F1854" s="2">
        <v>2.1917808219178082E-2</v>
      </c>
    </row>
    <row r="1855" spans="2:6" x14ac:dyDescent="0.25">
      <c r="B1855" s="33">
        <v>1</v>
      </c>
      <c r="C1855" t="s">
        <v>72</v>
      </c>
      <c r="D1855" t="s">
        <v>163</v>
      </c>
      <c r="E1855">
        <v>12</v>
      </c>
      <c r="F1855" s="2">
        <v>3.287671232876712E-2</v>
      </c>
    </row>
    <row r="1856" spans="2:6" x14ac:dyDescent="0.25">
      <c r="B1856" s="33">
        <v>1</v>
      </c>
      <c r="C1856" t="s">
        <v>77</v>
      </c>
      <c r="D1856" t="s">
        <v>196</v>
      </c>
      <c r="E1856">
        <v>12</v>
      </c>
      <c r="F1856" s="2">
        <v>2.4657534246575342E-2</v>
      </c>
    </row>
    <row r="1857" spans="2:6" x14ac:dyDescent="0.25">
      <c r="B1857" s="33">
        <v>1</v>
      </c>
      <c r="C1857" t="s">
        <v>1</v>
      </c>
      <c r="D1857" t="s">
        <v>217</v>
      </c>
      <c r="E1857">
        <v>10</v>
      </c>
      <c r="F1857" s="2">
        <v>2.1917808219178082E-2</v>
      </c>
    </row>
    <row r="1858" spans="2:6" x14ac:dyDescent="0.25">
      <c r="B1858" s="33">
        <v>1</v>
      </c>
      <c r="C1858" t="s">
        <v>69</v>
      </c>
      <c r="D1858" t="s">
        <v>124</v>
      </c>
      <c r="E1858">
        <v>10</v>
      </c>
      <c r="F1858" s="2">
        <v>2.1917808219178082E-2</v>
      </c>
    </row>
    <row r="1859" spans="2:6" x14ac:dyDescent="0.25">
      <c r="B1859" s="33">
        <v>1</v>
      </c>
      <c r="C1859" t="s">
        <v>74</v>
      </c>
      <c r="D1859" t="s">
        <v>130</v>
      </c>
      <c r="E1859">
        <v>10</v>
      </c>
      <c r="F1859" s="2">
        <v>5.7534246575342465E-2</v>
      </c>
    </row>
    <row r="1860" spans="2:6" x14ac:dyDescent="0.25">
      <c r="B1860" s="33">
        <v>1</v>
      </c>
      <c r="C1860" t="s">
        <v>69</v>
      </c>
      <c r="D1860" t="s">
        <v>181</v>
      </c>
      <c r="E1860">
        <v>11</v>
      </c>
      <c r="F1860" s="2">
        <v>2.1917808219178082E-2</v>
      </c>
    </row>
    <row r="1861" spans="2:6" x14ac:dyDescent="0.25">
      <c r="B1861" s="33">
        <v>1</v>
      </c>
      <c r="C1861" t="s">
        <v>66</v>
      </c>
      <c r="D1861" t="s">
        <v>202</v>
      </c>
      <c r="E1861">
        <v>8</v>
      </c>
      <c r="F1861" s="2">
        <v>3.0136986301369864E-2</v>
      </c>
    </row>
    <row r="1862" spans="2:6" x14ac:dyDescent="0.25">
      <c r="B1862" s="33">
        <v>1</v>
      </c>
      <c r="C1862" t="s">
        <v>69</v>
      </c>
      <c r="D1862" t="s">
        <v>184</v>
      </c>
      <c r="E1862">
        <v>13</v>
      </c>
      <c r="F1862" s="2">
        <v>2.1917808219178082E-2</v>
      </c>
    </row>
    <row r="1863" spans="2:6" x14ac:dyDescent="0.25">
      <c r="B1863" s="33">
        <v>1</v>
      </c>
      <c r="C1863" t="s">
        <v>1</v>
      </c>
      <c r="D1863" t="s">
        <v>217</v>
      </c>
      <c r="E1863">
        <v>12</v>
      </c>
      <c r="F1863" s="2">
        <v>2.1917808219178082E-2</v>
      </c>
    </row>
    <row r="1864" spans="2:6" x14ac:dyDescent="0.25">
      <c r="B1864" s="33">
        <v>1</v>
      </c>
      <c r="C1864" t="s">
        <v>66</v>
      </c>
      <c r="D1864" t="s">
        <v>211</v>
      </c>
      <c r="E1864">
        <v>11</v>
      </c>
      <c r="F1864" s="2">
        <v>2.7397260273972601E-2</v>
      </c>
    </row>
    <row r="1865" spans="2:6" x14ac:dyDescent="0.25">
      <c r="B1865" s="33">
        <v>1</v>
      </c>
      <c r="C1865" t="s">
        <v>69</v>
      </c>
      <c r="D1865" t="s">
        <v>218</v>
      </c>
      <c r="E1865">
        <v>9</v>
      </c>
      <c r="F1865" s="2">
        <v>1.9178082191780823E-2</v>
      </c>
    </row>
    <row r="1866" spans="2:6" x14ac:dyDescent="0.25">
      <c r="B1866" s="33">
        <v>1</v>
      </c>
      <c r="C1866" t="s">
        <v>64</v>
      </c>
      <c r="D1866" t="s">
        <v>175</v>
      </c>
      <c r="E1866">
        <v>12</v>
      </c>
      <c r="F1866" s="2">
        <v>3.0136986301369864E-2</v>
      </c>
    </row>
    <row r="1867" spans="2:6" x14ac:dyDescent="0.25">
      <c r="B1867" s="33">
        <v>1</v>
      </c>
      <c r="C1867" t="s">
        <v>77</v>
      </c>
      <c r="D1867" t="s">
        <v>196</v>
      </c>
      <c r="E1867">
        <v>10</v>
      </c>
      <c r="F1867" s="2">
        <v>2.4657534246575342E-2</v>
      </c>
    </row>
    <row r="1868" spans="2:6" x14ac:dyDescent="0.25">
      <c r="B1868" s="33">
        <v>1</v>
      </c>
      <c r="C1868" t="s">
        <v>66</v>
      </c>
      <c r="D1868" t="s">
        <v>211</v>
      </c>
      <c r="E1868">
        <v>15</v>
      </c>
      <c r="F1868" s="2">
        <v>2.4657534246575342E-2</v>
      </c>
    </row>
    <row r="1869" spans="2:6" x14ac:dyDescent="0.25">
      <c r="B1869" s="33">
        <v>1</v>
      </c>
      <c r="C1869" t="s">
        <v>64</v>
      </c>
      <c r="D1869" t="s">
        <v>175</v>
      </c>
      <c r="E1869">
        <v>13</v>
      </c>
      <c r="F1869" s="2">
        <v>2.7397260273972601E-2</v>
      </c>
    </row>
    <row r="1870" spans="2:6" x14ac:dyDescent="0.25">
      <c r="B1870" s="33">
        <v>1</v>
      </c>
      <c r="C1870" t="s">
        <v>66</v>
      </c>
      <c r="D1870" t="s">
        <v>202</v>
      </c>
      <c r="E1870">
        <v>19</v>
      </c>
      <c r="F1870" s="2">
        <v>3.8356164383561646E-2</v>
      </c>
    </row>
    <row r="1871" spans="2:6" x14ac:dyDescent="0.25">
      <c r="B1871" s="33">
        <v>1</v>
      </c>
      <c r="C1871" t="s">
        <v>103</v>
      </c>
      <c r="D1871" t="s">
        <v>141</v>
      </c>
      <c r="E1871">
        <v>21</v>
      </c>
      <c r="F1871" s="2">
        <v>3.0136986301369864E-2</v>
      </c>
    </row>
    <row r="1872" spans="2:6" x14ac:dyDescent="0.25">
      <c r="B1872" s="33">
        <v>1</v>
      </c>
      <c r="C1872" t="s">
        <v>3</v>
      </c>
      <c r="D1872" t="s">
        <v>186</v>
      </c>
      <c r="E1872">
        <v>19</v>
      </c>
      <c r="F1872" s="2">
        <v>2.4657534246575342E-2</v>
      </c>
    </row>
    <row r="1873" spans="2:6" x14ac:dyDescent="0.25">
      <c r="B1873" s="33">
        <v>1</v>
      </c>
      <c r="C1873" t="s">
        <v>3</v>
      </c>
      <c r="D1873" t="s">
        <v>157</v>
      </c>
      <c r="E1873">
        <v>19</v>
      </c>
      <c r="F1873" s="2">
        <v>2.4657534246575342E-2</v>
      </c>
    </row>
    <row r="1874" spans="2:6" x14ac:dyDescent="0.25">
      <c r="B1874" s="33">
        <v>1</v>
      </c>
      <c r="C1874" t="s">
        <v>88</v>
      </c>
      <c r="D1874" t="s">
        <v>134</v>
      </c>
      <c r="E1874">
        <v>22</v>
      </c>
      <c r="F1874" s="2">
        <v>3.287671232876712E-2</v>
      </c>
    </row>
    <row r="1875" spans="2:6" x14ac:dyDescent="0.25">
      <c r="B1875" s="33">
        <v>1</v>
      </c>
      <c r="C1875" t="s">
        <v>77</v>
      </c>
      <c r="D1875" t="s">
        <v>146</v>
      </c>
      <c r="E1875">
        <v>21</v>
      </c>
      <c r="F1875" s="2">
        <v>1.9178082191780823E-2</v>
      </c>
    </row>
    <row r="1876" spans="2:6" x14ac:dyDescent="0.25">
      <c r="B1876" s="33">
        <v>1</v>
      </c>
      <c r="C1876" t="s">
        <v>69</v>
      </c>
      <c r="D1876" t="s">
        <v>190</v>
      </c>
      <c r="E1876">
        <v>16</v>
      </c>
      <c r="F1876" s="2">
        <v>1.9178082191780823E-2</v>
      </c>
    </row>
    <row r="1877" spans="2:6" x14ac:dyDescent="0.25">
      <c r="B1877" s="33">
        <v>1</v>
      </c>
      <c r="C1877" t="s">
        <v>77</v>
      </c>
      <c r="D1877" t="s">
        <v>123</v>
      </c>
      <c r="E1877">
        <v>21</v>
      </c>
      <c r="F1877" s="2">
        <v>1.9178082191780823E-2</v>
      </c>
    </row>
    <row r="1878" spans="2:6" x14ac:dyDescent="0.25">
      <c r="B1878" s="33">
        <v>1</v>
      </c>
      <c r="C1878" t="s">
        <v>2</v>
      </c>
      <c r="D1878" t="s">
        <v>198</v>
      </c>
      <c r="E1878">
        <v>16</v>
      </c>
      <c r="F1878" s="2">
        <v>2.4657534246575342E-2</v>
      </c>
    </row>
    <row r="1879" spans="2:6" x14ac:dyDescent="0.25">
      <c r="B1879" s="33">
        <v>1</v>
      </c>
      <c r="C1879" t="s">
        <v>3</v>
      </c>
      <c r="D1879" t="s">
        <v>208</v>
      </c>
      <c r="E1879">
        <v>19</v>
      </c>
      <c r="F1879" s="2">
        <v>2.1917808219178082E-2</v>
      </c>
    </row>
    <row r="1880" spans="2:6" x14ac:dyDescent="0.25">
      <c r="B1880" s="33">
        <v>1</v>
      </c>
      <c r="C1880" t="s">
        <v>6</v>
      </c>
      <c r="D1880" t="s">
        <v>43</v>
      </c>
      <c r="E1880">
        <v>1</v>
      </c>
      <c r="F1880" s="2">
        <v>2.7397260273972601E-2</v>
      </c>
    </row>
    <row r="1881" spans="2:6" x14ac:dyDescent="0.25">
      <c r="B1881" s="33">
        <v>1</v>
      </c>
      <c r="C1881" t="s">
        <v>1</v>
      </c>
      <c r="D1881" t="s">
        <v>143</v>
      </c>
      <c r="E1881">
        <v>2</v>
      </c>
      <c r="F1881" s="2">
        <v>2.1917808219178082E-2</v>
      </c>
    </row>
    <row r="1882" spans="2:6" x14ac:dyDescent="0.25">
      <c r="B1882" s="33">
        <v>1</v>
      </c>
      <c r="C1882" t="s">
        <v>66</v>
      </c>
      <c r="D1882" t="s">
        <v>151</v>
      </c>
      <c r="E1882">
        <v>6</v>
      </c>
      <c r="F1882" s="2">
        <v>1.9178082191780823E-2</v>
      </c>
    </row>
    <row r="1883" spans="2:6" x14ac:dyDescent="0.25">
      <c r="B1883" s="33">
        <v>1</v>
      </c>
      <c r="C1883" t="s">
        <v>66</v>
      </c>
      <c r="D1883" t="s">
        <v>135</v>
      </c>
      <c r="E1883">
        <v>5</v>
      </c>
      <c r="F1883" s="2">
        <v>1.643835616438356E-2</v>
      </c>
    </row>
    <row r="1884" spans="2:6" x14ac:dyDescent="0.25">
      <c r="B1884" s="33">
        <v>1</v>
      </c>
      <c r="C1884" t="s">
        <v>72</v>
      </c>
      <c r="D1884" t="s">
        <v>163</v>
      </c>
      <c r="E1884">
        <v>0</v>
      </c>
      <c r="F1884" s="2">
        <v>2.4657534246575342E-2</v>
      </c>
    </row>
    <row r="1885" spans="2:6" x14ac:dyDescent="0.25">
      <c r="B1885" s="33">
        <v>1</v>
      </c>
      <c r="C1885" t="s">
        <v>103</v>
      </c>
      <c r="D1885" t="s">
        <v>137</v>
      </c>
      <c r="E1885">
        <v>4</v>
      </c>
      <c r="F1885" s="2">
        <v>8.21917808219178E-3</v>
      </c>
    </row>
    <row r="1886" spans="2:6" x14ac:dyDescent="0.25">
      <c r="B1886" s="33">
        <v>1</v>
      </c>
      <c r="C1886" t="s">
        <v>0</v>
      </c>
      <c r="D1886" t="s">
        <v>111</v>
      </c>
      <c r="E1886">
        <v>1</v>
      </c>
      <c r="F1886" s="2">
        <v>3.0136986301369864E-2</v>
      </c>
    </row>
    <row r="1887" spans="2:6" x14ac:dyDescent="0.25">
      <c r="B1887" s="33">
        <v>1</v>
      </c>
      <c r="C1887" t="s">
        <v>1</v>
      </c>
      <c r="D1887" t="s">
        <v>143</v>
      </c>
      <c r="E1887">
        <v>0</v>
      </c>
      <c r="F1887" s="2">
        <v>2.1917808219178082E-2</v>
      </c>
    </row>
    <row r="1888" spans="2:6" x14ac:dyDescent="0.25">
      <c r="B1888" s="33">
        <v>1</v>
      </c>
      <c r="C1888" t="s">
        <v>3</v>
      </c>
      <c r="D1888" t="s">
        <v>208</v>
      </c>
      <c r="E1888">
        <v>0</v>
      </c>
      <c r="F1888" s="2">
        <v>1.3698630136986301E-2</v>
      </c>
    </row>
    <row r="1889" spans="2:6" x14ac:dyDescent="0.25">
      <c r="B1889" s="33">
        <v>1</v>
      </c>
      <c r="C1889" t="s">
        <v>66</v>
      </c>
      <c r="D1889" t="s">
        <v>219</v>
      </c>
      <c r="E1889">
        <v>13</v>
      </c>
      <c r="F1889" s="2">
        <v>2.1917808219178082E-2</v>
      </c>
    </row>
    <row r="1890" spans="2:6" x14ac:dyDescent="0.25">
      <c r="B1890" s="33">
        <v>1</v>
      </c>
      <c r="C1890" t="s">
        <v>64</v>
      </c>
      <c r="D1890" t="s">
        <v>175</v>
      </c>
      <c r="E1890">
        <v>9</v>
      </c>
      <c r="F1890" s="2">
        <v>2.7397260273972601E-2</v>
      </c>
    </row>
    <row r="1891" spans="2:6" x14ac:dyDescent="0.25">
      <c r="B1891" s="33">
        <v>1</v>
      </c>
      <c r="C1891" t="s">
        <v>77</v>
      </c>
      <c r="D1891" t="s">
        <v>146</v>
      </c>
      <c r="E1891">
        <v>9</v>
      </c>
      <c r="F1891" s="2">
        <v>2.4657534246575342E-2</v>
      </c>
    </row>
    <row r="1892" spans="2:6" x14ac:dyDescent="0.25">
      <c r="B1892" s="33">
        <v>1</v>
      </c>
      <c r="C1892" t="s">
        <v>3</v>
      </c>
      <c r="D1892" t="s">
        <v>191</v>
      </c>
      <c r="E1892">
        <v>12</v>
      </c>
      <c r="F1892" s="2">
        <v>2.7397260273972601E-2</v>
      </c>
    </row>
    <row r="1893" spans="2:6" x14ac:dyDescent="0.25">
      <c r="B1893" s="33">
        <v>1</v>
      </c>
      <c r="C1893" t="s">
        <v>3</v>
      </c>
      <c r="D1893" t="s">
        <v>186</v>
      </c>
      <c r="E1893">
        <v>10</v>
      </c>
      <c r="F1893" s="2">
        <v>2.7397260273972601E-2</v>
      </c>
    </row>
    <row r="1894" spans="2:6" x14ac:dyDescent="0.25">
      <c r="B1894" s="33">
        <v>1</v>
      </c>
      <c r="C1894" t="s">
        <v>6</v>
      </c>
      <c r="D1894" t="s">
        <v>42</v>
      </c>
      <c r="E1894">
        <v>2</v>
      </c>
      <c r="F1894" s="2">
        <v>2.4657534246575342E-2</v>
      </c>
    </row>
    <row r="1895" spans="2:6" x14ac:dyDescent="0.25">
      <c r="B1895" s="33">
        <v>1</v>
      </c>
      <c r="C1895" t="s">
        <v>77</v>
      </c>
      <c r="D1895" t="s">
        <v>101</v>
      </c>
      <c r="E1895">
        <v>14</v>
      </c>
      <c r="F1895" s="2">
        <v>2.4657534246575342E-2</v>
      </c>
    </row>
    <row r="1896" spans="2:6" x14ac:dyDescent="0.25">
      <c r="B1896" s="33">
        <v>1</v>
      </c>
      <c r="C1896" t="s">
        <v>64</v>
      </c>
      <c r="D1896" t="s">
        <v>179</v>
      </c>
      <c r="E1896">
        <v>13</v>
      </c>
      <c r="F1896" s="2">
        <v>2.7397260273972601E-2</v>
      </c>
    </row>
    <row r="1897" spans="2:6" x14ac:dyDescent="0.25">
      <c r="B1897" s="33">
        <v>1</v>
      </c>
      <c r="C1897" t="s">
        <v>69</v>
      </c>
      <c r="D1897" t="s">
        <v>184</v>
      </c>
      <c r="E1897">
        <v>8</v>
      </c>
      <c r="F1897" s="2">
        <v>1.9178082191780823E-2</v>
      </c>
    </row>
    <row r="1898" spans="2:6" x14ac:dyDescent="0.25">
      <c r="B1898" s="33">
        <v>1</v>
      </c>
      <c r="C1898" t="s">
        <v>3</v>
      </c>
      <c r="D1898" t="s">
        <v>195</v>
      </c>
      <c r="E1898">
        <v>10</v>
      </c>
      <c r="F1898" s="2">
        <v>2.4657534246575342E-2</v>
      </c>
    </row>
    <row r="1899" spans="2:6" x14ac:dyDescent="0.25">
      <c r="B1899" s="33">
        <v>1</v>
      </c>
      <c r="C1899" t="s">
        <v>66</v>
      </c>
      <c r="D1899" t="s">
        <v>202</v>
      </c>
      <c r="E1899">
        <v>10</v>
      </c>
      <c r="F1899" s="2">
        <v>2.1917808219178082E-2</v>
      </c>
    </row>
    <row r="1900" spans="2:6" x14ac:dyDescent="0.25">
      <c r="B1900" s="33">
        <v>1</v>
      </c>
      <c r="C1900" t="s">
        <v>6</v>
      </c>
      <c r="D1900" t="s">
        <v>32</v>
      </c>
      <c r="E1900">
        <v>1</v>
      </c>
      <c r="F1900" s="2">
        <v>2.4657534246575342E-2</v>
      </c>
    </row>
    <row r="1901" spans="2:6" x14ac:dyDescent="0.25">
      <c r="B1901" s="33">
        <v>1</v>
      </c>
      <c r="C1901" t="s">
        <v>3</v>
      </c>
      <c r="D1901" t="s">
        <v>173</v>
      </c>
      <c r="E1901">
        <v>12</v>
      </c>
      <c r="F1901" s="2">
        <v>2.4657534246575342E-2</v>
      </c>
    </row>
    <row r="1902" spans="2:6" x14ac:dyDescent="0.25">
      <c r="B1902" s="33">
        <v>1</v>
      </c>
      <c r="C1902" t="s">
        <v>66</v>
      </c>
      <c r="D1902" t="s">
        <v>211</v>
      </c>
      <c r="E1902">
        <v>12</v>
      </c>
      <c r="F1902" s="2">
        <v>2.1917808219178082E-2</v>
      </c>
    </row>
    <row r="1903" spans="2:6" x14ac:dyDescent="0.25">
      <c r="B1903" s="33">
        <v>1</v>
      </c>
      <c r="C1903" t="s">
        <v>6</v>
      </c>
      <c r="D1903" t="s">
        <v>43</v>
      </c>
      <c r="E1903">
        <v>19</v>
      </c>
      <c r="F1903" s="2">
        <v>2.4657534246575342E-2</v>
      </c>
    </row>
    <row r="1904" spans="2:6" x14ac:dyDescent="0.25">
      <c r="B1904" s="33">
        <v>1</v>
      </c>
      <c r="C1904" t="s">
        <v>6</v>
      </c>
      <c r="D1904" t="s">
        <v>25</v>
      </c>
      <c r="E1904">
        <v>0</v>
      </c>
      <c r="F1904" s="2">
        <v>2.4657534246575342E-2</v>
      </c>
    </row>
    <row r="1905" spans="2:6" x14ac:dyDescent="0.25">
      <c r="B1905" s="33">
        <v>1</v>
      </c>
      <c r="C1905" t="s">
        <v>2</v>
      </c>
      <c r="D1905" t="s">
        <v>172</v>
      </c>
      <c r="E1905">
        <v>15</v>
      </c>
      <c r="F1905" s="2">
        <v>2.1917808219178082E-2</v>
      </c>
    </row>
    <row r="1906" spans="2:6" x14ac:dyDescent="0.25">
      <c r="B1906" s="33">
        <v>1</v>
      </c>
      <c r="C1906" t="s">
        <v>69</v>
      </c>
      <c r="D1906" t="s">
        <v>184</v>
      </c>
      <c r="E1906">
        <v>9</v>
      </c>
      <c r="F1906" s="2">
        <v>1.9178082191780823E-2</v>
      </c>
    </row>
    <row r="1907" spans="2:6" x14ac:dyDescent="0.25">
      <c r="B1907" s="33">
        <v>1</v>
      </c>
      <c r="C1907" t="s">
        <v>3</v>
      </c>
      <c r="D1907" t="s">
        <v>207</v>
      </c>
      <c r="E1907">
        <v>9</v>
      </c>
      <c r="F1907" s="2">
        <v>2.4657534246575342E-2</v>
      </c>
    </row>
    <row r="1908" spans="2:6" x14ac:dyDescent="0.25">
      <c r="B1908" s="33">
        <v>1</v>
      </c>
      <c r="C1908" t="s">
        <v>77</v>
      </c>
      <c r="D1908" t="s">
        <v>85</v>
      </c>
      <c r="E1908">
        <v>17</v>
      </c>
      <c r="F1908" s="2">
        <v>1.9178082191780823E-2</v>
      </c>
    </row>
    <row r="1909" spans="2:6" x14ac:dyDescent="0.25">
      <c r="B1909" s="33">
        <v>1</v>
      </c>
      <c r="C1909" t="s">
        <v>69</v>
      </c>
      <c r="D1909" t="s">
        <v>199</v>
      </c>
      <c r="E1909">
        <v>19</v>
      </c>
      <c r="F1909" s="2">
        <v>1.9178082191780823E-2</v>
      </c>
    </row>
    <row r="1910" spans="2:6" x14ac:dyDescent="0.25">
      <c r="B1910" s="33">
        <v>1</v>
      </c>
      <c r="C1910" t="s">
        <v>4</v>
      </c>
      <c r="D1910" t="s">
        <v>106</v>
      </c>
      <c r="E1910">
        <v>22</v>
      </c>
      <c r="F1910" s="2">
        <v>3.8356164383561646E-2</v>
      </c>
    </row>
    <row r="1911" spans="2:6" x14ac:dyDescent="0.25">
      <c r="B1911" s="33">
        <v>1</v>
      </c>
      <c r="C1911" t="s">
        <v>64</v>
      </c>
      <c r="D1911" t="s">
        <v>115</v>
      </c>
      <c r="E1911">
        <v>23</v>
      </c>
      <c r="F1911" s="2">
        <v>2.1917808219178082E-2</v>
      </c>
    </row>
    <row r="1912" spans="2:6" x14ac:dyDescent="0.25">
      <c r="B1912" s="33">
        <v>1</v>
      </c>
      <c r="C1912" t="s">
        <v>1</v>
      </c>
      <c r="D1912" t="s">
        <v>94</v>
      </c>
      <c r="E1912">
        <v>5</v>
      </c>
      <c r="F1912" s="2">
        <v>2.1917808219178082E-2</v>
      </c>
    </row>
    <row r="1913" spans="2:6" x14ac:dyDescent="0.25">
      <c r="B1913" s="33">
        <v>1</v>
      </c>
      <c r="C1913" t="s">
        <v>69</v>
      </c>
      <c r="D1913" t="s">
        <v>132</v>
      </c>
      <c r="E1913">
        <v>0</v>
      </c>
      <c r="F1913" s="2">
        <v>1.3698630136986301E-2</v>
      </c>
    </row>
    <row r="1914" spans="2:6" x14ac:dyDescent="0.25">
      <c r="B1914" s="33">
        <v>1</v>
      </c>
      <c r="C1914" t="s">
        <v>66</v>
      </c>
      <c r="D1914" t="s">
        <v>168</v>
      </c>
      <c r="E1914">
        <v>2</v>
      </c>
      <c r="F1914" s="2">
        <v>1.643835616438356E-2</v>
      </c>
    </row>
    <row r="1915" spans="2:6" x14ac:dyDescent="0.25">
      <c r="B1915" s="33">
        <v>1</v>
      </c>
      <c r="C1915" t="s">
        <v>3</v>
      </c>
      <c r="D1915" t="s">
        <v>138</v>
      </c>
      <c r="E1915">
        <v>6</v>
      </c>
      <c r="F1915" s="2">
        <v>1.3698630136986301E-2</v>
      </c>
    </row>
    <row r="1916" spans="2:6" x14ac:dyDescent="0.25">
      <c r="B1916" s="33">
        <v>1</v>
      </c>
      <c r="C1916" t="s">
        <v>72</v>
      </c>
      <c r="D1916" t="s">
        <v>73</v>
      </c>
      <c r="E1916">
        <v>3</v>
      </c>
      <c r="F1916" s="2">
        <v>2.1917808219178082E-2</v>
      </c>
    </row>
    <row r="1917" spans="2:6" x14ac:dyDescent="0.25">
      <c r="B1917" s="33">
        <v>1</v>
      </c>
      <c r="C1917" t="s">
        <v>72</v>
      </c>
      <c r="D1917" t="s">
        <v>125</v>
      </c>
      <c r="E1917">
        <v>6</v>
      </c>
      <c r="F1917" s="2">
        <v>1.9178082191780823E-2</v>
      </c>
    </row>
    <row r="1918" spans="2:6" x14ac:dyDescent="0.25">
      <c r="B1918" s="33">
        <v>1</v>
      </c>
      <c r="C1918" t="s">
        <v>2</v>
      </c>
      <c r="D1918" t="s">
        <v>172</v>
      </c>
      <c r="E1918">
        <v>1</v>
      </c>
      <c r="F1918" s="2">
        <v>1.0958904109589041E-2</v>
      </c>
    </row>
    <row r="1919" spans="2:6" x14ac:dyDescent="0.25">
      <c r="B1919" s="33">
        <v>1</v>
      </c>
      <c r="C1919" t="s">
        <v>77</v>
      </c>
      <c r="D1919" t="s">
        <v>98</v>
      </c>
      <c r="E1919">
        <v>7</v>
      </c>
      <c r="F1919" s="2">
        <v>1.3698630136986301E-2</v>
      </c>
    </row>
    <row r="1920" spans="2:6" x14ac:dyDescent="0.25">
      <c r="B1920" s="33">
        <v>1</v>
      </c>
      <c r="C1920" t="s">
        <v>6</v>
      </c>
      <c r="D1920" t="s">
        <v>21</v>
      </c>
      <c r="E1920">
        <v>6</v>
      </c>
      <c r="F1920" s="2">
        <v>2.4657534246575342E-2</v>
      </c>
    </row>
    <row r="1921" spans="2:6" x14ac:dyDescent="0.25">
      <c r="B1921" s="33">
        <v>1</v>
      </c>
      <c r="C1921" t="s">
        <v>69</v>
      </c>
      <c r="D1921" t="s">
        <v>220</v>
      </c>
      <c r="E1921">
        <v>11</v>
      </c>
      <c r="F1921" s="2">
        <v>1.9178082191780823E-2</v>
      </c>
    </row>
    <row r="1922" spans="2:6" x14ac:dyDescent="0.25">
      <c r="B1922" s="33">
        <v>1</v>
      </c>
      <c r="C1922" t="s">
        <v>69</v>
      </c>
      <c r="D1922" t="s">
        <v>128</v>
      </c>
      <c r="E1922">
        <v>10</v>
      </c>
      <c r="F1922" s="2">
        <v>1.9178082191780823E-2</v>
      </c>
    </row>
    <row r="1923" spans="2:6" x14ac:dyDescent="0.25">
      <c r="B1923" s="33">
        <v>1</v>
      </c>
      <c r="C1923" t="s">
        <v>77</v>
      </c>
      <c r="D1923" t="s">
        <v>101</v>
      </c>
      <c r="E1923">
        <v>12</v>
      </c>
      <c r="F1923" s="2">
        <v>2.4657534246575342E-2</v>
      </c>
    </row>
    <row r="1924" spans="2:6" x14ac:dyDescent="0.25">
      <c r="B1924" s="33">
        <v>1</v>
      </c>
      <c r="C1924" t="s">
        <v>74</v>
      </c>
      <c r="D1924" t="s">
        <v>174</v>
      </c>
      <c r="E1924">
        <v>8</v>
      </c>
      <c r="F1924" s="2">
        <v>5.4794520547945202E-2</v>
      </c>
    </row>
    <row r="1925" spans="2:6" x14ac:dyDescent="0.25">
      <c r="B1925" s="33">
        <v>1</v>
      </c>
      <c r="C1925" t="s">
        <v>1</v>
      </c>
      <c r="D1925" t="s">
        <v>200</v>
      </c>
      <c r="E1925">
        <v>14</v>
      </c>
      <c r="F1925" s="2">
        <v>2.1917808219178082E-2</v>
      </c>
    </row>
    <row r="1926" spans="2:6" x14ac:dyDescent="0.25">
      <c r="B1926" s="33">
        <v>1</v>
      </c>
      <c r="C1926" t="s">
        <v>77</v>
      </c>
      <c r="D1926" t="s">
        <v>78</v>
      </c>
      <c r="E1926">
        <v>14</v>
      </c>
      <c r="F1926" s="2">
        <v>2.4657534246575342E-2</v>
      </c>
    </row>
    <row r="1927" spans="2:6" x14ac:dyDescent="0.25">
      <c r="B1927" s="33">
        <v>1</v>
      </c>
      <c r="C1927" t="s">
        <v>88</v>
      </c>
      <c r="D1927" t="s">
        <v>201</v>
      </c>
      <c r="E1927">
        <v>8</v>
      </c>
      <c r="F1927" s="2">
        <v>5.7534246575342465E-2</v>
      </c>
    </row>
    <row r="1928" spans="2:6" x14ac:dyDescent="0.25">
      <c r="B1928" s="33">
        <v>1</v>
      </c>
      <c r="C1928" t="s">
        <v>64</v>
      </c>
      <c r="D1928" t="s">
        <v>175</v>
      </c>
      <c r="E1928">
        <v>11</v>
      </c>
      <c r="F1928" s="2">
        <v>2.4657534246575342E-2</v>
      </c>
    </row>
    <row r="1929" spans="2:6" x14ac:dyDescent="0.25">
      <c r="B1929" s="33">
        <v>1</v>
      </c>
      <c r="C1929" t="s">
        <v>88</v>
      </c>
      <c r="D1929" t="s">
        <v>201</v>
      </c>
      <c r="E1929">
        <v>14</v>
      </c>
      <c r="F1929" s="2">
        <v>4.6575342465753428E-2</v>
      </c>
    </row>
    <row r="1930" spans="2:6" x14ac:dyDescent="0.25">
      <c r="B1930" s="33">
        <v>1</v>
      </c>
      <c r="C1930" t="s">
        <v>3</v>
      </c>
      <c r="D1930" t="s">
        <v>207</v>
      </c>
      <c r="E1930">
        <v>10</v>
      </c>
      <c r="F1930" s="2">
        <v>2.4657534246575342E-2</v>
      </c>
    </row>
    <row r="1931" spans="2:6" x14ac:dyDescent="0.25">
      <c r="B1931" s="33">
        <v>1</v>
      </c>
      <c r="C1931" t="s">
        <v>64</v>
      </c>
      <c r="D1931" t="s">
        <v>175</v>
      </c>
      <c r="E1931">
        <v>15</v>
      </c>
      <c r="F1931" s="2">
        <v>2.4657534246575342E-2</v>
      </c>
    </row>
    <row r="1932" spans="2:6" x14ac:dyDescent="0.25">
      <c r="B1932" s="33">
        <v>1</v>
      </c>
      <c r="C1932" t="s">
        <v>3</v>
      </c>
      <c r="D1932" t="s">
        <v>191</v>
      </c>
      <c r="E1932">
        <v>13</v>
      </c>
      <c r="F1932" s="2">
        <v>2.4657534246575342E-2</v>
      </c>
    </row>
    <row r="1933" spans="2:6" x14ac:dyDescent="0.25">
      <c r="B1933" s="33">
        <v>1</v>
      </c>
      <c r="C1933" t="s">
        <v>6</v>
      </c>
      <c r="D1933" t="s">
        <v>32</v>
      </c>
      <c r="E1933">
        <v>3</v>
      </c>
      <c r="F1933" s="2">
        <v>2.4657534246575342E-2</v>
      </c>
    </row>
    <row r="1934" spans="2:6" x14ac:dyDescent="0.25">
      <c r="B1934" s="33">
        <v>1</v>
      </c>
      <c r="C1934" t="s">
        <v>77</v>
      </c>
      <c r="D1934" t="s">
        <v>83</v>
      </c>
      <c r="E1934">
        <v>13</v>
      </c>
      <c r="F1934" s="2">
        <v>2.4657534246575342E-2</v>
      </c>
    </row>
    <row r="1935" spans="2:6" x14ac:dyDescent="0.25">
      <c r="B1935" s="33">
        <v>1</v>
      </c>
      <c r="C1935" t="s">
        <v>77</v>
      </c>
      <c r="D1935" t="s">
        <v>136</v>
      </c>
      <c r="E1935">
        <v>14</v>
      </c>
      <c r="F1935" s="2">
        <v>2.4657534246575342E-2</v>
      </c>
    </row>
    <row r="1936" spans="2:6" x14ac:dyDescent="0.25">
      <c r="B1936" s="33">
        <v>1</v>
      </c>
      <c r="C1936" t="s">
        <v>1</v>
      </c>
      <c r="D1936" t="s">
        <v>214</v>
      </c>
      <c r="E1936">
        <v>14</v>
      </c>
      <c r="F1936" s="2">
        <v>2.1917808219178082E-2</v>
      </c>
    </row>
    <row r="1937" spans="2:6" x14ac:dyDescent="0.25">
      <c r="B1937" s="33">
        <v>1</v>
      </c>
      <c r="C1937" t="s">
        <v>66</v>
      </c>
      <c r="D1937" t="s">
        <v>202</v>
      </c>
      <c r="E1937">
        <v>12</v>
      </c>
      <c r="F1937" s="2">
        <v>2.1917808219178082E-2</v>
      </c>
    </row>
    <row r="1938" spans="2:6" x14ac:dyDescent="0.25">
      <c r="B1938" s="33">
        <v>1</v>
      </c>
      <c r="C1938" t="s">
        <v>64</v>
      </c>
      <c r="D1938" t="s">
        <v>213</v>
      </c>
      <c r="E1938">
        <v>10</v>
      </c>
      <c r="F1938" s="2">
        <v>2.4657534246575342E-2</v>
      </c>
    </row>
    <row r="1939" spans="2:6" x14ac:dyDescent="0.25">
      <c r="B1939" s="33">
        <v>1</v>
      </c>
      <c r="C1939" t="s">
        <v>77</v>
      </c>
      <c r="D1939" t="s">
        <v>162</v>
      </c>
      <c r="E1939">
        <v>21</v>
      </c>
      <c r="F1939" s="2">
        <v>1.9178082191780823E-2</v>
      </c>
    </row>
    <row r="1940" spans="2:6" x14ac:dyDescent="0.25">
      <c r="B1940" s="33">
        <v>1</v>
      </c>
      <c r="C1940" t="s">
        <v>1</v>
      </c>
      <c r="D1940" t="s">
        <v>155</v>
      </c>
      <c r="E1940">
        <v>23</v>
      </c>
      <c r="F1940" s="2">
        <v>2.1917808219178082E-2</v>
      </c>
    </row>
    <row r="1941" spans="2:6" x14ac:dyDescent="0.25">
      <c r="B1941" s="33">
        <v>1</v>
      </c>
      <c r="C1941" t="s">
        <v>69</v>
      </c>
      <c r="D1941" t="s">
        <v>148</v>
      </c>
      <c r="E1941">
        <v>18</v>
      </c>
      <c r="F1941" s="2">
        <v>1.9178082191780823E-2</v>
      </c>
    </row>
    <row r="1942" spans="2:6" x14ac:dyDescent="0.25">
      <c r="B1942" s="33">
        <v>1</v>
      </c>
      <c r="C1942" t="s">
        <v>1</v>
      </c>
      <c r="D1942" t="s">
        <v>176</v>
      </c>
      <c r="E1942">
        <v>23</v>
      </c>
      <c r="F1942" s="2">
        <v>2.1917808219178082E-2</v>
      </c>
    </row>
    <row r="1943" spans="2:6" x14ac:dyDescent="0.25">
      <c r="B1943" s="33">
        <v>1</v>
      </c>
      <c r="C1943" t="s">
        <v>90</v>
      </c>
      <c r="D1943" t="s">
        <v>164</v>
      </c>
      <c r="E1943">
        <v>16</v>
      </c>
      <c r="F1943" s="2">
        <v>4.3835616438356165E-2</v>
      </c>
    </row>
    <row r="1944" spans="2:6" x14ac:dyDescent="0.25">
      <c r="B1944" s="33">
        <v>1</v>
      </c>
      <c r="C1944" t="s">
        <v>3</v>
      </c>
      <c r="D1944" t="s">
        <v>157</v>
      </c>
      <c r="E1944">
        <v>17</v>
      </c>
      <c r="F1944" s="2">
        <v>2.1917808219178082E-2</v>
      </c>
    </row>
    <row r="1945" spans="2:6" x14ac:dyDescent="0.25">
      <c r="B1945" s="33">
        <v>1</v>
      </c>
      <c r="C1945" t="s">
        <v>6</v>
      </c>
      <c r="D1945" t="s">
        <v>25</v>
      </c>
      <c r="E1945">
        <v>23</v>
      </c>
      <c r="F1945" s="2">
        <v>2.4657534246575342E-2</v>
      </c>
    </row>
    <row r="1946" spans="2:6" x14ac:dyDescent="0.25">
      <c r="B1946" s="33">
        <v>1</v>
      </c>
      <c r="C1946" t="s">
        <v>1</v>
      </c>
      <c r="D1946" t="s">
        <v>217</v>
      </c>
      <c r="E1946">
        <v>16</v>
      </c>
      <c r="F1946" s="2">
        <v>2.1917808219178082E-2</v>
      </c>
    </row>
    <row r="1947" spans="2:6" x14ac:dyDescent="0.25">
      <c r="B1947" s="33">
        <v>1</v>
      </c>
      <c r="C1947" t="s">
        <v>103</v>
      </c>
      <c r="D1947" t="s">
        <v>137</v>
      </c>
      <c r="E1947">
        <v>20</v>
      </c>
      <c r="F1947" s="2">
        <v>2.7397260273972601E-2</v>
      </c>
    </row>
    <row r="1948" spans="2:6" x14ac:dyDescent="0.25">
      <c r="B1948" s="33">
        <v>1</v>
      </c>
      <c r="C1948" t="s">
        <v>72</v>
      </c>
      <c r="D1948" t="s">
        <v>209</v>
      </c>
      <c r="E1948">
        <v>19</v>
      </c>
      <c r="F1948" s="2">
        <v>3.287671232876712E-2</v>
      </c>
    </row>
    <row r="1949" spans="2:6" x14ac:dyDescent="0.25">
      <c r="B1949" s="33">
        <v>1</v>
      </c>
      <c r="C1949" t="s">
        <v>77</v>
      </c>
      <c r="D1949" t="s">
        <v>145</v>
      </c>
      <c r="E1949">
        <v>21</v>
      </c>
      <c r="F1949" s="2">
        <v>1.9178082191780823E-2</v>
      </c>
    </row>
    <row r="1950" spans="2:6" x14ac:dyDescent="0.25">
      <c r="B1950" s="33">
        <v>1</v>
      </c>
      <c r="C1950" t="s">
        <v>74</v>
      </c>
      <c r="D1950" t="s">
        <v>221</v>
      </c>
      <c r="E1950">
        <v>17</v>
      </c>
      <c r="F1950" s="2">
        <v>3.5616438356164383E-2</v>
      </c>
    </row>
    <row r="1951" spans="2:6" x14ac:dyDescent="0.25">
      <c r="B1951" s="33">
        <v>1</v>
      </c>
      <c r="C1951" t="s">
        <v>66</v>
      </c>
      <c r="D1951" t="s">
        <v>182</v>
      </c>
      <c r="E1951">
        <v>19</v>
      </c>
      <c r="F1951" s="2">
        <v>3.8356164383561646E-2</v>
      </c>
    </row>
    <row r="1952" spans="2:6" x14ac:dyDescent="0.25">
      <c r="B1952" s="33">
        <v>1</v>
      </c>
      <c r="C1952" t="s">
        <v>74</v>
      </c>
      <c r="D1952" t="s">
        <v>75</v>
      </c>
      <c r="E1952">
        <v>1</v>
      </c>
      <c r="F1952" s="2">
        <v>3.0136986301369864E-2</v>
      </c>
    </row>
    <row r="1953" spans="2:6" x14ac:dyDescent="0.25">
      <c r="B1953" s="33">
        <v>1</v>
      </c>
      <c r="C1953" t="s">
        <v>1</v>
      </c>
      <c r="D1953" t="s">
        <v>110</v>
      </c>
      <c r="E1953">
        <v>0</v>
      </c>
      <c r="F1953" s="2">
        <v>2.1917808219178082E-2</v>
      </c>
    </row>
    <row r="1954" spans="2:6" x14ac:dyDescent="0.25">
      <c r="B1954" s="33">
        <v>1</v>
      </c>
      <c r="C1954" t="s">
        <v>3</v>
      </c>
      <c r="D1954" t="s">
        <v>203</v>
      </c>
      <c r="E1954">
        <v>1</v>
      </c>
      <c r="F1954" s="2">
        <v>1.3698630136986301E-2</v>
      </c>
    </row>
    <row r="1955" spans="2:6" x14ac:dyDescent="0.25">
      <c r="B1955" s="33">
        <v>1</v>
      </c>
      <c r="C1955" t="s">
        <v>72</v>
      </c>
      <c r="D1955" t="s">
        <v>149</v>
      </c>
      <c r="E1955">
        <v>2</v>
      </c>
      <c r="F1955" s="2">
        <v>1.9178082191780823E-2</v>
      </c>
    </row>
    <row r="1956" spans="2:6" x14ac:dyDescent="0.25">
      <c r="B1956" s="33">
        <v>1</v>
      </c>
      <c r="C1956" t="s">
        <v>90</v>
      </c>
      <c r="D1956" t="s">
        <v>120</v>
      </c>
      <c r="E1956">
        <v>5</v>
      </c>
      <c r="F1956" s="2">
        <v>2.7397260273972601E-2</v>
      </c>
    </row>
    <row r="1957" spans="2:6" x14ac:dyDescent="0.25">
      <c r="B1957" s="33">
        <v>1</v>
      </c>
      <c r="C1957" t="s">
        <v>1</v>
      </c>
      <c r="D1957" t="s">
        <v>155</v>
      </c>
      <c r="E1957">
        <v>1</v>
      </c>
      <c r="F1957" s="2">
        <v>2.1917808219178082E-2</v>
      </c>
    </row>
    <row r="1958" spans="2:6" x14ac:dyDescent="0.25">
      <c r="B1958" s="33">
        <v>1</v>
      </c>
      <c r="C1958" t="s">
        <v>69</v>
      </c>
      <c r="D1958" t="s">
        <v>190</v>
      </c>
      <c r="E1958">
        <v>7</v>
      </c>
      <c r="F1958" s="2">
        <v>1.0958904109589041E-2</v>
      </c>
    </row>
    <row r="1959" spans="2:6" x14ac:dyDescent="0.25">
      <c r="B1959" s="33">
        <v>1</v>
      </c>
      <c r="C1959" t="s">
        <v>66</v>
      </c>
      <c r="D1959" t="s">
        <v>67</v>
      </c>
      <c r="E1959">
        <v>5</v>
      </c>
      <c r="F1959" s="2">
        <v>1.643835616438356E-2</v>
      </c>
    </row>
    <row r="1960" spans="2:6" x14ac:dyDescent="0.25">
      <c r="B1960" s="33">
        <v>1</v>
      </c>
      <c r="C1960" t="s">
        <v>64</v>
      </c>
      <c r="D1960" t="s">
        <v>115</v>
      </c>
      <c r="E1960">
        <v>1</v>
      </c>
      <c r="F1960" s="2">
        <v>2.1917808219178082E-2</v>
      </c>
    </row>
    <row r="1961" spans="2:6" x14ac:dyDescent="0.25">
      <c r="B1961" s="33">
        <v>1</v>
      </c>
      <c r="C1961" t="s">
        <v>69</v>
      </c>
      <c r="D1961" t="s">
        <v>154</v>
      </c>
      <c r="E1961">
        <v>4</v>
      </c>
      <c r="F1961" s="2">
        <v>1.0958904109589041E-2</v>
      </c>
    </row>
    <row r="1962" spans="2:6" x14ac:dyDescent="0.25">
      <c r="B1962" s="33">
        <v>1</v>
      </c>
      <c r="C1962" t="s">
        <v>126</v>
      </c>
      <c r="D1962" t="s">
        <v>171</v>
      </c>
      <c r="E1962">
        <v>8</v>
      </c>
      <c r="F1962" s="2">
        <v>3.5616438356164383E-2</v>
      </c>
    </row>
    <row r="1963" spans="2:6" x14ac:dyDescent="0.25">
      <c r="B1963" s="33">
        <v>1</v>
      </c>
      <c r="C1963" t="s">
        <v>77</v>
      </c>
      <c r="D1963" t="s">
        <v>85</v>
      </c>
      <c r="E1963">
        <v>13</v>
      </c>
      <c r="F1963" s="2">
        <v>2.1917808219178082E-2</v>
      </c>
    </row>
    <row r="1964" spans="2:6" x14ac:dyDescent="0.25">
      <c r="B1964" s="33">
        <v>1</v>
      </c>
      <c r="C1964" t="s">
        <v>69</v>
      </c>
      <c r="D1964" t="s">
        <v>113</v>
      </c>
      <c r="E1964">
        <v>9</v>
      </c>
      <c r="F1964" s="2">
        <v>1.9178082191780823E-2</v>
      </c>
    </row>
    <row r="1965" spans="2:6" x14ac:dyDescent="0.25">
      <c r="B1965" s="33">
        <v>1</v>
      </c>
      <c r="C1965" t="s">
        <v>77</v>
      </c>
      <c r="D1965" t="s">
        <v>87</v>
      </c>
      <c r="E1965">
        <v>8</v>
      </c>
      <c r="F1965" s="2">
        <v>2.1917808219178082E-2</v>
      </c>
    </row>
    <row r="1966" spans="2:6" x14ac:dyDescent="0.25">
      <c r="B1966" s="33">
        <v>1</v>
      </c>
      <c r="C1966" t="s">
        <v>69</v>
      </c>
      <c r="D1966" t="s">
        <v>199</v>
      </c>
      <c r="E1966">
        <v>10</v>
      </c>
      <c r="F1966" s="2">
        <v>1.9178082191780823E-2</v>
      </c>
    </row>
    <row r="1967" spans="2:6" x14ac:dyDescent="0.25">
      <c r="B1967" s="33">
        <v>1</v>
      </c>
      <c r="C1967" t="s">
        <v>72</v>
      </c>
      <c r="D1967" t="s">
        <v>187</v>
      </c>
      <c r="E1967">
        <v>15</v>
      </c>
      <c r="F1967" s="2">
        <v>3.287671232876712E-2</v>
      </c>
    </row>
    <row r="1968" spans="2:6" x14ac:dyDescent="0.25">
      <c r="B1968" s="33">
        <v>1</v>
      </c>
      <c r="C1968" t="s">
        <v>103</v>
      </c>
      <c r="D1968" t="s">
        <v>137</v>
      </c>
      <c r="E1968">
        <v>12</v>
      </c>
      <c r="F1968" s="2">
        <v>3.5616438356164383E-2</v>
      </c>
    </row>
    <row r="1969" spans="2:6" x14ac:dyDescent="0.25">
      <c r="B1969" s="33">
        <v>1</v>
      </c>
      <c r="C1969" t="s">
        <v>72</v>
      </c>
      <c r="D1969" t="s">
        <v>149</v>
      </c>
      <c r="E1969">
        <v>11</v>
      </c>
      <c r="F1969" s="2">
        <v>3.287671232876712E-2</v>
      </c>
    </row>
    <row r="1970" spans="2:6" x14ac:dyDescent="0.25">
      <c r="B1970" s="33">
        <v>1</v>
      </c>
      <c r="C1970" t="s">
        <v>0</v>
      </c>
      <c r="D1970" t="s">
        <v>111</v>
      </c>
      <c r="E1970">
        <v>12</v>
      </c>
      <c r="F1970" s="2">
        <v>6.8493150684931503E-2</v>
      </c>
    </row>
    <row r="1971" spans="2:6" x14ac:dyDescent="0.25">
      <c r="B1971" s="33">
        <v>1</v>
      </c>
      <c r="C1971" t="s">
        <v>103</v>
      </c>
      <c r="D1971" t="s">
        <v>137</v>
      </c>
      <c r="E1971">
        <v>8</v>
      </c>
      <c r="F1971" s="2">
        <v>3.287671232876712E-2</v>
      </c>
    </row>
    <row r="1972" spans="2:6" x14ac:dyDescent="0.25">
      <c r="B1972" s="33">
        <v>1</v>
      </c>
      <c r="C1972" t="s">
        <v>3</v>
      </c>
      <c r="D1972" t="s">
        <v>100</v>
      </c>
      <c r="E1972">
        <v>12</v>
      </c>
      <c r="F1972" s="2">
        <v>2.4657534246575342E-2</v>
      </c>
    </row>
    <row r="1973" spans="2:6" x14ac:dyDescent="0.25">
      <c r="B1973" s="33">
        <v>1</v>
      </c>
      <c r="C1973" t="s">
        <v>69</v>
      </c>
      <c r="D1973" t="s">
        <v>128</v>
      </c>
      <c r="E1973">
        <v>21</v>
      </c>
      <c r="F1973" s="2">
        <v>1.9178082191780823E-2</v>
      </c>
    </row>
    <row r="1974" spans="2:6" x14ac:dyDescent="0.25">
      <c r="B1974" s="33">
        <v>1</v>
      </c>
      <c r="C1974" t="s">
        <v>2</v>
      </c>
      <c r="D1974" t="s">
        <v>96</v>
      </c>
      <c r="E1974">
        <v>21</v>
      </c>
      <c r="F1974" s="2">
        <v>2.4657534246575342E-2</v>
      </c>
    </row>
    <row r="1975" spans="2:6" x14ac:dyDescent="0.25">
      <c r="B1975" s="33">
        <v>1</v>
      </c>
      <c r="C1975" t="s">
        <v>6</v>
      </c>
      <c r="D1975" t="s">
        <v>44</v>
      </c>
      <c r="E1975">
        <v>18</v>
      </c>
      <c r="F1975" s="2">
        <v>2.1917808219178082E-2</v>
      </c>
    </row>
    <row r="1976" spans="2:6" x14ac:dyDescent="0.25">
      <c r="B1976" s="33">
        <v>1</v>
      </c>
      <c r="C1976" t="s">
        <v>3</v>
      </c>
      <c r="D1976" t="s">
        <v>100</v>
      </c>
      <c r="E1976">
        <v>19</v>
      </c>
      <c r="F1976" s="2">
        <v>2.1917808219178082E-2</v>
      </c>
    </row>
    <row r="1977" spans="2:6" x14ac:dyDescent="0.25">
      <c r="B1977" s="33">
        <v>1</v>
      </c>
      <c r="C1977" t="s">
        <v>77</v>
      </c>
      <c r="D1977" t="s">
        <v>146</v>
      </c>
      <c r="E1977">
        <v>20</v>
      </c>
      <c r="F1977" s="2">
        <v>1.9178082191780823E-2</v>
      </c>
    </row>
    <row r="1978" spans="2:6" x14ac:dyDescent="0.25">
      <c r="B1978" s="33">
        <v>1</v>
      </c>
      <c r="C1978" t="s">
        <v>64</v>
      </c>
      <c r="D1978" t="s">
        <v>222</v>
      </c>
      <c r="E1978">
        <v>17</v>
      </c>
      <c r="F1978" s="2">
        <v>2.7397260273972603E-3</v>
      </c>
    </row>
    <row r="1979" spans="2:6" x14ac:dyDescent="0.25">
      <c r="B1979" s="33">
        <v>1</v>
      </c>
      <c r="C1979" t="s">
        <v>64</v>
      </c>
      <c r="D1979" t="s">
        <v>222</v>
      </c>
      <c r="E1979">
        <v>18</v>
      </c>
      <c r="F1979" s="2">
        <v>8.21917808219178E-3</v>
      </c>
    </row>
    <row r="1980" spans="2:6" x14ac:dyDescent="0.25">
      <c r="B1980" s="33">
        <v>1</v>
      </c>
      <c r="C1980" t="s">
        <v>77</v>
      </c>
      <c r="D1980" t="s">
        <v>192</v>
      </c>
      <c r="E1980">
        <v>17</v>
      </c>
      <c r="F1980" s="2">
        <v>1.643835616438356E-2</v>
      </c>
    </row>
    <row r="1981" spans="2:6" x14ac:dyDescent="0.25">
      <c r="B1981" s="33">
        <v>1</v>
      </c>
      <c r="C1981" t="s">
        <v>77</v>
      </c>
      <c r="D1981" t="s">
        <v>85</v>
      </c>
      <c r="E1981">
        <v>19</v>
      </c>
      <c r="F1981" s="2">
        <v>1.643835616438356E-2</v>
      </c>
    </row>
    <row r="1982" spans="2:6" x14ac:dyDescent="0.25">
      <c r="B1982" s="33">
        <v>1</v>
      </c>
      <c r="C1982" t="s">
        <v>88</v>
      </c>
      <c r="D1982" t="s">
        <v>201</v>
      </c>
      <c r="E1982">
        <v>22</v>
      </c>
      <c r="F1982" s="2">
        <v>3.0136986301369864E-2</v>
      </c>
    </row>
    <row r="1983" spans="2:6" x14ac:dyDescent="0.25">
      <c r="B1983" s="33">
        <v>1</v>
      </c>
      <c r="C1983" t="s">
        <v>66</v>
      </c>
      <c r="D1983" t="s">
        <v>93</v>
      </c>
      <c r="E1983">
        <v>22</v>
      </c>
      <c r="F1983" s="2">
        <v>3.5616438356164383E-2</v>
      </c>
    </row>
    <row r="1984" spans="2:6" x14ac:dyDescent="0.25">
      <c r="B1984" s="33">
        <v>1</v>
      </c>
      <c r="C1984" t="s">
        <v>66</v>
      </c>
      <c r="D1984" t="s">
        <v>122</v>
      </c>
      <c r="E1984">
        <v>20</v>
      </c>
      <c r="F1984" s="2">
        <v>3.5616438356164383E-2</v>
      </c>
    </row>
    <row r="1985" spans="2:6" x14ac:dyDescent="0.25">
      <c r="B1985" s="33">
        <v>1</v>
      </c>
      <c r="C1985" t="s">
        <v>0</v>
      </c>
      <c r="D1985" t="s">
        <v>133</v>
      </c>
      <c r="E1985">
        <v>22</v>
      </c>
      <c r="F1985" s="2">
        <v>4.1095890410958902E-2</v>
      </c>
    </row>
    <row r="1986" spans="2:6" x14ac:dyDescent="0.25">
      <c r="B1986" s="33">
        <v>1</v>
      </c>
      <c r="C1986" t="s">
        <v>3</v>
      </c>
      <c r="D1986" t="s">
        <v>203</v>
      </c>
      <c r="E1986">
        <v>17</v>
      </c>
      <c r="F1986" s="2">
        <v>2.1917808219178082E-2</v>
      </c>
    </row>
    <row r="1987" spans="2:6" x14ac:dyDescent="0.25">
      <c r="B1987" s="33">
        <v>1</v>
      </c>
      <c r="C1987" t="s">
        <v>6</v>
      </c>
      <c r="D1987" t="s">
        <v>34</v>
      </c>
      <c r="E1987">
        <v>4</v>
      </c>
      <c r="F1987" s="2">
        <v>2.1917808219178082E-2</v>
      </c>
    </row>
    <row r="1988" spans="2:6" x14ac:dyDescent="0.25">
      <c r="B1988" s="33">
        <v>1</v>
      </c>
      <c r="C1988" t="s">
        <v>64</v>
      </c>
      <c r="D1988" t="s">
        <v>65</v>
      </c>
      <c r="E1988">
        <v>3</v>
      </c>
      <c r="F1988" s="2">
        <v>1.9178082191780823E-2</v>
      </c>
    </row>
    <row r="1989" spans="2:6" x14ac:dyDescent="0.25">
      <c r="B1989" s="33">
        <v>1</v>
      </c>
      <c r="C1989" t="s">
        <v>69</v>
      </c>
      <c r="D1989" t="s">
        <v>184</v>
      </c>
      <c r="E1989">
        <v>7</v>
      </c>
      <c r="F1989" s="2">
        <v>1.0958904109589041E-2</v>
      </c>
    </row>
    <row r="1990" spans="2:6" x14ac:dyDescent="0.25">
      <c r="B1990" s="33">
        <v>1</v>
      </c>
      <c r="C1990" t="s">
        <v>90</v>
      </c>
      <c r="D1990" t="s">
        <v>120</v>
      </c>
      <c r="E1990">
        <v>4</v>
      </c>
      <c r="F1990" s="2">
        <v>2.4657534246575342E-2</v>
      </c>
    </row>
    <row r="1991" spans="2:6" x14ac:dyDescent="0.25">
      <c r="B1991" s="33">
        <v>1</v>
      </c>
      <c r="C1991" t="s">
        <v>3</v>
      </c>
      <c r="D1991" t="s">
        <v>84</v>
      </c>
      <c r="E1991">
        <v>3</v>
      </c>
      <c r="F1991" s="2">
        <v>1.3698630136986301E-2</v>
      </c>
    </row>
    <row r="1992" spans="2:6" x14ac:dyDescent="0.25">
      <c r="B1992" s="33">
        <v>1</v>
      </c>
      <c r="C1992" t="s">
        <v>1</v>
      </c>
      <c r="D1992" t="s">
        <v>110</v>
      </c>
      <c r="E1992">
        <v>2</v>
      </c>
      <c r="F1992" s="2">
        <v>2.1917808219178082E-2</v>
      </c>
    </row>
    <row r="1993" spans="2:6" x14ac:dyDescent="0.25">
      <c r="B1993" s="33">
        <v>1</v>
      </c>
      <c r="C1993" t="s">
        <v>77</v>
      </c>
      <c r="D1993" t="s">
        <v>145</v>
      </c>
      <c r="E1993">
        <v>1</v>
      </c>
      <c r="F1993" s="2">
        <v>1.3698630136986301E-2</v>
      </c>
    </row>
    <row r="1994" spans="2:6" x14ac:dyDescent="0.25">
      <c r="B1994" s="33">
        <v>1</v>
      </c>
      <c r="C1994" t="s">
        <v>4</v>
      </c>
      <c r="D1994" t="s">
        <v>153</v>
      </c>
      <c r="E1994">
        <v>4</v>
      </c>
      <c r="F1994" s="2">
        <v>1.0958904109589041E-2</v>
      </c>
    </row>
    <row r="1995" spans="2:6" x14ac:dyDescent="0.25">
      <c r="B1995" s="33">
        <v>1</v>
      </c>
      <c r="C1995" t="s">
        <v>1</v>
      </c>
      <c r="D1995" t="s">
        <v>144</v>
      </c>
      <c r="E1995">
        <v>4</v>
      </c>
      <c r="F1995" s="2">
        <v>1.9178082191780823E-2</v>
      </c>
    </row>
    <row r="1996" spans="2:6" x14ac:dyDescent="0.25">
      <c r="B1996" s="33">
        <v>1</v>
      </c>
      <c r="C1996" t="s">
        <v>103</v>
      </c>
      <c r="D1996" t="s">
        <v>104</v>
      </c>
      <c r="E1996">
        <v>4</v>
      </c>
      <c r="F1996" s="2">
        <v>1.0958904109589041E-2</v>
      </c>
    </row>
    <row r="1997" spans="2:6" x14ac:dyDescent="0.25">
      <c r="B1997" s="33">
        <v>1</v>
      </c>
      <c r="C1997" t="s">
        <v>64</v>
      </c>
      <c r="D1997" t="s">
        <v>121</v>
      </c>
      <c r="E1997">
        <v>6</v>
      </c>
      <c r="F1997" s="2">
        <v>1.9178082191780823E-2</v>
      </c>
    </row>
    <row r="1998" spans="2:6" x14ac:dyDescent="0.25">
      <c r="B1998" s="33">
        <v>1</v>
      </c>
      <c r="C1998" t="s">
        <v>69</v>
      </c>
      <c r="D1998" t="s">
        <v>183</v>
      </c>
      <c r="E1998">
        <v>11</v>
      </c>
      <c r="F1998" s="2">
        <v>1.9178082191780823E-2</v>
      </c>
    </row>
    <row r="1999" spans="2:6" x14ac:dyDescent="0.25">
      <c r="B1999" s="33">
        <v>1</v>
      </c>
      <c r="C1999" t="s">
        <v>74</v>
      </c>
      <c r="D1999" t="s">
        <v>221</v>
      </c>
      <c r="E1999">
        <v>14</v>
      </c>
      <c r="F1999" s="2">
        <v>5.2054794520547946E-2</v>
      </c>
    </row>
    <row r="2000" spans="2:6" x14ac:dyDescent="0.25">
      <c r="B2000" s="33">
        <v>1</v>
      </c>
      <c r="C2000" t="s">
        <v>77</v>
      </c>
      <c r="D2000" t="s">
        <v>196</v>
      </c>
      <c r="E2000">
        <v>9</v>
      </c>
      <c r="F2000" s="2">
        <v>2.1917808219178082E-2</v>
      </c>
    </row>
    <row r="2001" spans="2:6" x14ac:dyDescent="0.25">
      <c r="B2001" s="33">
        <v>1</v>
      </c>
      <c r="C2001" t="s">
        <v>69</v>
      </c>
      <c r="D2001" t="s">
        <v>128</v>
      </c>
      <c r="E2001">
        <v>14</v>
      </c>
      <c r="F2001" s="2">
        <v>1.9178082191780823E-2</v>
      </c>
    </row>
    <row r="2002" spans="2:6" x14ac:dyDescent="0.25">
      <c r="B2002" s="33">
        <v>1</v>
      </c>
      <c r="C2002" t="s">
        <v>4</v>
      </c>
      <c r="D2002" t="s">
        <v>153</v>
      </c>
      <c r="E2002">
        <v>8</v>
      </c>
      <c r="F2002" s="2">
        <v>3.287671232876712E-2</v>
      </c>
    </row>
    <row r="2003" spans="2:6" x14ac:dyDescent="0.25">
      <c r="B2003" s="33">
        <v>1</v>
      </c>
      <c r="C2003" t="s">
        <v>2</v>
      </c>
      <c r="D2003" t="s">
        <v>198</v>
      </c>
      <c r="E2003">
        <v>19</v>
      </c>
      <c r="F2003" s="2">
        <v>2.4657534246575342E-2</v>
      </c>
    </row>
    <row r="2004" spans="2:6" x14ac:dyDescent="0.25">
      <c r="B2004" s="33">
        <v>1</v>
      </c>
      <c r="C2004" t="s">
        <v>77</v>
      </c>
      <c r="D2004" t="s">
        <v>204</v>
      </c>
      <c r="E2004">
        <v>21</v>
      </c>
      <c r="F2004" s="2">
        <v>1.643835616438356E-2</v>
      </c>
    </row>
    <row r="2005" spans="2:6" x14ac:dyDescent="0.25">
      <c r="B2005" s="33">
        <v>1</v>
      </c>
      <c r="C2005" t="s">
        <v>72</v>
      </c>
      <c r="D2005" t="s">
        <v>187</v>
      </c>
      <c r="E2005">
        <v>20</v>
      </c>
      <c r="F2005" s="2">
        <v>3.287671232876712E-2</v>
      </c>
    </row>
    <row r="2006" spans="2:6" x14ac:dyDescent="0.25">
      <c r="B2006" s="33">
        <v>1</v>
      </c>
      <c r="C2006" t="s">
        <v>3</v>
      </c>
      <c r="D2006" t="s">
        <v>188</v>
      </c>
      <c r="E2006">
        <v>16</v>
      </c>
      <c r="F2006" s="2">
        <v>2.1917808219178082E-2</v>
      </c>
    </row>
    <row r="2007" spans="2:6" x14ac:dyDescent="0.25">
      <c r="B2007" s="33">
        <v>1</v>
      </c>
      <c r="C2007" t="s">
        <v>64</v>
      </c>
      <c r="D2007" t="s">
        <v>175</v>
      </c>
      <c r="E2007">
        <v>19</v>
      </c>
      <c r="F2007" s="2">
        <v>3.5616438356164383E-2</v>
      </c>
    </row>
    <row r="2008" spans="2:6" x14ac:dyDescent="0.25">
      <c r="B2008" s="33">
        <v>1</v>
      </c>
      <c r="C2008" t="s">
        <v>1</v>
      </c>
      <c r="D2008" t="s">
        <v>217</v>
      </c>
      <c r="E2008">
        <v>17</v>
      </c>
      <c r="F2008" s="2">
        <v>2.1917808219178082E-2</v>
      </c>
    </row>
    <row r="2009" spans="2:6" x14ac:dyDescent="0.25">
      <c r="B2009" s="33">
        <v>1</v>
      </c>
      <c r="C2009" t="s">
        <v>126</v>
      </c>
      <c r="D2009" t="s">
        <v>131</v>
      </c>
      <c r="E2009">
        <v>22</v>
      </c>
      <c r="F2009" s="2">
        <v>3.0136986301369864E-2</v>
      </c>
    </row>
    <row r="2010" spans="2:6" x14ac:dyDescent="0.25">
      <c r="B2010" s="33">
        <v>1</v>
      </c>
      <c r="C2010" t="s">
        <v>69</v>
      </c>
      <c r="D2010" t="s">
        <v>159</v>
      </c>
      <c r="E2010">
        <v>19</v>
      </c>
      <c r="F2010" s="2">
        <v>1.9178082191780823E-2</v>
      </c>
    </row>
    <row r="2011" spans="2:6" x14ac:dyDescent="0.25">
      <c r="B2011" s="33">
        <v>1</v>
      </c>
      <c r="C2011" t="s">
        <v>1</v>
      </c>
      <c r="D2011" t="s">
        <v>152</v>
      </c>
      <c r="E2011">
        <v>20</v>
      </c>
      <c r="F2011" s="2">
        <v>2.1917808219178082E-2</v>
      </c>
    </row>
    <row r="2012" spans="2:6" x14ac:dyDescent="0.25">
      <c r="B2012" s="33">
        <v>1</v>
      </c>
      <c r="C2012" t="s">
        <v>90</v>
      </c>
      <c r="D2012" t="s">
        <v>164</v>
      </c>
      <c r="E2012">
        <v>22</v>
      </c>
      <c r="F2012" s="2">
        <v>3.8356164383561646E-2</v>
      </c>
    </row>
    <row r="2013" spans="2:6" x14ac:dyDescent="0.25">
      <c r="B2013" s="33">
        <v>1</v>
      </c>
      <c r="C2013" t="s">
        <v>72</v>
      </c>
      <c r="D2013" t="s">
        <v>125</v>
      </c>
      <c r="E2013">
        <v>4</v>
      </c>
      <c r="F2013" s="2">
        <v>1.9178082191780823E-2</v>
      </c>
    </row>
    <row r="2014" spans="2:6" x14ac:dyDescent="0.25">
      <c r="B2014" s="33">
        <v>1</v>
      </c>
      <c r="C2014" t="s">
        <v>3</v>
      </c>
      <c r="D2014" t="s">
        <v>79</v>
      </c>
      <c r="E2014">
        <v>2</v>
      </c>
      <c r="F2014" s="2">
        <v>1.3698630136986301E-2</v>
      </c>
    </row>
    <row r="2015" spans="2:6" x14ac:dyDescent="0.25">
      <c r="B2015" s="33">
        <v>1</v>
      </c>
      <c r="C2015" t="s">
        <v>90</v>
      </c>
      <c r="D2015" t="s">
        <v>120</v>
      </c>
      <c r="E2015">
        <v>2</v>
      </c>
      <c r="F2015" s="2">
        <v>2.4657534246575342E-2</v>
      </c>
    </row>
    <row r="2016" spans="2:6" x14ac:dyDescent="0.25">
      <c r="B2016" s="33">
        <v>1</v>
      </c>
      <c r="C2016" t="s">
        <v>74</v>
      </c>
      <c r="D2016" t="s">
        <v>105</v>
      </c>
      <c r="E2016">
        <v>1</v>
      </c>
      <c r="F2016" s="2">
        <v>2.7397260273972601E-2</v>
      </c>
    </row>
    <row r="2017" spans="2:6" x14ac:dyDescent="0.25">
      <c r="B2017" s="33">
        <v>1</v>
      </c>
      <c r="C2017" t="s">
        <v>90</v>
      </c>
      <c r="D2017" t="s">
        <v>91</v>
      </c>
      <c r="E2017">
        <v>4</v>
      </c>
      <c r="F2017" s="2">
        <v>2.1917808219178082E-2</v>
      </c>
    </row>
    <row r="2018" spans="2:6" x14ac:dyDescent="0.25">
      <c r="B2018" s="33">
        <v>1</v>
      </c>
      <c r="C2018" t="s">
        <v>3</v>
      </c>
      <c r="D2018" t="s">
        <v>108</v>
      </c>
      <c r="E2018">
        <v>6</v>
      </c>
      <c r="F2018" s="2">
        <v>1.3698630136986301E-2</v>
      </c>
    </row>
    <row r="2019" spans="2:6" x14ac:dyDescent="0.25">
      <c r="B2019" s="33">
        <v>1</v>
      </c>
      <c r="C2019" t="s">
        <v>6</v>
      </c>
      <c r="D2019" t="s">
        <v>25</v>
      </c>
      <c r="E2019">
        <v>21</v>
      </c>
      <c r="F2019" s="2">
        <v>2.1917808219178082E-2</v>
      </c>
    </row>
    <row r="2020" spans="2:6" x14ac:dyDescent="0.25">
      <c r="B2020" s="33">
        <v>1</v>
      </c>
      <c r="C2020" t="s">
        <v>88</v>
      </c>
      <c r="D2020" t="s">
        <v>117</v>
      </c>
      <c r="E2020">
        <v>3</v>
      </c>
      <c r="F2020" s="2">
        <v>2.1917808219178082E-2</v>
      </c>
    </row>
    <row r="2021" spans="2:6" x14ac:dyDescent="0.25">
      <c r="B2021" s="33">
        <v>1</v>
      </c>
      <c r="C2021" t="s">
        <v>69</v>
      </c>
      <c r="D2021" t="s">
        <v>215</v>
      </c>
      <c r="E2021">
        <v>0</v>
      </c>
      <c r="F2021" s="2">
        <v>1.0958904109589041E-2</v>
      </c>
    </row>
    <row r="2022" spans="2:6" x14ac:dyDescent="0.25">
      <c r="B2022" s="33">
        <v>1</v>
      </c>
      <c r="C2022" t="s">
        <v>72</v>
      </c>
      <c r="D2022" t="s">
        <v>125</v>
      </c>
      <c r="E2022">
        <v>1</v>
      </c>
      <c r="F2022" s="2">
        <v>1.9178082191780823E-2</v>
      </c>
    </row>
    <row r="2023" spans="2:6" x14ac:dyDescent="0.25">
      <c r="B2023" s="33">
        <v>1</v>
      </c>
      <c r="C2023" t="s">
        <v>3</v>
      </c>
      <c r="D2023" t="s">
        <v>173</v>
      </c>
      <c r="E2023">
        <v>1</v>
      </c>
      <c r="F2023" s="2">
        <v>1.3698630136986301E-2</v>
      </c>
    </row>
    <row r="2024" spans="2:6" x14ac:dyDescent="0.25">
      <c r="B2024" s="33">
        <v>1</v>
      </c>
      <c r="C2024" t="s">
        <v>69</v>
      </c>
      <c r="D2024" t="s">
        <v>190</v>
      </c>
      <c r="E2024">
        <v>13</v>
      </c>
      <c r="F2024" s="2">
        <v>1.9178082191780823E-2</v>
      </c>
    </row>
    <row r="2025" spans="2:6" x14ac:dyDescent="0.25">
      <c r="B2025" s="33">
        <v>1</v>
      </c>
      <c r="C2025" t="s">
        <v>3</v>
      </c>
      <c r="D2025" t="s">
        <v>188</v>
      </c>
      <c r="E2025">
        <v>10</v>
      </c>
      <c r="F2025" s="2">
        <v>2.4657534246575342E-2</v>
      </c>
    </row>
    <row r="2026" spans="2:6" x14ac:dyDescent="0.25">
      <c r="B2026" s="33">
        <v>1</v>
      </c>
      <c r="C2026" t="s">
        <v>88</v>
      </c>
      <c r="D2026" t="s">
        <v>160</v>
      </c>
      <c r="E2026">
        <v>9</v>
      </c>
      <c r="F2026" s="2">
        <v>4.6575342465753428E-2</v>
      </c>
    </row>
    <row r="2027" spans="2:6" x14ac:dyDescent="0.25">
      <c r="B2027" s="33">
        <v>1</v>
      </c>
      <c r="C2027" t="s">
        <v>0</v>
      </c>
      <c r="D2027" t="s">
        <v>133</v>
      </c>
      <c r="E2027">
        <v>10</v>
      </c>
      <c r="F2027" s="2">
        <v>6.0273972602739728E-2</v>
      </c>
    </row>
    <row r="2028" spans="2:6" x14ac:dyDescent="0.25">
      <c r="B2028" s="33">
        <v>1</v>
      </c>
      <c r="C2028" t="s">
        <v>69</v>
      </c>
      <c r="D2028" t="s">
        <v>128</v>
      </c>
      <c r="E2028">
        <v>12</v>
      </c>
      <c r="F2028" s="2">
        <v>1.9178082191780823E-2</v>
      </c>
    </row>
    <row r="2029" spans="2:6" x14ac:dyDescent="0.25">
      <c r="B2029" s="33">
        <v>1</v>
      </c>
      <c r="C2029" t="s">
        <v>2</v>
      </c>
      <c r="D2029" t="s">
        <v>170</v>
      </c>
      <c r="E2029">
        <v>8</v>
      </c>
      <c r="F2029" s="2">
        <v>1.9178082191780823E-2</v>
      </c>
    </row>
    <row r="2030" spans="2:6" x14ac:dyDescent="0.25">
      <c r="B2030" s="33">
        <v>1</v>
      </c>
      <c r="C2030" t="s">
        <v>69</v>
      </c>
      <c r="D2030" t="s">
        <v>223</v>
      </c>
      <c r="E2030">
        <v>9</v>
      </c>
      <c r="F2030" s="2">
        <v>1.9178082191780823E-2</v>
      </c>
    </row>
    <row r="2031" spans="2:6" x14ac:dyDescent="0.25">
      <c r="B2031" s="33">
        <v>1</v>
      </c>
      <c r="C2031" t="s">
        <v>64</v>
      </c>
      <c r="D2031" t="s">
        <v>165</v>
      </c>
      <c r="E2031">
        <v>8</v>
      </c>
      <c r="F2031" s="2">
        <v>2.1917808219178082E-2</v>
      </c>
    </row>
    <row r="2032" spans="2:6" x14ac:dyDescent="0.25">
      <c r="B2032" s="33">
        <v>1</v>
      </c>
      <c r="C2032" t="s">
        <v>77</v>
      </c>
      <c r="D2032" t="s">
        <v>224</v>
      </c>
      <c r="E2032">
        <v>9</v>
      </c>
      <c r="F2032" s="2">
        <v>2.1917808219178082E-2</v>
      </c>
    </row>
    <row r="2033" spans="2:6" x14ac:dyDescent="0.25">
      <c r="B2033" s="33">
        <v>1</v>
      </c>
      <c r="C2033" t="s">
        <v>88</v>
      </c>
      <c r="D2033" t="s">
        <v>160</v>
      </c>
      <c r="E2033">
        <v>12</v>
      </c>
      <c r="F2033" s="2">
        <v>4.6575342465753428E-2</v>
      </c>
    </row>
    <row r="2034" spans="2:6" x14ac:dyDescent="0.25">
      <c r="B2034" s="33">
        <v>1</v>
      </c>
      <c r="C2034" t="s">
        <v>126</v>
      </c>
      <c r="D2034" t="s">
        <v>147</v>
      </c>
      <c r="E2034">
        <v>15</v>
      </c>
      <c r="F2034" s="2">
        <v>4.1095890410958902E-2</v>
      </c>
    </row>
    <row r="2035" spans="2:6" x14ac:dyDescent="0.25">
      <c r="B2035" s="33">
        <v>1</v>
      </c>
      <c r="C2035" t="s">
        <v>77</v>
      </c>
      <c r="D2035" t="s">
        <v>192</v>
      </c>
      <c r="E2035">
        <v>12</v>
      </c>
      <c r="F2035" s="2">
        <v>2.1917808219178082E-2</v>
      </c>
    </row>
    <row r="2036" spans="2:6" x14ac:dyDescent="0.25">
      <c r="B2036" s="33">
        <v>1</v>
      </c>
      <c r="C2036" t="s">
        <v>3</v>
      </c>
      <c r="D2036" t="s">
        <v>208</v>
      </c>
      <c r="E2036">
        <v>21</v>
      </c>
      <c r="F2036" s="2">
        <v>2.1917808219178082E-2</v>
      </c>
    </row>
    <row r="2037" spans="2:6" x14ac:dyDescent="0.25">
      <c r="B2037" s="33">
        <v>1</v>
      </c>
      <c r="C2037" t="s">
        <v>64</v>
      </c>
      <c r="D2037" t="s">
        <v>213</v>
      </c>
      <c r="E2037">
        <v>16</v>
      </c>
      <c r="F2037" s="2">
        <v>1.0958904109589041E-2</v>
      </c>
    </row>
    <row r="2038" spans="2:6" x14ac:dyDescent="0.25">
      <c r="B2038" s="33">
        <v>1</v>
      </c>
      <c r="C2038" t="s">
        <v>77</v>
      </c>
      <c r="D2038" t="s">
        <v>204</v>
      </c>
      <c r="E2038">
        <v>23</v>
      </c>
      <c r="F2038" s="2">
        <v>1.643835616438356E-2</v>
      </c>
    </row>
    <row r="2039" spans="2:6" x14ac:dyDescent="0.25">
      <c r="B2039" s="33">
        <v>1</v>
      </c>
      <c r="C2039" t="s">
        <v>64</v>
      </c>
      <c r="D2039" t="s">
        <v>213</v>
      </c>
      <c r="E2039">
        <v>17</v>
      </c>
      <c r="F2039" s="2">
        <v>8.21917808219178E-3</v>
      </c>
    </row>
    <row r="2040" spans="2:6" x14ac:dyDescent="0.25">
      <c r="B2040" s="33">
        <v>1</v>
      </c>
      <c r="C2040" t="s">
        <v>103</v>
      </c>
      <c r="D2040" t="s">
        <v>139</v>
      </c>
      <c r="E2040">
        <v>22</v>
      </c>
      <c r="F2040" s="2">
        <v>2.1917808219178082E-2</v>
      </c>
    </row>
    <row r="2041" spans="2:6" x14ac:dyDescent="0.25">
      <c r="B2041" s="33">
        <v>1</v>
      </c>
      <c r="C2041" t="s">
        <v>6</v>
      </c>
      <c r="D2041" t="s">
        <v>42</v>
      </c>
      <c r="E2041">
        <v>23</v>
      </c>
      <c r="F2041" s="2">
        <v>2.1917808219178082E-2</v>
      </c>
    </row>
    <row r="2042" spans="2:6" x14ac:dyDescent="0.25">
      <c r="B2042" s="33">
        <v>1</v>
      </c>
      <c r="C2042" t="s">
        <v>1</v>
      </c>
      <c r="D2042" t="s">
        <v>214</v>
      </c>
      <c r="E2042">
        <v>20</v>
      </c>
      <c r="F2042" s="2">
        <v>2.1917808219178082E-2</v>
      </c>
    </row>
    <row r="2043" spans="2:6" x14ac:dyDescent="0.25">
      <c r="B2043" s="33">
        <v>1</v>
      </c>
      <c r="C2043" t="s">
        <v>3</v>
      </c>
      <c r="D2043" t="s">
        <v>191</v>
      </c>
      <c r="E2043">
        <v>7</v>
      </c>
      <c r="F2043" s="2">
        <v>1.3698630136986301E-2</v>
      </c>
    </row>
    <row r="2044" spans="2:6" x14ac:dyDescent="0.25">
      <c r="B2044" s="33">
        <v>1</v>
      </c>
      <c r="C2044" t="s">
        <v>66</v>
      </c>
      <c r="D2044" t="s">
        <v>135</v>
      </c>
      <c r="E2044">
        <v>0</v>
      </c>
      <c r="F2044" s="2">
        <v>1.643835616438356E-2</v>
      </c>
    </row>
    <row r="2045" spans="2:6" x14ac:dyDescent="0.25">
      <c r="B2045" s="33">
        <v>1</v>
      </c>
      <c r="C2045" t="s">
        <v>90</v>
      </c>
      <c r="D2045" t="s">
        <v>164</v>
      </c>
      <c r="E2045">
        <v>7</v>
      </c>
      <c r="F2045" s="2">
        <v>2.1917808219178082E-2</v>
      </c>
    </row>
    <row r="2046" spans="2:6" x14ac:dyDescent="0.25">
      <c r="B2046" s="33">
        <v>1</v>
      </c>
      <c r="C2046" t="s">
        <v>77</v>
      </c>
      <c r="D2046" t="s">
        <v>87</v>
      </c>
      <c r="E2046">
        <v>6</v>
      </c>
      <c r="F2046" s="2">
        <v>1.0958904109589041E-2</v>
      </c>
    </row>
    <row r="2047" spans="2:6" x14ac:dyDescent="0.25">
      <c r="B2047" s="33">
        <v>1</v>
      </c>
      <c r="C2047" t="s">
        <v>77</v>
      </c>
      <c r="D2047" t="s">
        <v>97</v>
      </c>
      <c r="E2047">
        <v>7</v>
      </c>
      <c r="F2047" s="2">
        <v>1.0958904109589041E-2</v>
      </c>
    </row>
    <row r="2048" spans="2:6" x14ac:dyDescent="0.25">
      <c r="B2048" s="33">
        <v>1</v>
      </c>
      <c r="C2048" t="s">
        <v>77</v>
      </c>
      <c r="D2048" t="s">
        <v>193</v>
      </c>
      <c r="E2048">
        <v>5</v>
      </c>
      <c r="F2048" s="2">
        <v>1.0958904109589041E-2</v>
      </c>
    </row>
    <row r="2049" spans="2:6" x14ac:dyDescent="0.25">
      <c r="B2049" s="33">
        <v>1</v>
      </c>
      <c r="C2049" t="s">
        <v>69</v>
      </c>
      <c r="D2049" t="s">
        <v>181</v>
      </c>
      <c r="E2049">
        <v>10</v>
      </c>
      <c r="F2049" s="2">
        <v>1.9178082191780823E-2</v>
      </c>
    </row>
    <row r="2050" spans="2:6" x14ac:dyDescent="0.25">
      <c r="B2050" s="33">
        <v>1</v>
      </c>
      <c r="C2050" t="s">
        <v>77</v>
      </c>
      <c r="D2050" t="s">
        <v>136</v>
      </c>
      <c r="E2050">
        <v>8</v>
      </c>
      <c r="F2050" s="2">
        <v>2.1917808219178082E-2</v>
      </c>
    </row>
    <row r="2051" spans="2:6" x14ac:dyDescent="0.25">
      <c r="B2051" s="33">
        <v>1</v>
      </c>
      <c r="C2051" t="s">
        <v>77</v>
      </c>
      <c r="D2051" t="s">
        <v>146</v>
      </c>
      <c r="E2051">
        <v>13</v>
      </c>
      <c r="F2051" s="2">
        <v>2.1917808219178082E-2</v>
      </c>
    </row>
    <row r="2052" spans="2:6" x14ac:dyDescent="0.25">
      <c r="B2052" s="33">
        <v>1</v>
      </c>
      <c r="C2052" t="s">
        <v>69</v>
      </c>
      <c r="D2052" t="s">
        <v>124</v>
      </c>
      <c r="E2052">
        <v>9</v>
      </c>
      <c r="F2052" s="2">
        <v>1.9178082191780823E-2</v>
      </c>
    </row>
    <row r="2053" spans="2:6" x14ac:dyDescent="0.25">
      <c r="B2053" s="33">
        <v>1</v>
      </c>
      <c r="C2053" t="s">
        <v>77</v>
      </c>
      <c r="D2053" t="s">
        <v>142</v>
      </c>
      <c r="E2053">
        <v>15</v>
      </c>
      <c r="F2053" s="2">
        <v>2.1917808219178082E-2</v>
      </c>
    </row>
    <row r="2054" spans="2:6" x14ac:dyDescent="0.25">
      <c r="B2054" s="33">
        <v>1</v>
      </c>
      <c r="C2054" t="s">
        <v>69</v>
      </c>
      <c r="D2054" t="s">
        <v>215</v>
      </c>
      <c r="E2054">
        <v>13</v>
      </c>
      <c r="F2054" s="2">
        <v>1.643835616438356E-2</v>
      </c>
    </row>
    <row r="2055" spans="2:6" x14ac:dyDescent="0.25">
      <c r="B2055" s="33">
        <v>1</v>
      </c>
      <c r="C2055" t="s">
        <v>126</v>
      </c>
      <c r="D2055" t="s">
        <v>147</v>
      </c>
      <c r="E2055">
        <v>11</v>
      </c>
      <c r="F2055" s="2">
        <v>1.3698630136986301E-2</v>
      </c>
    </row>
    <row r="2056" spans="2:6" x14ac:dyDescent="0.25">
      <c r="B2056" s="33">
        <v>1</v>
      </c>
      <c r="C2056" t="s">
        <v>3</v>
      </c>
      <c r="D2056" t="s">
        <v>207</v>
      </c>
      <c r="E2056">
        <v>11</v>
      </c>
      <c r="F2056" s="2">
        <v>2.4657534246575342E-2</v>
      </c>
    </row>
    <row r="2057" spans="2:6" x14ac:dyDescent="0.25">
      <c r="B2057" s="33">
        <v>1</v>
      </c>
      <c r="C2057" t="s">
        <v>88</v>
      </c>
      <c r="D2057" t="s">
        <v>201</v>
      </c>
      <c r="E2057">
        <v>10</v>
      </c>
      <c r="F2057" s="2">
        <v>4.1095890410958902E-2</v>
      </c>
    </row>
    <row r="2058" spans="2:6" x14ac:dyDescent="0.25">
      <c r="B2058" s="33">
        <v>1</v>
      </c>
      <c r="C2058" t="s">
        <v>103</v>
      </c>
      <c r="D2058" t="s">
        <v>137</v>
      </c>
      <c r="E2058">
        <v>23</v>
      </c>
      <c r="F2058" s="2">
        <v>2.1917808219178082E-2</v>
      </c>
    </row>
    <row r="2059" spans="2:6" x14ac:dyDescent="0.25">
      <c r="B2059" s="33">
        <v>1</v>
      </c>
      <c r="C2059" t="s">
        <v>6</v>
      </c>
      <c r="D2059" t="s">
        <v>32</v>
      </c>
      <c r="E2059">
        <v>6</v>
      </c>
      <c r="F2059" s="2">
        <v>2.1917808219178082E-2</v>
      </c>
    </row>
    <row r="2060" spans="2:6" x14ac:dyDescent="0.25">
      <c r="B2060" s="33">
        <v>1</v>
      </c>
      <c r="C2060" t="s">
        <v>69</v>
      </c>
      <c r="D2060" t="s">
        <v>206</v>
      </c>
      <c r="E2060">
        <v>21</v>
      </c>
      <c r="F2060" s="2">
        <v>1.643835616438356E-2</v>
      </c>
    </row>
    <row r="2061" spans="2:6" x14ac:dyDescent="0.25">
      <c r="B2061" s="33">
        <v>1</v>
      </c>
      <c r="C2061" t="s">
        <v>1</v>
      </c>
      <c r="D2061" t="s">
        <v>217</v>
      </c>
      <c r="E2061">
        <v>20</v>
      </c>
      <c r="F2061" s="2">
        <v>2.1917808219178082E-2</v>
      </c>
    </row>
    <row r="2062" spans="2:6" x14ac:dyDescent="0.25">
      <c r="B2062" s="33">
        <v>1</v>
      </c>
      <c r="C2062" t="s">
        <v>69</v>
      </c>
      <c r="D2062" t="s">
        <v>184</v>
      </c>
      <c r="E2062">
        <v>16</v>
      </c>
      <c r="F2062" s="2">
        <v>1.643835616438356E-2</v>
      </c>
    </row>
    <row r="2063" spans="2:6" x14ac:dyDescent="0.25">
      <c r="B2063" s="33">
        <v>1</v>
      </c>
      <c r="C2063" t="s">
        <v>66</v>
      </c>
      <c r="D2063" t="s">
        <v>151</v>
      </c>
      <c r="E2063">
        <v>23</v>
      </c>
      <c r="F2063" s="2">
        <v>3.287671232876712E-2</v>
      </c>
    </row>
    <row r="2064" spans="2:6" x14ac:dyDescent="0.25">
      <c r="B2064" s="33">
        <v>1</v>
      </c>
      <c r="C2064" t="s">
        <v>77</v>
      </c>
      <c r="D2064" t="s">
        <v>225</v>
      </c>
      <c r="E2064">
        <v>7</v>
      </c>
      <c r="F2064" s="2">
        <v>1.0958904109589041E-2</v>
      </c>
    </row>
    <row r="2065" spans="2:6" x14ac:dyDescent="0.25">
      <c r="B2065" s="33">
        <v>1</v>
      </c>
      <c r="C2065" t="s">
        <v>3</v>
      </c>
      <c r="D2065" t="s">
        <v>79</v>
      </c>
      <c r="E2065">
        <v>6</v>
      </c>
      <c r="F2065" s="2">
        <v>1.3698630136986301E-2</v>
      </c>
    </row>
    <row r="2066" spans="2:6" x14ac:dyDescent="0.25">
      <c r="B2066" s="33">
        <v>1</v>
      </c>
      <c r="C2066" t="s">
        <v>4</v>
      </c>
      <c r="D2066" t="s">
        <v>166</v>
      </c>
      <c r="E2066">
        <v>1</v>
      </c>
      <c r="F2066" s="2">
        <v>5.4794520547945206E-3</v>
      </c>
    </row>
    <row r="2067" spans="2:6" x14ac:dyDescent="0.25">
      <c r="B2067" s="33">
        <v>1</v>
      </c>
      <c r="C2067" t="s">
        <v>69</v>
      </c>
      <c r="D2067" t="s">
        <v>218</v>
      </c>
      <c r="E2067">
        <v>1</v>
      </c>
      <c r="F2067" s="2">
        <v>1.0958904109589041E-2</v>
      </c>
    </row>
    <row r="2068" spans="2:6" x14ac:dyDescent="0.25">
      <c r="B2068" s="33">
        <v>1</v>
      </c>
      <c r="C2068" t="s">
        <v>66</v>
      </c>
      <c r="D2068" t="s">
        <v>202</v>
      </c>
      <c r="E2068">
        <v>6</v>
      </c>
      <c r="F2068" s="2">
        <v>1.643835616438356E-2</v>
      </c>
    </row>
    <row r="2069" spans="2:6" x14ac:dyDescent="0.25">
      <c r="B2069" s="33">
        <v>1</v>
      </c>
      <c r="C2069" t="s">
        <v>3</v>
      </c>
      <c r="D2069" t="s">
        <v>186</v>
      </c>
      <c r="E2069">
        <v>13</v>
      </c>
      <c r="F2069" s="2">
        <v>2.4657534246575342E-2</v>
      </c>
    </row>
    <row r="2070" spans="2:6" x14ac:dyDescent="0.25">
      <c r="B2070" s="33">
        <v>1</v>
      </c>
      <c r="C2070" t="s">
        <v>103</v>
      </c>
      <c r="D2070" t="s">
        <v>45</v>
      </c>
      <c r="E2070">
        <v>11</v>
      </c>
      <c r="F2070" s="2">
        <v>3.287671232876712E-2</v>
      </c>
    </row>
    <row r="2071" spans="2:6" x14ac:dyDescent="0.25">
      <c r="B2071" s="33">
        <v>1</v>
      </c>
      <c r="C2071" t="s">
        <v>77</v>
      </c>
      <c r="D2071" t="s">
        <v>97</v>
      </c>
      <c r="E2071">
        <v>15</v>
      </c>
      <c r="F2071" s="2">
        <v>1.9178082191780823E-2</v>
      </c>
    </row>
    <row r="2072" spans="2:6" x14ac:dyDescent="0.25">
      <c r="B2072" s="33">
        <v>1</v>
      </c>
      <c r="C2072" t="s">
        <v>66</v>
      </c>
      <c r="D2072" t="s">
        <v>211</v>
      </c>
      <c r="E2072">
        <v>13</v>
      </c>
      <c r="F2072" s="2">
        <v>2.1917808219178082E-2</v>
      </c>
    </row>
    <row r="2073" spans="2:6" x14ac:dyDescent="0.25">
      <c r="B2073" s="33">
        <v>1</v>
      </c>
      <c r="C2073" t="s">
        <v>2</v>
      </c>
      <c r="D2073" t="s">
        <v>96</v>
      </c>
      <c r="E2073">
        <v>13</v>
      </c>
      <c r="F2073" s="2">
        <v>1.9178082191780823E-2</v>
      </c>
    </row>
    <row r="2074" spans="2:6" x14ac:dyDescent="0.25">
      <c r="B2074" s="33">
        <v>1</v>
      </c>
      <c r="C2074" t="s">
        <v>77</v>
      </c>
      <c r="D2074" t="s">
        <v>162</v>
      </c>
      <c r="E2074">
        <v>8</v>
      </c>
      <c r="F2074" s="2">
        <v>1.9178082191780823E-2</v>
      </c>
    </row>
    <row r="2075" spans="2:6" x14ac:dyDescent="0.25">
      <c r="B2075" s="33">
        <v>1</v>
      </c>
      <c r="C2075" t="s">
        <v>77</v>
      </c>
      <c r="D2075" t="s">
        <v>162</v>
      </c>
      <c r="E2075">
        <v>12</v>
      </c>
      <c r="F2075" s="2">
        <v>1.9178082191780823E-2</v>
      </c>
    </row>
    <row r="2076" spans="2:6" x14ac:dyDescent="0.25">
      <c r="B2076" s="33">
        <v>1</v>
      </c>
      <c r="C2076" t="s">
        <v>103</v>
      </c>
      <c r="D2076" t="s">
        <v>194</v>
      </c>
      <c r="E2076">
        <v>9</v>
      </c>
      <c r="F2076" s="2">
        <v>3.287671232876712E-2</v>
      </c>
    </row>
    <row r="2077" spans="2:6" x14ac:dyDescent="0.25">
      <c r="B2077" s="33">
        <v>1</v>
      </c>
      <c r="C2077" t="s">
        <v>64</v>
      </c>
      <c r="D2077" t="s">
        <v>175</v>
      </c>
      <c r="E2077">
        <v>10</v>
      </c>
      <c r="F2077" s="2">
        <v>2.1917808219178082E-2</v>
      </c>
    </row>
    <row r="2078" spans="2:6" x14ac:dyDescent="0.25">
      <c r="B2078" s="33">
        <v>1</v>
      </c>
      <c r="C2078" t="s">
        <v>77</v>
      </c>
      <c r="D2078" t="s">
        <v>196</v>
      </c>
      <c r="E2078">
        <v>13</v>
      </c>
      <c r="F2078" s="2">
        <v>1.9178082191780823E-2</v>
      </c>
    </row>
    <row r="2079" spans="2:6" x14ac:dyDescent="0.25">
      <c r="B2079" s="33">
        <v>1</v>
      </c>
      <c r="C2079" t="s">
        <v>69</v>
      </c>
      <c r="D2079" t="s">
        <v>159</v>
      </c>
      <c r="E2079">
        <v>13</v>
      </c>
      <c r="F2079" s="2">
        <v>1.643835616438356E-2</v>
      </c>
    </row>
    <row r="2080" spans="2:6" x14ac:dyDescent="0.25">
      <c r="B2080" s="33">
        <v>1</v>
      </c>
      <c r="C2080" t="s">
        <v>69</v>
      </c>
      <c r="D2080" t="s">
        <v>140</v>
      </c>
      <c r="E2080">
        <v>12</v>
      </c>
      <c r="F2080" s="2">
        <v>1.643835616438356E-2</v>
      </c>
    </row>
    <row r="2081" spans="2:6" x14ac:dyDescent="0.25">
      <c r="B2081" s="33">
        <v>1</v>
      </c>
      <c r="C2081" t="s">
        <v>69</v>
      </c>
      <c r="D2081" t="s">
        <v>190</v>
      </c>
      <c r="E2081">
        <v>14</v>
      </c>
      <c r="F2081" s="2">
        <v>1.643835616438356E-2</v>
      </c>
    </row>
    <row r="2082" spans="2:6" x14ac:dyDescent="0.25">
      <c r="B2082" s="33">
        <v>1</v>
      </c>
      <c r="C2082" t="s">
        <v>3</v>
      </c>
      <c r="D2082" t="s">
        <v>186</v>
      </c>
      <c r="E2082">
        <v>15</v>
      </c>
      <c r="F2082" s="2">
        <v>2.4657534246575342E-2</v>
      </c>
    </row>
    <row r="2083" spans="2:6" x14ac:dyDescent="0.25">
      <c r="B2083" s="33">
        <v>1</v>
      </c>
      <c r="C2083" t="s">
        <v>103</v>
      </c>
      <c r="D2083" t="s">
        <v>141</v>
      </c>
      <c r="E2083">
        <v>10</v>
      </c>
      <c r="F2083" s="2">
        <v>3.287671232876712E-2</v>
      </c>
    </row>
    <row r="2084" spans="2:6" x14ac:dyDescent="0.25">
      <c r="B2084" s="33">
        <v>1</v>
      </c>
      <c r="C2084" t="s">
        <v>3</v>
      </c>
      <c r="D2084" t="s">
        <v>208</v>
      </c>
      <c r="E2084">
        <v>10</v>
      </c>
      <c r="F2084" s="2">
        <v>2.4657534246575342E-2</v>
      </c>
    </row>
    <row r="2085" spans="2:6" x14ac:dyDescent="0.25">
      <c r="B2085" s="33">
        <v>1</v>
      </c>
      <c r="C2085" t="s">
        <v>3</v>
      </c>
      <c r="D2085" t="s">
        <v>208</v>
      </c>
      <c r="E2085">
        <v>18</v>
      </c>
      <c r="F2085" s="2">
        <v>2.1917808219178082E-2</v>
      </c>
    </row>
    <row r="2086" spans="2:6" x14ac:dyDescent="0.25">
      <c r="B2086" s="33">
        <v>1</v>
      </c>
      <c r="C2086" t="s">
        <v>72</v>
      </c>
      <c r="D2086" t="s">
        <v>149</v>
      </c>
      <c r="E2086">
        <v>23</v>
      </c>
      <c r="F2086" s="2">
        <v>3.287671232876712E-2</v>
      </c>
    </row>
    <row r="2087" spans="2:6" x14ac:dyDescent="0.25">
      <c r="B2087" s="33">
        <v>1</v>
      </c>
      <c r="C2087" t="s">
        <v>4</v>
      </c>
      <c r="D2087" t="s">
        <v>106</v>
      </c>
      <c r="E2087">
        <v>16</v>
      </c>
      <c r="F2087" s="2">
        <v>3.8356164383561646E-2</v>
      </c>
    </row>
    <row r="2088" spans="2:6" x14ac:dyDescent="0.25">
      <c r="B2088" s="33">
        <v>1</v>
      </c>
      <c r="C2088" t="s">
        <v>103</v>
      </c>
      <c r="D2088" t="s">
        <v>139</v>
      </c>
      <c r="E2088">
        <v>21</v>
      </c>
      <c r="F2088" s="2">
        <v>2.1917808219178082E-2</v>
      </c>
    </row>
    <row r="2089" spans="2:6" x14ac:dyDescent="0.25">
      <c r="B2089" s="33">
        <v>1</v>
      </c>
      <c r="C2089" t="s">
        <v>69</v>
      </c>
      <c r="D2089" t="s">
        <v>128</v>
      </c>
      <c r="E2089">
        <v>1</v>
      </c>
      <c r="F2089" s="2">
        <v>1.0958904109589041E-2</v>
      </c>
    </row>
    <row r="2090" spans="2:6" x14ac:dyDescent="0.25">
      <c r="B2090" s="33">
        <v>1</v>
      </c>
      <c r="C2090" t="s">
        <v>1</v>
      </c>
      <c r="D2090" t="s">
        <v>94</v>
      </c>
      <c r="E2090">
        <v>2</v>
      </c>
      <c r="F2090" s="2">
        <v>1.9178082191780823E-2</v>
      </c>
    </row>
    <row r="2091" spans="2:6" x14ac:dyDescent="0.25">
      <c r="B2091" s="33">
        <v>1</v>
      </c>
      <c r="C2091" t="s">
        <v>103</v>
      </c>
      <c r="D2091" t="s">
        <v>137</v>
      </c>
      <c r="E2091">
        <v>1</v>
      </c>
      <c r="F2091" s="2">
        <v>1.643835616438356E-2</v>
      </c>
    </row>
    <row r="2092" spans="2:6" x14ac:dyDescent="0.25">
      <c r="B2092" s="33">
        <v>1</v>
      </c>
      <c r="C2092" t="s">
        <v>1</v>
      </c>
      <c r="D2092" t="s">
        <v>189</v>
      </c>
      <c r="E2092">
        <v>0</v>
      </c>
      <c r="F2092" s="2">
        <v>1.9178082191780823E-2</v>
      </c>
    </row>
    <row r="2093" spans="2:6" x14ac:dyDescent="0.25">
      <c r="B2093" s="33">
        <v>1</v>
      </c>
      <c r="C2093" t="s">
        <v>88</v>
      </c>
      <c r="D2093" t="s">
        <v>201</v>
      </c>
      <c r="E2093">
        <v>7</v>
      </c>
      <c r="F2093" s="2">
        <v>2.1917808219178082E-2</v>
      </c>
    </row>
    <row r="2094" spans="2:6" x14ac:dyDescent="0.25">
      <c r="B2094" s="33">
        <v>1</v>
      </c>
      <c r="C2094" t="s">
        <v>103</v>
      </c>
      <c r="D2094" t="s">
        <v>104</v>
      </c>
      <c r="E2094">
        <v>5</v>
      </c>
      <c r="F2094" s="2">
        <v>1.643835616438356E-2</v>
      </c>
    </row>
    <row r="2095" spans="2:6" x14ac:dyDescent="0.25">
      <c r="B2095" s="33">
        <v>1</v>
      </c>
      <c r="C2095" t="s">
        <v>3</v>
      </c>
      <c r="D2095" t="s">
        <v>100</v>
      </c>
      <c r="E2095">
        <v>4</v>
      </c>
      <c r="F2095" s="2">
        <v>1.0958904109589041E-2</v>
      </c>
    </row>
    <row r="2096" spans="2:6" x14ac:dyDescent="0.25">
      <c r="B2096" s="33">
        <v>1</v>
      </c>
      <c r="C2096" t="s">
        <v>2</v>
      </c>
      <c r="D2096" t="s">
        <v>170</v>
      </c>
      <c r="E2096">
        <v>7</v>
      </c>
      <c r="F2096" s="2">
        <v>5.4794520547945206E-3</v>
      </c>
    </row>
    <row r="2097" spans="2:6" x14ac:dyDescent="0.25">
      <c r="B2097" s="33">
        <v>1</v>
      </c>
      <c r="C2097" t="s">
        <v>103</v>
      </c>
      <c r="D2097" t="s">
        <v>194</v>
      </c>
      <c r="E2097">
        <v>7</v>
      </c>
      <c r="F2097" s="2">
        <v>1.643835616438356E-2</v>
      </c>
    </row>
    <row r="2098" spans="2:6" x14ac:dyDescent="0.25">
      <c r="B2098" s="33">
        <v>1</v>
      </c>
      <c r="C2098" t="s">
        <v>1</v>
      </c>
      <c r="D2098" t="s">
        <v>112</v>
      </c>
      <c r="E2098">
        <v>6</v>
      </c>
      <c r="F2098" s="2">
        <v>1.9178082191780823E-2</v>
      </c>
    </row>
    <row r="2099" spans="2:6" x14ac:dyDescent="0.25">
      <c r="B2099" s="33">
        <v>1</v>
      </c>
      <c r="C2099" t="s">
        <v>2</v>
      </c>
      <c r="D2099" t="s">
        <v>170</v>
      </c>
      <c r="E2099">
        <v>15</v>
      </c>
      <c r="F2099" s="2">
        <v>1.9178082191780823E-2</v>
      </c>
    </row>
    <row r="2100" spans="2:6" x14ac:dyDescent="0.25">
      <c r="B2100" s="33">
        <v>1</v>
      </c>
      <c r="C2100" t="s">
        <v>4</v>
      </c>
      <c r="D2100" t="s">
        <v>106</v>
      </c>
      <c r="E2100">
        <v>8</v>
      </c>
      <c r="F2100" s="2">
        <v>3.287671232876712E-2</v>
      </c>
    </row>
    <row r="2101" spans="2:6" x14ac:dyDescent="0.25">
      <c r="B2101" s="33">
        <v>1</v>
      </c>
      <c r="C2101" t="s">
        <v>103</v>
      </c>
      <c r="D2101" t="s">
        <v>141</v>
      </c>
      <c r="E2101">
        <v>12</v>
      </c>
      <c r="F2101" s="2">
        <v>3.0136986301369864E-2</v>
      </c>
    </row>
    <row r="2102" spans="2:6" x14ac:dyDescent="0.25">
      <c r="B2102" s="33">
        <v>1</v>
      </c>
      <c r="C2102" t="s">
        <v>77</v>
      </c>
      <c r="D2102" t="s">
        <v>123</v>
      </c>
      <c r="E2102">
        <v>15</v>
      </c>
      <c r="F2102" s="2">
        <v>1.9178082191780823E-2</v>
      </c>
    </row>
    <row r="2103" spans="2:6" x14ac:dyDescent="0.25">
      <c r="B2103" s="33">
        <v>1</v>
      </c>
      <c r="C2103" t="s">
        <v>77</v>
      </c>
      <c r="D2103" t="s">
        <v>210</v>
      </c>
      <c r="E2103">
        <v>11</v>
      </c>
      <c r="F2103" s="2">
        <v>1.9178082191780823E-2</v>
      </c>
    </row>
    <row r="2104" spans="2:6" x14ac:dyDescent="0.25">
      <c r="B2104" s="33">
        <v>1</v>
      </c>
      <c r="C2104" t="s">
        <v>1</v>
      </c>
      <c r="D2104" t="s">
        <v>200</v>
      </c>
      <c r="E2104">
        <v>9</v>
      </c>
      <c r="F2104" s="2">
        <v>1.9178082191780823E-2</v>
      </c>
    </row>
    <row r="2105" spans="2:6" x14ac:dyDescent="0.25">
      <c r="B2105" s="33">
        <v>1</v>
      </c>
      <c r="C2105" t="s">
        <v>3</v>
      </c>
      <c r="D2105" t="s">
        <v>188</v>
      </c>
      <c r="E2105">
        <v>11</v>
      </c>
      <c r="F2105" s="2">
        <v>2.1917808219178082E-2</v>
      </c>
    </row>
    <row r="2106" spans="2:6" x14ac:dyDescent="0.25">
      <c r="B2106" s="33">
        <v>1</v>
      </c>
      <c r="C2106" t="s">
        <v>3</v>
      </c>
      <c r="D2106" t="s">
        <v>188</v>
      </c>
      <c r="E2106">
        <v>13</v>
      </c>
      <c r="F2106" s="2">
        <v>2.1917808219178082E-2</v>
      </c>
    </row>
    <row r="2107" spans="2:6" x14ac:dyDescent="0.25">
      <c r="B2107" s="33">
        <v>1</v>
      </c>
      <c r="C2107" t="s">
        <v>1</v>
      </c>
      <c r="D2107" t="s">
        <v>216</v>
      </c>
      <c r="E2107">
        <v>13</v>
      </c>
      <c r="F2107" s="2">
        <v>1.9178082191780823E-2</v>
      </c>
    </row>
    <row r="2108" spans="2:6" x14ac:dyDescent="0.25">
      <c r="B2108" s="33">
        <v>1</v>
      </c>
      <c r="C2108" t="s">
        <v>77</v>
      </c>
      <c r="D2108" t="s">
        <v>98</v>
      </c>
      <c r="E2108">
        <v>11</v>
      </c>
      <c r="F2108" s="2">
        <v>1.9178082191780823E-2</v>
      </c>
    </row>
    <row r="2109" spans="2:6" x14ac:dyDescent="0.25">
      <c r="B2109" s="33">
        <v>1</v>
      </c>
      <c r="C2109" t="s">
        <v>0</v>
      </c>
      <c r="D2109" t="s">
        <v>133</v>
      </c>
      <c r="E2109">
        <v>13</v>
      </c>
      <c r="F2109" s="2">
        <v>5.4794520547945202E-2</v>
      </c>
    </row>
    <row r="2110" spans="2:6" x14ac:dyDescent="0.25">
      <c r="B2110" s="33">
        <v>1</v>
      </c>
      <c r="C2110" t="s">
        <v>77</v>
      </c>
      <c r="D2110" t="s">
        <v>145</v>
      </c>
      <c r="E2110">
        <v>9</v>
      </c>
      <c r="F2110" s="2">
        <v>1.9178082191780823E-2</v>
      </c>
    </row>
    <row r="2111" spans="2:6" x14ac:dyDescent="0.25">
      <c r="B2111" s="33">
        <v>1</v>
      </c>
      <c r="C2111" t="s">
        <v>69</v>
      </c>
      <c r="D2111" t="s">
        <v>197</v>
      </c>
      <c r="E2111">
        <v>14</v>
      </c>
      <c r="F2111" s="2">
        <v>1.643835616438356E-2</v>
      </c>
    </row>
    <row r="2112" spans="2:6" x14ac:dyDescent="0.25">
      <c r="B2112" s="33">
        <v>1</v>
      </c>
      <c r="C2112" t="s">
        <v>0</v>
      </c>
      <c r="D2112" t="s">
        <v>133</v>
      </c>
      <c r="E2112">
        <v>9</v>
      </c>
      <c r="F2112" s="2">
        <v>5.2054794520547946E-2</v>
      </c>
    </row>
    <row r="2113" spans="2:6" x14ac:dyDescent="0.25">
      <c r="B2113" s="33">
        <v>1</v>
      </c>
      <c r="C2113" t="s">
        <v>3</v>
      </c>
      <c r="D2113" t="s">
        <v>79</v>
      </c>
      <c r="E2113">
        <v>13</v>
      </c>
      <c r="F2113" s="2">
        <v>2.1917808219178082E-2</v>
      </c>
    </row>
    <row r="2114" spans="2:6" x14ac:dyDescent="0.25">
      <c r="B2114" s="33">
        <v>1</v>
      </c>
      <c r="C2114" t="s">
        <v>64</v>
      </c>
      <c r="D2114" t="s">
        <v>165</v>
      </c>
      <c r="E2114">
        <v>12</v>
      </c>
      <c r="F2114" s="2">
        <v>2.1917808219178082E-2</v>
      </c>
    </row>
    <row r="2115" spans="2:6" x14ac:dyDescent="0.25">
      <c r="B2115" s="33">
        <v>1</v>
      </c>
      <c r="C2115" t="s">
        <v>69</v>
      </c>
      <c r="D2115" t="s">
        <v>197</v>
      </c>
      <c r="E2115">
        <v>17</v>
      </c>
      <c r="F2115" s="2">
        <v>1.643835616438356E-2</v>
      </c>
    </row>
    <row r="2116" spans="2:6" x14ac:dyDescent="0.25">
      <c r="B2116" s="33">
        <v>1</v>
      </c>
      <c r="C2116" t="s">
        <v>3</v>
      </c>
      <c r="D2116" t="s">
        <v>208</v>
      </c>
      <c r="E2116">
        <v>17</v>
      </c>
      <c r="F2116" s="2">
        <v>2.1917808219178082E-2</v>
      </c>
    </row>
    <row r="2117" spans="2:6" x14ac:dyDescent="0.25">
      <c r="B2117" s="33">
        <v>1</v>
      </c>
      <c r="C2117" t="s">
        <v>64</v>
      </c>
      <c r="D2117" t="s">
        <v>115</v>
      </c>
      <c r="E2117">
        <v>21</v>
      </c>
      <c r="F2117" s="2">
        <v>6.8493150684931503E-2</v>
      </c>
    </row>
    <row r="2118" spans="2:6" x14ac:dyDescent="0.25">
      <c r="B2118" s="33">
        <v>1</v>
      </c>
      <c r="C2118" t="s">
        <v>69</v>
      </c>
      <c r="D2118" t="s">
        <v>197</v>
      </c>
      <c r="E2118">
        <v>16</v>
      </c>
      <c r="F2118" s="2">
        <v>1.643835616438356E-2</v>
      </c>
    </row>
    <row r="2119" spans="2:6" x14ac:dyDescent="0.25">
      <c r="B2119" s="33">
        <v>1</v>
      </c>
      <c r="C2119" t="s">
        <v>66</v>
      </c>
      <c r="D2119" t="s">
        <v>168</v>
      </c>
      <c r="E2119">
        <v>17</v>
      </c>
      <c r="F2119" s="2">
        <v>3.287671232876712E-2</v>
      </c>
    </row>
    <row r="2120" spans="2:6" x14ac:dyDescent="0.25">
      <c r="B2120" s="33">
        <v>1</v>
      </c>
      <c r="C2120" t="s">
        <v>64</v>
      </c>
      <c r="D2120" t="s">
        <v>121</v>
      </c>
      <c r="E2120">
        <v>2</v>
      </c>
      <c r="F2120" s="2">
        <v>1.9178082191780823E-2</v>
      </c>
    </row>
    <row r="2121" spans="2:6" x14ac:dyDescent="0.25">
      <c r="B2121" s="33">
        <v>1</v>
      </c>
      <c r="C2121" t="s">
        <v>77</v>
      </c>
      <c r="D2121" t="s">
        <v>146</v>
      </c>
      <c r="E2121">
        <v>4</v>
      </c>
      <c r="F2121" s="2">
        <v>1.0958904109589041E-2</v>
      </c>
    </row>
    <row r="2122" spans="2:6" x14ac:dyDescent="0.25">
      <c r="B2122" s="33">
        <v>1</v>
      </c>
      <c r="C2122" t="s">
        <v>77</v>
      </c>
      <c r="D2122" t="s">
        <v>210</v>
      </c>
      <c r="E2122">
        <v>5</v>
      </c>
      <c r="F2122" s="2">
        <v>1.0958904109589041E-2</v>
      </c>
    </row>
    <row r="2123" spans="2:6" x14ac:dyDescent="0.25">
      <c r="B2123" s="33">
        <v>1</v>
      </c>
      <c r="C2123" t="s">
        <v>2</v>
      </c>
      <c r="D2123" t="s">
        <v>102</v>
      </c>
      <c r="E2123">
        <v>5</v>
      </c>
      <c r="F2123" s="2">
        <v>5.4794520547945206E-3</v>
      </c>
    </row>
    <row r="2124" spans="2:6" x14ac:dyDescent="0.25">
      <c r="B2124" s="33">
        <v>1</v>
      </c>
      <c r="C2124" t="s">
        <v>77</v>
      </c>
      <c r="D2124" t="s">
        <v>98</v>
      </c>
      <c r="E2124">
        <v>6</v>
      </c>
      <c r="F2124" s="2">
        <v>1.0958904109589041E-2</v>
      </c>
    </row>
    <row r="2125" spans="2:6" x14ac:dyDescent="0.25">
      <c r="B2125" s="33">
        <v>1</v>
      </c>
      <c r="C2125" t="s">
        <v>1</v>
      </c>
      <c r="D2125" t="s">
        <v>216</v>
      </c>
      <c r="E2125">
        <v>1</v>
      </c>
      <c r="F2125" s="2">
        <v>1.9178082191780823E-2</v>
      </c>
    </row>
    <row r="2126" spans="2:6" x14ac:dyDescent="0.25">
      <c r="B2126" s="33">
        <v>1</v>
      </c>
      <c r="C2126" t="s">
        <v>77</v>
      </c>
      <c r="D2126" t="s">
        <v>196</v>
      </c>
      <c r="E2126">
        <v>0</v>
      </c>
      <c r="F2126" s="2">
        <v>1.0958904109589041E-2</v>
      </c>
    </row>
    <row r="2127" spans="2:6" x14ac:dyDescent="0.25">
      <c r="B2127" s="33">
        <v>1</v>
      </c>
      <c r="C2127" t="s">
        <v>77</v>
      </c>
      <c r="D2127" t="s">
        <v>210</v>
      </c>
      <c r="E2127">
        <v>7</v>
      </c>
      <c r="F2127" s="2">
        <v>1.0958904109589041E-2</v>
      </c>
    </row>
    <row r="2128" spans="2:6" x14ac:dyDescent="0.25">
      <c r="B2128" s="33">
        <v>1</v>
      </c>
      <c r="C2128" t="s">
        <v>66</v>
      </c>
      <c r="D2128" t="s">
        <v>202</v>
      </c>
      <c r="E2128">
        <v>13</v>
      </c>
      <c r="F2128" s="2">
        <v>1.9178082191780823E-2</v>
      </c>
    </row>
    <row r="2129" spans="2:6" x14ac:dyDescent="0.25">
      <c r="B2129" s="33">
        <v>1</v>
      </c>
      <c r="C2129" t="s">
        <v>77</v>
      </c>
      <c r="D2129" t="s">
        <v>193</v>
      </c>
      <c r="E2129">
        <v>12</v>
      </c>
      <c r="F2129" s="2">
        <v>1.9178082191780823E-2</v>
      </c>
    </row>
    <row r="2130" spans="2:6" x14ac:dyDescent="0.25">
      <c r="B2130" s="33">
        <v>1</v>
      </c>
      <c r="C2130" t="s">
        <v>3</v>
      </c>
      <c r="D2130" t="s">
        <v>226</v>
      </c>
      <c r="E2130">
        <v>9</v>
      </c>
      <c r="F2130" s="2">
        <v>2.1917808219178082E-2</v>
      </c>
    </row>
    <row r="2131" spans="2:6" x14ac:dyDescent="0.25">
      <c r="B2131" s="33">
        <v>1</v>
      </c>
      <c r="C2131" t="s">
        <v>88</v>
      </c>
      <c r="D2131" t="s">
        <v>201</v>
      </c>
      <c r="E2131">
        <v>13</v>
      </c>
      <c r="F2131" s="2">
        <v>3.5616438356164383E-2</v>
      </c>
    </row>
    <row r="2132" spans="2:6" x14ac:dyDescent="0.25">
      <c r="B2132" s="33">
        <v>1</v>
      </c>
      <c r="C2132" t="s">
        <v>3</v>
      </c>
      <c r="D2132" t="s">
        <v>226</v>
      </c>
      <c r="E2132">
        <v>14</v>
      </c>
      <c r="F2132" s="2">
        <v>2.1917808219178082E-2</v>
      </c>
    </row>
    <row r="2133" spans="2:6" x14ac:dyDescent="0.25">
      <c r="B2133" s="33">
        <v>1</v>
      </c>
      <c r="C2133" t="s">
        <v>3</v>
      </c>
      <c r="D2133" t="s">
        <v>138</v>
      </c>
      <c r="E2133">
        <v>9</v>
      </c>
      <c r="F2133" s="2">
        <v>2.1917808219178082E-2</v>
      </c>
    </row>
    <row r="2134" spans="2:6" x14ac:dyDescent="0.25">
      <c r="B2134" s="33">
        <v>1</v>
      </c>
      <c r="C2134" t="s">
        <v>66</v>
      </c>
      <c r="D2134" t="s">
        <v>227</v>
      </c>
      <c r="E2134">
        <v>15</v>
      </c>
      <c r="F2134" s="2">
        <v>1.9178082191780823E-2</v>
      </c>
    </row>
    <row r="2135" spans="2:6" x14ac:dyDescent="0.25">
      <c r="B2135" s="33">
        <v>1</v>
      </c>
      <c r="C2135" t="s">
        <v>72</v>
      </c>
      <c r="D2135" t="s">
        <v>209</v>
      </c>
      <c r="E2135">
        <v>11</v>
      </c>
      <c r="F2135" s="2">
        <v>3.0136986301369864E-2</v>
      </c>
    </row>
    <row r="2136" spans="2:6" x14ac:dyDescent="0.25">
      <c r="B2136" s="33">
        <v>1</v>
      </c>
      <c r="C2136" t="s">
        <v>69</v>
      </c>
      <c r="D2136" t="s">
        <v>218</v>
      </c>
      <c r="E2136">
        <v>13</v>
      </c>
      <c r="F2136" s="2">
        <v>1.643835616438356E-2</v>
      </c>
    </row>
    <row r="2137" spans="2:6" x14ac:dyDescent="0.25">
      <c r="B2137" s="33">
        <v>1</v>
      </c>
      <c r="C2137" t="s">
        <v>3</v>
      </c>
      <c r="D2137" t="s">
        <v>195</v>
      </c>
      <c r="E2137">
        <v>11</v>
      </c>
      <c r="F2137" s="2">
        <v>2.1917808219178082E-2</v>
      </c>
    </row>
    <row r="2138" spans="2:6" x14ac:dyDescent="0.25">
      <c r="B2138" s="33">
        <v>1</v>
      </c>
      <c r="C2138" t="s">
        <v>3</v>
      </c>
      <c r="D2138" t="s">
        <v>203</v>
      </c>
      <c r="E2138">
        <v>14</v>
      </c>
      <c r="F2138" s="2">
        <v>2.1917808219178082E-2</v>
      </c>
    </row>
    <row r="2139" spans="2:6" x14ac:dyDescent="0.25">
      <c r="B2139" s="33">
        <v>1</v>
      </c>
      <c r="C2139" t="s">
        <v>69</v>
      </c>
      <c r="D2139" t="s">
        <v>215</v>
      </c>
      <c r="E2139">
        <v>18</v>
      </c>
      <c r="F2139" s="2">
        <v>1.643835616438356E-2</v>
      </c>
    </row>
    <row r="2140" spans="2:6" x14ac:dyDescent="0.25">
      <c r="B2140" s="33">
        <v>1</v>
      </c>
      <c r="C2140" t="s">
        <v>66</v>
      </c>
      <c r="D2140" t="s">
        <v>211</v>
      </c>
      <c r="E2140">
        <v>16</v>
      </c>
      <c r="F2140" s="2">
        <v>3.0136986301369864E-2</v>
      </c>
    </row>
    <row r="2141" spans="2:6" x14ac:dyDescent="0.25">
      <c r="B2141" s="33">
        <v>1</v>
      </c>
      <c r="C2141" t="s">
        <v>126</v>
      </c>
      <c r="D2141" t="s">
        <v>127</v>
      </c>
      <c r="E2141">
        <v>19</v>
      </c>
      <c r="F2141" s="2">
        <v>3.0136986301369864E-2</v>
      </c>
    </row>
    <row r="2142" spans="2:6" x14ac:dyDescent="0.25">
      <c r="B2142" s="33">
        <v>1</v>
      </c>
      <c r="C2142" t="s">
        <v>1</v>
      </c>
      <c r="D2142" t="s">
        <v>189</v>
      </c>
      <c r="E2142">
        <v>20</v>
      </c>
      <c r="F2142" s="2">
        <v>2.1917808219178082E-2</v>
      </c>
    </row>
    <row r="2143" spans="2:6" x14ac:dyDescent="0.25">
      <c r="B2143" s="33">
        <v>1</v>
      </c>
      <c r="C2143" t="s">
        <v>69</v>
      </c>
      <c r="D2143" t="s">
        <v>148</v>
      </c>
      <c r="E2143">
        <v>19</v>
      </c>
      <c r="F2143" s="2">
        <v>1.643835616438356E-2</v>
      </c>
    </row>
    <row r="2144" spans="2:6" x14ac:dyDescent="0.25">
      <c r="B2144" s="33">
        <v>1</v>
      </c>
      <c r="C2144" t="s">
        <v>77</v>
      </c>
      <c r="D2144" t="s">
        <v>225</v>
      </c>
      <c r="E2144">
        <v>18</v>
      </c>
      <c r="F2144" s="2">
        <v>1.643835616438356E-2</v>
      </c>
    </row>
    <row r="2145" spans="2:6" x14ac:dyDescent="0.25">
      <c r="B2145" s="33">
        <v>1</v>
      </c>
      <c r="C2145" t="s">
        <v>1</v>
      </c>
      <c r="D2145" t="s">
        <v>214</v>
      </c>
      <c r="E2145">
        <v>19</v>
      </c>
      <c r="F2145" s="2">
        <v>1.9178082191780823E-2</v>
      </c>
    </row>
    <row r="2146" spans="2:6" x14ac:dyDescent="0.25">
      <c r="B2146" s="33">
        <v>1</v>
      </c>
      <c r="C2146" t="s">
        <v>66</v>
      </c>
      <c r="D2146" t="s">
        <v>211</v>
      </c>
      <c r="E2146">
        <v>19</v>
      </c>
      <c r="F2146" s="2">
        <v>2.7397260273972601E-2</v>
      </c>
    </row>
    <row r="2147" spans="2:6" x14ac:dyDescent="0.25">
      <c r="B2147" s="33">
        <v>1</v>
      </c>
      <c r="C2147" t="s">
        <v>72</v>
      </c>
      <c r="D2147" t="s">
        <v>76</v>
      </c>
      <c r="E2147">
        <v>22</v>
      </c>
      <c r="F2147" s="2">
        <v>2.7397260273972601E-2</v>
      </c>
    </row>
    <row r="2148" spans="2:6" x14ac:dyDescent="0.25">
      <c r="B2148" s="33">
        <v>1</v>
      </c>
      <c r="C2148" t="s">
        <v>103</v>
      </c>
      <c r="D2148" t="s">
        <v>141</v>
      </c>
      <c r="E2148">
        <v>20</v>
      </c>
      <c r="F2148" s="2">
        <v>2.1917808219178082E-2</v>
      </c>
    </row>
    <row r="2149" spans="2:6" x14ac:dyDescent="0.25">
      <c r="B2149" s="33">
        <v>1</v>
      </c>
      <c r="C2149" t="s">
        <v>126</v>
      </c>
      <c r="D2149" t="s">
        <v>127</v>
      </c>
      <c r="E2149">
        <v>17</v>
      </c>
      <c r="F2149" s="2">
        <v>3.0136986301369864E-2</v>
      </c>
    </row>
    <row r="2150" spans="2:6" x14ac:dyDescent="0.25">
      <c r="B2150" s="33">
        <v>1</v>
      </c>
      <c r="C2150" t="s">
        <v>3</v>
      </c>
      <c r="D2150" t="s">
        <v>180</v>
      </c>
      <c r="E2150">
        <v>20</v>
      </c>
      <c r="F2150" s="2">
        <v>2.1917808219178082E-2</v>
      </c>
    </row>
    <row r="2151" spans="2:6" x14ac:dyDescent="0.25">
      <c r="B2151" s="33">
        <v>1</v>
      </c>
      <c r="C2151" t="s">
        <v>4</v>
      </c>
      <c r="D2151" t="s">
        <v>166</v>
      </c>
      <c r="E2151">
        <v>0</v>
      </c>
      <c r="F2151" s="2">
        <v>1.9178082191780823E-2</v>
      </c>
    </row>
    <row r="2152" spans="2:6" x14ac:dyDescent="0.25">
      <c r="B2152" s="33">
        <v>1</v>
      </c>
      <c r="C2152" t="s">
        <v>77</v>
      </c>
      <c r="D2152" t="s">
        <v>123</v>
      </c>
      <c r="E2152">
        <v>3</v>
      </c>
      <c r="F2152" s="2">
        <v>1.0958904109589041E-2</v>
      </c>
    </row>
    <row r="2153" spans="2:6" x14ac:dyDescent="0.25">
      <c r="B2153" s="33">
        <v>1</v>
      </c>
      <c r="C2153" t="s">
        <v>103</v>
      </c>
      <c r="D2153" t="s">
        <v>104</v>
      </c>
      <c r="E2153">
        <v>0</v>
      </c>
      <c r="F2153" s="2">
        <v>2.7397260273972601E-2</v>
      </c>
    </row>
    <row r="2154" spans="2:6" x14ac:dyDescent="0.25">
      <c r="B2154" s="33">
        <v>1</v>
      </c>
      <c r="C2154" t="s">
        <v>2</v>
      </c>
      <c r="D2154" t="s">
        <v>170</v>
      </c>
      <c r="E2154">
        <v>0</v>
      </c>
      <c r="F2154" s="2">
        <v>1.9178082191780823E-2</v>
      </c>
    </row>
    <row r="2155" spans="2:6" x14ac:dyDescent="0.25">
      <c r="B2155" s="33">
        <v>1</v>
      </c>
      <c r="C2155" t="s">
        <v>69</v>
      </c>
      <c r="D2155" t="s">
        <v>181</v>
      </c>
      <c r="E2155">
        <v>3</v>
      </c>
      <c r="F2155" s="2">
        <v>1.0958904109589041E-2</v>
      </c>
    </row>
    <row r="2156" spans="2:6" x14ac:dyDescent="0.25">
      <c r="B2156" s="33">
        <v>1</v>
      </c>
      <c r="C2156" t="s">
        <v>0</v>
      </c>
      <c r="D2156" t="s">
        <v>133</v>
      </c>
      <c r="E2156">
        <v>0</v>
      </c>
      <c r="F2156" s="2">
        <v>2.7397260273972601E-2</v>
      </c>
    </row>
    <row r="2157" spans="2:6" x14ac:dyDescent="0.25">
      <c r="B2157" s="33">
        <v>1</v>
      </c>
      <c r="C2157" t="s">
        <v>1</v>
      </c>
      <c r="D2157" t="s">
        <v>92</v>
      </c>
      <c r="E2157">
        <v>5</v>
      </c>
      <c r="F2157" s="2">
        <v>1.643835616438356E-2</v>
      </c>
    </row>
    <row r="2158" spans="2:6" x14ac:dyDescent="0.25">
      <c r="B2158" s="33">
        <v>1</v>
      </c>
      <c r="C2158" t="s">
        <v>1</v>
      </c>
      <c r="D2158" t="s">
        <v>152</v>
      </c>
      <c r="E2158">
        <v>2</v>
      </c>
      <c r="F2158" s="2">
        <v>1.643835616438356E-2</v>
      </c>
    </row>
    <row r="2159" spans="2:6" x14ac:dyDescent="0.25">
      <c r="B2159" s="33">
        <v>1</v>
      </c>
      <c r="C2159" t="s">
        <v>72</v>
      </c>
      <c r="D2159" t="s">
        <v>209</v>
      </c>
      <c r="E2159">
        <v>2</v>
      </c>
      <c r="F2159" s="2">
        <v>1.9178082191780823E-2</v>
      </c>
    </row>
    <row r="2160" spans="2:6" x14ac:dyDescent="0.25">
      <c r="B2160" s="33">
        <v>1</v>
      </c>
      <c r="C2160" t="s">
        <v>69</v>
      </c>
      <c r="D2160" t="s">
        <v>113</v>
      </c>
      <c r="E2160">
        <v>4</v>
      </c>
      <c r="F2160" s="2">
        <v>1.0958904109589041E-2</v>
      </c>
    </row>
    <row r="2161" spans="2:6" x14ac:dyDescent="0.25">
      <c r="B2161" s="33">
        <v>1</v>
      </c>
      <c r="C2161" t="s">
        <v>77</v>
      </c>
      <c r="D2161" t="s">
        <v>83</v>
      </c>
      <c r="E2161">
        <v>3</v>
      </c>
      <c r="F2161" s="2">
        <v>1.0958904109589041E-2</v>
      </c>
    </row>
    <row r="2162" spans="2:6" x14ac:dyDescent="0.25">
      <c r="B2162" s="33">
        <v>1</v>
      </c>
      <c r="C2162" t="s">
        <v>69</v>
      </c>
      <c r="D2162" t="s">
        <v>124</v>
      </c>
      <c r="E2162">
        <v>0</v>
      </c>
      <c r="F2162" s="2">
        <v>1.0958904109589041E-2</v>
      </c>
    </row>
    <row r="2163" spans="2:6" x14ac:dyDescent="0.25">
      <c r="B2163" s="33">
        <v>1</v>
      </c>
      <c r="C2163" t="s">
        <v>6</v>
      </c>
      <c r="D2163" t="s">
        <v>34</v>
      </c>
      <c r="E2163">
        <v>22</v>
      </c>
      <c r="F2163" s="2">
        <v>2.1917808219178082E-2</v>
      </c>
    </row>
    <row r="2164" spans="2:6" x14ac:dyDescent="0.25">
      <c r="B2164" s="33">
        <v>1</v>
      </c>
      <c r="C2164" t="s">
        <v>6</v>
      </c>
      <c r="D2164" t="s">
        <v>30</v>
      </c>
      <c r="E2164">
        <v>3</v>
      </c>
      <c r="F2164" s="2">
        <v>1.9178082191780823E-2</v>
      </c>
    </row>
    <row r="2165" spans="2:6" x14ac:dyDescent="0.25">
      <c r="B2165" s="33">
        <v>1</v>
      </c>
      <c r="C2165" t="s">
        <v>66</v>
      </c>
      <c r="D2165" t="s">
        <v>93</v>
      </c>
      <c r="E2165">
        <v>4</v>
      </c>
      <c r="F2165" s="2">
        <v>1.643835616438356E-2</v>
      </c>
    </row>
    <row r="2166" spans="2:6" x14ac:dyDescent="0.25">
      <c r="B2166" s="33">
        <v>1</v>
      </c>
      <c r="C2166" t="s">
        <v>126</v>
      </c>
      <c r="D2166" t="s">
        <v>171</v>
      </c>
      <c r="E2166">
        <v>7</v>
      </c>
      <c r="F2166" s="2">
        <v>1.9178082191780823E-2</v>
      </c>
    </row>
    <row r="2167" spans="2:6" x14ac:dyDescent="0.25">
      <c r="B2167" s="33">
        <v>1</v>
      </c>
      <c r="C2167" t="s">
        <v>2</v>
      </c>
      <c r="D2167" t="s">
        <v>185</v>
      </c>
      <c r="E2167">
        <v>9</v>
      </c>
      <c r="F2167" s="2">
        <v>1.9178082191780823E-2</v>
      </c>
    </row>
    <row r="2168" spans="2:6" x14ac:dyDescent="0.25">
      <c r="B2168" s="33">
        <v>1</v>
      </c>
      <c r="C2168" t="s">
        <v>3</v>
      </c>
      <c r="D2168" t="s">
        <v>173</v>
      </c>
      <c r="E2168">
        <v>14</v>
      </c>
      <c r="F2168" s="2">
        <v>2.1917808219178082E-2</v>
      </c>
    </row>
    <row r="2169" spans="2:6" x14ac:dyDescent="0.25">
      <c r="B2169" s="33">
        <v>1</v>
      </c>
      <c r="C2169" t="s">
        <v>69</v>
      </c>
      <c r="D2169" t="s">
        <v>206</v>
      </c>
      <c r="E2169">
        <v>8</v>
      </c>
      <c r="F2169" s="2">
        <v>1.643835616438356E-2</v>
      </c>
    </row>
    <row r="2170" spans="2:6" x14ac:dyDescent="0.25">
      <c r="B2170" s="33">
        <v>1</v>
      </c>
      <c r="C2170" t="s">
        <v>0</v>
      </c>
      <c r="D2170" t="s">
        <v>111</v>
      </c>
      <c r="E2170">
        <v>9</v>
      </c>
      <c r="F2170" s="2">
        <v>4.9315068493150684E-2</v>
      </c>
    </row>
    <row r="2171" spans="2:6" x14ac:dyDescent="0.25">
      <c r="B2171" s="33">
        <v>1</v>
      </c>
      <c r="C2171" t="s">
        <v>69</v>
      </c>
      <c r="D2171" t="s">
        <v>206</v>
      </c>
      <c r="E2171">
        <v>11</v>
      </c>
      <c r="F2171" s="2">
        <v>1.643835616438356E-2</v>
      </c>
    </row>
    <row r="2172" spans="2:6" x14ac:dyDescent="0.25">
      <c r="B2172" s="33">
        <v>1</v>
      </c>
      <c r="C2172" t="s">
        <v>3</v>
      </c>
      <c r="D2172" t="s">
        <v>157</v>
      </c>
      <c r="E2172">
        <v>21</v>
      </c>
      <c r="F2172" s="2">
        <v>1.9178082191780823E-2</v>
      </c>
    </row>
    <row r="2173" spans="2:6" x14ac:dyDescent="0.25">
      <c r="B2173" s="33">
        <v>1</v>
      </c>
      <c r="C2173" t="s">
        <v>3</v>
      </c>
      <c r="D2173" t="s">
        <v>138</v>
      </c>
      <c r="E2173">
        <v>19</v>
      </c>
      <c r="F2173" s="2">
        <v>1.9178082191780823E-2</v>
      </c>
    </row>
    <row r="2174" spans="2:6" x14ac:dyDescent="0.25">
      <c r="B2174" s="33">
        <v>1</v>
      </c>
      <c r="C2174" t="s">
        <v>66</v>
      </c>
      <c r="D2174" t="s">
        <v>168</v>
      </c>
      <c r="E2174">
        <v>20</v>
      </c>
      <c r="F2174" s="2">
        <v>2.7397260273972601E-2</v>
      </c>
    </row>
    <row r="2175" spans="2:6" x14ac:dyDescent="0.25">
      <c r="B2175" s="33">
        <v>1</v>
      </c>
      <c r="C2175" t="s">
        <v>3</v>
      </c>
      <c r="D2175" t="s">
        <v>195</v>
      </c>
      <c r="E2175">
        <v>19</v>
      </c>
      <c r="F2175" s="2">
        <v>1.9178082191780823E-2</v>
      </c>
    </row>
    <row r="2176" spans="2:6" x14ac:dyDescent="0.25">
      <c r="B2176" s="33">
        <v>1</v>
      </c>
      <c r="C2176" t="s">
        <v>72</v>
      </c>
      <c r="D2176" t="s">
        <v>149</v>
      </c>
      <c r="E2176">
        <v>22</v>
      </c>
      <c r="F2176" s="2">
        <v>2.7397260273972601E-2</v>
      </c>
    </row>
    <row r="2177" spans="2:6" x14ac:dyDescent="0.25">
      <c r="B2177" s="33">
        <v>1</v>
      </c>
      <c r="C2177" t="s">
        <v>3</v>
      </c>
      <c r="D2177" t="s">
        <v>161</v>
      </c>
      <c r="E2177">
        <v>20</v>
      </c>
      <c r="F2177" s="2">
        <v>1.9178082191780823E-2</v>
      </c>
    </row>
    <row r="2178" spans="2:6" x14ac:dyDescent="0.25">
      <c r="B2178" s="33">
        <v>1</v>
      </c>
      <c r="C2178" t="s">
        <v>6</v>
      </c>
      <c r="D2178" t="s">
        <v>38</v>
      </c>
      <c r="E2178">
        <v>17</v>
      </c>
      <c r="F2178" s="2">
        <v>1.9178082191780823E-2</v>
      </c>
    </row>
    <row r="2179" spans="2:6" x14ac:dyDescent="0.25">
      <c r="B2179" s="33">
        <v>1</v>
      </c>
      <c r="C2179" t="s">
        <v>66</v>
      </c>
      <c r="D2179" t="s">
        <v>202</v>
      </c>
      <c r="E2179">
        <v>7</v>
      </c>
      <c r="F2179" s="2">
        <v>1.643835616438356E-2</v>
      </c>
    </row>
    <row r="2180" spans="2:6" x14ac:dyDescent="0.25">
      <c r="B2180" s="33">
        <v>1</v>
      </c>
      <c r="C2180" t="s">
        <v>1</v>
      </c>
      <c r="D2180" t="s">
        <v>144</v>
      </c>
      <c r="E2180">
        <v>3</v>
      </c>
      <c r="F2180" s="2">
        <v>1.643835616438356E-2</v>
      </c>
    </row>
    <row r="2181" spans="2:6" x14ac:dyDescent="0.25">
      <c r="B2181" s="33">
        <v>1</v>
      </c>
      <c r="C2181" t="s">
        <v>77</v>
      </c>
      <c r="D2181" t="s">
        <v>123</v>
      </c>
      <c r="E2181">
        <v>7</v>
      </c>
      <c r="F2181" s="2">
        <v>1.0958904109589041E-2</v>
      </c>
    </row>
    <row r="2182" spans="2:6" x14ac:dyDescent="0.25">
      <c r="B2182" s="33">
        <v>1</v>
      </c>
      <c r="C2182" t="s">
        <v>88</v>
      </c>
      <c r="D2182" t="s">
        <v>156</v>
      </c>
      <c r="E2182">
        <v>6</v>
      </c>
      <c r="F2182" s="2">
        <v>2.1917808219178082E-2</v>
      </c>
    </row>
    <row r="2183" spans="2:6" x14ac:dyDescent="0.25">
      <c r="B2183" s="33">
        <v>1</v>
      </c>
      <c r="C2183" t="s">
        <v>77</v>
      </c>
      <c r="D2183" t="s">
        <v>145</v>
      </c>
      <c r="E2183">
        <v>2</v>
      </c>
      <c r="F2183" s="2">
        <v>1.0958904109589041E-2</v>
      </c>
    </row>
    <row r="2184" spans="2:6" x14ac:dyDescent="0.25">
      <c r="B2184" s="33">
        <v>1</v>
      </c>
      <c r="C2184" t="s">
        <v>3</v>
      </c>
      <c r="D2184" t="s">
        <v>79</v>
      </c>
      <c r="E2184">
        <v>4</v>
      </c>
      <c r="F2184" s="2">
        <v>1.0958904109589041E-2</v>
      </c>
    </row>
    <row r="2185" spans="2:6" x14ac:dyDescent="0.25">
      <c r="B2185" s="33">
        <v>1</v>
      </c>
      <c r="C2185" t="s">
        <v>77</v>
      </c>
      <c r="D2185" t="s">
        <v>142</v>
      </c>
      <c r="E2185">
        <v>4</v>
      </c>
      <c r="F2185" s="2">
        <v>8.21917808219178E-3</v>
      </c>
    </row>
    <row r="2186" spans="2:6" x14ac:dyDescent="0.25">
      <c r="B2186" s="33">
        <v>1</v>
      </c>
      <c r="C2186" t="s">
        <v>69</v>
      </c>
      <c r="D2186" t="s">
        <v>190</v>
      </c>
      <c r="E2186">
        <v>8</v>
      </c>
      <c r="F2186" s="2">
        <v>1.643835616438356E-2</v>
      </c>
    </row>
    <row r="2187" spans="2:6" x14ac:dyDescent="0.25">
      <c r="B2187" s="33">
        <v>1</v>
      </c>
      <c r="C2187" t="s">
        <v>69</v>
      </c>
      <c r="D2187" t="s">
        <v>128</v>
      </c>
      <c r="E2187">
        <v>11</v>
      </c>
      <c r="F2187" s="2">
        <v>1.643835616438356E-2</v>
      </c>
    </row>
    <row r="2188" spans="2:6" x14ac:dyDescent="0.25">
      <c r="B2188" s="33">
        <v>1</v>
      </c>
      <c r="C2188" t="s">
        <v>69</v>
      </c>
      <c r="D2188" t="s">
        <v>206</v>
      </c>
      <c r="E2188">
        <v>10</v>
      </c>
      <c r="F2188" s="2">
        <v>1.643835616438356E-2</v>
      </c>
    </row>
    <row r="2189" spans="2:6" x14ac:dyDescent="0.25">
      <c r="B2189" s="33">
        <v>1</v>
      </c>
      <c r="C2189" t="s">
        <v>69</v>
      </c>
      <c r="D2189" t="s">
        <v>154</v>
      </c>
      <c r="E2189">
        <v>11</v>
      </c>
      <c r="F2189" s="2">
        <v>1.643835616438356E-2</v>
      </c>
    </row>
    <row r="2190" spans="2:6" x14ac:dyDescent="0.25">
      <c r="B2190" s="33">
        <v>1</v>
      </c>
      <c r="C2190" t="s">
        <v>126</v>
      </c>
      <c r="D2190" t="s">
        <v>127</v>
      </c>
      <c r="E2190">
        <v>15</v>
      </c>
      <c r="F2190" s="2">
        <v>3.5616438356164383E-2</v>
      </c>
    </row>
    <row r="2191" spans="2:6" x14ac:dyDescent="0.25">
      <c r="B2191" s="33">
        <v>1</v>
      </c>
      <c r="C2191" t="s">
        <v>3</v>
      </c>
      <c r="D2191" t="s">
        <v>180</v>
      </c>
      <c r="E2191">
        <v>10</v>
      </c>
      <c r="F2191" s="2">
        <v>2.1917808219178082E-2</v>
      </c>
    </row>
    <row r="2192" spans="2:6" x14ac:dyDescent="0.25">
      <c r="B2192" s="33">
        <v>1</v>
      </c>
      <c r="C2192" t="s">
        <v>69</v>
      </c>
      <c r="D2192" t="s">
        <v>228</v>
      </c>
      <c r="E2192">
        <v>17</v>
      </c>
      <c r="F2192" s="2">
        <v>1.3698630136986301E-2</v>
      </c>
    </row>
    <row r="2193" spans="2:6" x14ac:dyDescent="0.25">
      <c r="B2193" s="33">
        <v>1</v>
      </c>
      <c r="C2193" t="s">
        <v>3</v>
      </c>
      <c r="D2193" t="s">
        <v>226</v>
      </c>
      <c r="E2193">
        <v>16</v>
      </c>
      <c r="F2193" s="2">
        <v>1.9178082191780823E-2</v>
      </c>
    </row>
    <row r="2194" spans="2:6" x14ac:dyDescent="0.25">
      <c r="B2194" s="33">
        <v>1</v>
      </c>
      <c r="C2194" t="s">
        <v>66</v>
      </c>
      <c r="D2194" t="s">
        <v>135</v>
      </c>
      <c r="E2194">
        <v>22</v>
      </c>
      <c r="F2194" s="2">
        <v>2.7397260273972601E-2</v>
      </c>
    </row>
    <row r="2195" spans="2:6" x14ac:dyDescent="0.25">
      <c r="B2195" s="33">
        <v>1</v>
      </c>
      <c r="C2195" t="s">
        <v>66</v>
      </c>
      <c r="D2195" t="s">
        <v>202</v>
      </c>
      <c r="E2195">
        <v>20</v>
      </c>
      <c r="F2195" s="2">
        <v>2.4657534246575342E-2</v>
      </c>
    </row>
    <row r="2196" spans="2:6" x14ac:dyDescent="0.25">
      <c r="B2196" s="33">
        <v>1</v>
      </c>
      <c r="C2196" t="s">
        <v>64</v>
      </c>
      <c r="D2196" t="s">
        <v>222</v>
      </c>
      <c r="E2196">
        <v>19</v>
      </c>
      <c r="F2196" s="2">
        <v>5.4794520547945206E-3</v>
      </c>
    </row>
    <row r="2197" spans="2:6" x14ac:dyDescent="0.25">
      <c r="B2197" s="33">
        <v>1</v>
      </c>
      <c r="C2197" t="s">
        <v>72</v>
      </c>
      <c r="D2197" t="s">
        <v>163</v>
      </c>
      <c r="E2197">
        <v>22</v>
      </c>
      <c r="F2197" s="2">
        <v>2.7397260273972601E-2</v>
      </c>
    </row>
    <row r="2198" spans="2:6" x14ac:dyDescent="0.25">
      <c r="B2198" s="33">
        <v>1</v>
      </c>
      <c r="C2198" t="s">
        <v>0</v>
      </c>
      <c r="D2198" t="s">
        <v>133</v>
      </c>
      <c r="E2198">
        <v>21</v>
      </c>
      <c r="F2198" s="2">
        <v>2.7397260273972601E-2</v>
      </c>
    </row>
    <row r="2199" spans="2:6" x14ac:dyDescent="0.25">
      <c r="B2199" s="33">
        <v>1</v>
      </c>
      <c r="C2199" t="s">
        <v>64</v>
      </c>
      <c r="D2199" t="s">
        <v>222</v>
      </c>
      <c r="E2199">
        <v>21</v>
      </c>
      <c r="F2199" s="2">
        <v>2.7397260273972603E-3</v>
      </c>
    </row>
    <row r="2200" spans="2:6" x14ac:dyDescent="0.25">
      <c r="B2200" s="33">
        <v>1</v>
      </c>
      <c r="C2200" t="s">
        <v>3</v>
      </c>
      <c r="D2200" t="s">
        <v>191</v>
      </c>
      <c r="E2200">
        <v>18</v>
      </c>
      <c r="F2200" s="2">
        <v>1.9178082191780823E-2</v>
      </c>
    </row>
    <row r="2201" spans="2:6" x14ac:dyDescent="0.25">
      <c r="B2201" s="33">
        <v>1</v>
      </c>
      <c r="C2201" t="s">
        <v>1</v>
      </c>
      <c r="D2201" t="s">
        <v>217</v>
      </c>
      <c r="E2201">
        <v>19</v>
      </c>
      <c r="F2201" s="2">
        <v>1.9178082191780823E-2</v>
      </c>
    </row>
    <row r="2202" spans="2:6" x14ac:dyDescent="0.25">
      <c r="B2202" s="33">
        <v>1</v>
      </c>
      <c r="C2202" t="s">
        <v>103</v>
      </c>
      <c r="D2202" t="s">
        <v>194</v>
      </c>
      <c r="E2202">
        <v>16</v>
      </c>
      <c r="F2202" s="2">
        <v>1.9178082191780823E-2</v>
      </c>
    </row>
    <row r="2203" spans="2:6" x14ac:dyDescent="0.25">
      <c r="B2203" s="33">
        <v>1</v>
      </c>
      <c r="C2203" t="s">
        <v>66</v>
      </c>
      <c r="D2203" t="s">
        <v>107</v>
      </c>
      <c r="E2203">
        <v>6</v>
      </c>
      <c r="F2203" s="2">
        <v>1.3698630136986301E-2</v>
      </c>
    </row>
    <row r="2204" spans="2:6" x14ac:dyDescent="0.25">
      <c r="B2204" s="33">
        <v>1</v>
      </c>
      <c r="C2204" t="s">
        <v>64</v>
      </c>
      <c r="D2204" t="s">
        <v>99</v>
      </c>
      <c r="E2204">
        <v>3</v>
      </c>
      <c r="F2204" s="2">
        <v>1.643835616438356E-2</v>
      </c>
    </row>
    <row r="2205" spans="2:6" x14ac:dyDescent="0.25">
      <c r="B2205" s="33">
        <v>1</v>
      </c>
      <c r="C2205" t="s">
        <v>64</v>
      </c>
      <c r="D2205" t="s">
        <v>71</v>
      </c>
      <c r="E2205">
        <v>5</v>
      </c>
      <c r="F2205" s="2">
        <v>1.643835616438356E-2</v>
      </c>
    </row>
    <row r="2206" spans="2:6" x14ac:dyDescent="0.25">
      <c r="B2206" s="33">
        <v>1</v>
      </c>
      <c r="C2206" t="s">
        <v>64</v>
      </c>
      <c r="D2206" t="s">
        <v>71</v>
      </c>
      <c r="E2206">
        <v>1</v>
      </c>
      <c r="F2206" s="2">
        <v>1.643835616438356E-2</v>
      </c>
    </row>
    <row r="2207" spans="2:6" x14ac:dyDescent="0.25">
      <c r="B2207" s="33">
        <v>1</v>
      </c>
      <c r="C2207" t="s">
        <v>3</v>
      </c>
      <c r="D2207" t="s">
        <v>161</v>
      </c>
      <c r="E2207">
        <v>1</v>
      </c>
      <c r="F2207" s="2">
        <v>1.0958904109589041E-2</v>
      </c>
    </row>
    <row r="2208" spans="2:6" x14ac:dyDescent="0.25">
      <c r="B2208" s="33">
        <v>1</v>
      </c>
      <c r="C2208" t="s">
        <v>66</v>
      </c>
      <c r="D2208" t="s">
        <v>151</v>
      </c>
      <c r="E2208">
        <v>5</v>
      </c>
      <c r="F2208" s="2">
        <v>1.3698630136986301E-2</v>
      </c>
    </row>
    <row r="2209" spans="2:6" x14ac:dyDescent="0.25">
      <c r="B2209" s="33">
        <v>1</v>
      </c>
      <c r="C2209" t="s">
        <v>77</v>
      </c>
      <c r="D2209" t="s">
        <v>101</v>
      </c>
      <c r="E2209">
        <v>5</v>
      </c>
      <c r="F2209" s="2">
        <v>8.21917808219178E-3</v>
      </c>
    </row>
    <row r="2210" spans="2:6" x14ac:dyDescent="0.25">
      <c r="B2210" s="33">
        <v>1</v>
      </c>
      <c r="C2210" t="s">
        <v>3</v>
      </c>
      <c r="D2210" t="s">
        <v>180</v>
      </c>
      <c r="E2210">
        <v>1</v>
      </c>
      <c r="F2210" s="2">
        <v>1.0958904109589041E-2</v>
      </c>
    </row>
    <row r="2211" spans="2:6" x14ac:dyDescent="0.25">
      <c r="B2211" s="33">
        <v>1</v>
      </c>
      <c r="C2211" t="s">
        <v>69</v>
      </c>
      <c r="D2211" t="s">
        <v>181</v>
      </c>
      <c r="E2211">
        <v>9</v>
      </c>
      <c r="F2211" s="2">
        <v>1.643835616438356E-2</v>
      </c>
    </row>
    <row r="2212" spans="2:6" x14ac:dyDescent="0.25">
      <c r="B2212" s="33">
        <v>1</v>
      </c>
      <c r="C2212" t="s">
        <v>3</v>
      </c>
      <c r="D2212" t="s">
        <v>208</v>
      </c>
      <c r="E2212">
        <v>8</v>
      </c>
      <c r="F2212" s="2">
        <v>2.1917808219178082E-2</v>
      </c>
    </row>
    <row r="2213" spans="2:6" x14ac:dyDescent="0.25">
      <c r="B2213" s="33">
        <v>1</v>
      </c>
      <c r="C2213" t="s">
        <v>103</v>
      </c>
      <c r="D2213" t="s">
        <v>194</v>
      </c>
      <c r="E2213">
        <v>14</v>
      </c>
      <c r="F2213" s="2">
        <v>3.0136986301369864E-2</v>
      </c>
    </row>
    <row r="2214" spans="2:6" x14ac:dyDescent="0.25">
      <c r="B2214" s="33">
        <v>1</v>
      </c>
      <c r="C2214" t="s">
        <v>3</v>
      </c>
      <c r="D2214" t="s">
        <v>191</v>
      </c>
      <c r="E2214">
        <v>11</v>
      </c>
      <c r="F2214" s="2">
        <v>2.1917808219178082E-2</v>
      </c>
    </row>
    <row r="2215" spans="2:6" x14ac:dyDescent="0.25">
      <c r="B2215" s="33">
        <v>1</v>
      </c>
      <c r="C2215" t="s">
        <v>77</v>
      </c>
      <c r="D2215" t="s">
        <v>145</v>
      </c>
      <c r="E2215">
        <v>15</v>
      </c>
      <c r="F2215" s="2">
        <v>1.9178082191780823E-2</v>
      </c>
    </row>
    <row r="2216" spans="2:6" x14ac:dyDescent="0.25">
      <c r="B2216" s="33">
        <v>1</v>
      </c>
      <c r="C2216" t="s">
        <v>2</v>
      </c>
      <c r="D2216" t="s">
        <v>198</v>
      </c>
      <c r="E2216">
        <v>10</v>
      </c>
      <c r="F2216" s="2">
        <v>1.643835616438356E-2</v>
      </c>
    </row>
    <row r="2217" spans="2:6" x14ac:dyDescent="0.25">
      <c r="B2217" s="33">
        <v>1</v>
      </c>
      <c r="C2217" t="s">
        <v>3</v>
      </c>
      <c r="D2217" t="s">
        <v>188</v>
      </c>
      <c r="E2217">
        <v>8</v>
      </c>
      <c r="F2217" s="2">
        <v>2.1917808219178082E-2</v>
      </c>
    </row>
    <row r="2218" spans="2:6" x14ac:dyDescent="0.25">
      <c r="B2218" s="33">
        <v>1</v>
      </c>
      <c r="C2218" t="s">
        <v>66</v>
      </c>
      <c r="D2218" t="s">
        <v>227</v>
      </c>
      <c r="E2218">
        <v>9</v>
      </c>
      <c r="F2218" s="2">
        <v>1.9178082191780823E-2</v>
      </c>
    </row>
    <row r="2219" spans="2:6" x14ac:dyDescent="0.25">
      <c r="B2219" s="33">
        <v>1</v>
      </c>
      <c r="C2219" t="s">
        <v>3</v>
      </c>
      <c r="D2219" t="s">
        <v>173</v>
      </c>
      <c r="E2219">
        <v>17</v>
      </c>
      <c r="F2219" s="2">
        <v>1.9178082191780823E-2</v>
      </c>
    </row>
    <row r="2220" spans="2:6" x14ac:dyDescent="0.25">
      <c r="B2220" s="33">
        <v>1</v>
      </c>
      <c r="C2220" t="s">
        <v>77</v>
      </c>
      <c r="D2220" t="s">
        <v>123</v>
      </c>
      <c r="E2220">
        <v>16</v>
      </c>
      <c r="F2220" s="2">
        <v>1.643835616438356E-2</v>
      </c>
    </row>
    <row r="2221" spans="2:6" x14ac:dyDescent="0.25">
      <c r="B2221" s="33">
        <v>1</v>
      </c>
      <c r="C2221" t="s">
        <v>3</v>
      </c>
      <c r="D2221" t="s">
        <v>191</v>
      </c>
      <c r="E2221">
        <v>20</v>
      </c>
      <c r="F2221" s="2">
        <v>1.9178082191780823E-2</v>
      </c>
    </row>
    <row r="2222" spans="2:6" x14ac:dyDescent="0.25">
      <c r="B2222" s="33">
        <v>1</v>
      </c>
      <c r="C2222" t="s">
        <v>2</v>
      </c>
      <c r="D2222" t="s">
        <v>118</v>
      </c>
      <c r="E2222">
        <v>19</v>
      </c>
      <c r="F2222" s="2">
        <v>2.1917808219178082E-2</v>
      </c>
    </row>
    <row r="2223" spans="2:6" x14ac:dyDescent="0.25">
      <c r="B2223" s="33">
        <v>1</v>
      </c>
      <c r="C2223" t="s">
        <v>77</v>
      </c>
      <c r="D2223" t="s">
        <v>136</v>
      </c>
      <c r="E2223">
        <v>1</v>
      </c>
      <c r="F2223" s="2">
        <v>8.21917808219178E-3</v>
      </c>
    </row>
    <row r="2224" spans="2:6" x14ac:dyDescent="0.25">
      <c r="B2224" s="33">
        <v>1</v>
      </c>
      <c r="C2224" t="s">
        <v>1</v>
      </c>
      <c r="D2224" t="s">
        <v>155</v>
      </c>
      <c r="E2224">
        <v>0</v>
      </c>
      <c r="F2224" s="2">
        <v>1.643835616438356E-2</v>
      </c>
    </row>
    <row r="2225" spans="2:6" x14ac:dyDescent="0.25">
      <c r="B2225" s="33">
        <v>1</v>
      </c>
      <c r="C2225" t="s">
        <v>4</v>
      </c>
      <c r="D2225" t="s">
        <v>106</v>
      </c>
      <c r="E2225">
        <v>5</v>
      </c>
      <c r="F2225" s="2">
        <v>2.7397260273972603E-3</v>
      </c>
    </row>
    <row r="2226" spans="2:6" x14ac:dyDescent="0.25">
      <c r="B2226" s="33">
        <v>1</v>
      </c>
      <c r="C2226" t="s">
        <v>90</v>
      </c>
      <c r="D2226" t="s">
        <v>120</v>
      </c>
      <c r="E2226">
        <v>6</v>
      </c>
      <c r="F2226" s="2">
        <v>1.9178082191780823E-2</v>
      </c>
    </row>
    <row r="2227" spans="2:6" x14ac:dyDescent="0.25">
      <c r="B2227" s="33">
        <v>1</v>
      </c>
      <c r="C2227" t="s">
        <v>103</v>
      </c>
      <c r="D2227" t="s">
        <v>137</v>
      </c>
      <c r="E2227">
        <v>6</v>
      </c>
      <c r="F2227" s="2">
        <v>5.4794520547945206E-3</v>
      </c>
    </row>
    <row r="2228" spans="2:6" x14ac:dyDescent="0.25">
      <c r="B2228" s="33">
        <v>1</v>
      </c>
      <c r="C2228" t="s">
        <v>126</v>
      </c>
      <c r="D2228" t="s">
        <v>131</v>
      </c>
      <c r="E2228">
        <v>9</v>
      </c>
      <c r="F2228" s="2">
        <v>4.6575342465753428E-2</v>
      </c>
    </row>
    <row r="2229" spans="2:6" x14ac:dyDescent="0.25">
      <c r="B2229" s="33">
        <v>1</v>
      </c>
      <c r="C2229" t="s">
        <v>64</v>
      </c>
      <c r="D2229" t="s">
        <v>165</v>
      </c>
      <c r="E2229">
        <v>14</v>
      </c>
      <c r="F2229" s="2">
        <v>1.9178082191780823E-2</v>
      </c>
    </row>
    <row r="2230" spans="2:6" x14ac:dyDescent="0.25">
      <c r="B2230" s="33">
        <v>1</v>
      </c>
      <c r="C2230" t="s">
        <v>72</v>
      </c>
      <c r="D2230" t="s">
        <v>149</v>
      </c>
      <c r="E2230">
        <v>12</v>
      </c>
      <c r="F2230" s="2">
        <v>3.0136986301369864E-2</v>
      </c>
    </row>
    <row r="2231" spans="2:6" x14ac:dyDescent="0.25">
      <c r="B2231" s="33">
        <v>1</v>
      </c>
      <c r="C2231" t="s">
        <v>72</v>
      </c>
      <c r="D2231" t="s">
        <v>187</v>
      </c>
      <c r="E2231">
        <v>14</v>
      </c>
      <c r="F2231" s="2">
        <v>2.7397260273972601E-2</v>
      </c>
    </row>
    <row r="2232" spans="2:6" x14ac:dyDescent="0.25">
      <c r="B2232" s="33">
        <v>1</v>
      </c>
      <c r="C2232" t="s">
        <v>4</v>
      </c>
      <c r="D2232" t="s">
        <v>166</v>
      </c>
      <c r="E2232">
        <v>15</v>
      </c>
      <c r="F2232" s="2">
        <v>3.287671232876712E-2</v>
      </c>
    </row>
    <row r="2233" spans="2:6" x14ac:dyDescent="0.25">
      <c r="B2233" s="33">
        <v>1</v>
      </c>
      <c r="C2233" t="s">
        <v>77</v>
      </c>
      <c r="D2233" t="s">
        <v>205</v>
      </c>
      <c r="E2233">
        <v>10</v>
      </c>
      <c r="F2233" s="2">
        <v>1.643835616438356E-2</v>
      </c>
    </row>
    <row r="2234" spans="2:6" x14ac:dyDescent="0.25">
      <c r="B2234" s="33">
        <v>1</v>
      </c>
      <c r="C2234" t="s">
        <v>6</v>
      </c>
      <c r="D2234" t="s">
        <v>30</v>
      </c>
      <c r="E2234">
        <v>5</v>
      </c>
      <c r="F2234" s="2">
        <v>1.9178082191780823E-2</v>
      </c>
    </row>
    <row r="2235" spans="2:6" x14ac:dyDescent="0.25">
      <c r="B2235" s="33">
        <v>1</v>
      </c>
      <c r="C2235" t="s">
        <v>3</v>
      </c>
      <c r="D2235" t="s">
        <v>180</v>
      </c>
      <c r="E2235">
        <v>16</v>
      </c>
      <c r="F2235" s="2">
        <v>1.9178082191780823E-2</v>
      </c>
    </row>
    <row r="2236" spans="2:6" x14ac:dyDescent="0.25">
      <c r="B2236" s="33">
        <v>1</v>
      </c>
      <c r="C2236" t="s">
        <v>126</v>
      </c>
      <c r="D2236" t="s">
        <v>147</v>
      </c>
      <c r="E2236">
        <v>21</v>
      </c>
      <c r="F2236" s="2">
        <v>2.7397260273972601E-2</v>
      </c>
    </row>
    <row r="2237" spans="2:6" x14ac:dyDescent="0.25">
      <c r="B2237" s="33">
        <v>1</v>
      </c>
      <c r="C2237" t="s">
        <v>126</v>
      </c>
      <c r="D2237" t="s">
        <v>171</v>
      </c>
      <c r="E2237">
        <v>21</v>
      </c>
      <c r="F2237" s="2">
        <v>2.4657534246575342E-2</v>
      </c>
    </row>
    <row r="2238" spans="2:6" x14ac:dyDescent="0.25">
      <c r="B2238" s="33">
        <v>1</v>
      </c>
      <c r="C2238" t="s">
        <v>69</v>
      </c>
      <c r="D2238" t="s">
        <v>197</v>
      </c>
      <c r="E2238">
        <v>18</v>
      </c>
      <c r="F2238" s="2">
        <v>1.3698630136986301E-2</v>
      </c>
    </row>
    <row r="2239" spans="2:6" x14ac:dyDescent="0.25">
      <c r="B2239" s="33">
        <v>1</v>
      </c>
      <c r="C2239" t="s">
        <v>69</v>
      </c>
      <c r="D2239" t="s">
        <v>132</v>
      </c>
      <c r="E2239">
        <v>1</v>
      </c>
      <c r="F2239" s="2">
        <v>1.0958904109589041E-2</v>
      </c>
    </row>
    <row r="2240" spans="2:6" x14ac:dyDescent="0.25">
      <c r="B2240" s="33">
        <v>1</v>
      </c>
      <c r="C2240" t="s">
        <v>66</v>
      </c>
      <c r="D2240" t="s">
        <v>182</v>
      </c>
      <c r="E2240">
        <v>2</v>
      </c>
      <c r="F2240" s="2">
        <v>1.3698630136986301E-2</v>
      </c>
    </row>
    <row r="2241" spans="2:6" x14ac:dyDescent="0.25">
      <c r="B2241" s="33">
        <v>1</v>
      </c>
      <c r="C2241" t="s">
        <v>3</v>
      </c>
      <c r="D2241" t="s">
        <v>173</v>
      </c>
      <c r="E2241">
        <v>0</v>
      </c>
      <c r="F2241" s="2">
        <v>1.0958904109589041E-2</v>
      </c>
    </row>
    <row r="2242" spans="2:6" x14ac:dyDescent="0.25">
      <c r="B2242" s="33">
        <v>1</v>
      </c>
      <c r="C2242" t="s">
        <v>90</v>
      </c>
      <c r="D2242" t="s">
        <v>109</v>
      </c>
      <c r="E2242">
        <v>3</v>
      </c>
      <c r="F2242" s="2">
        <v>1.9178082191780823E-2</v>
      </c>
    </row>
    <row r="2243" spans="2:6" x14ac:dyDescent="0.25">
      <c r="B2243" s="33">
        <v>1</v>
      </c>
      <c r="C2243" t="s">
        <v>6</v>
      </c>
      <c r="D2243" t="s">
        <v>32</v>
      </c>
      <c r="E2243">
        <v>5</v>
      </c>
      <c r="F2243" s="2">
        <v>1.9178082191780823E-2</v>
      </c>
    </row>
    <row r="2244" spans="2:6" x14ac:dyDescent="0.25">
      <c r="B2244" s="33">
        <v>1</v>
      </c>
      <c r="C2244" t="s">
        <v>77</v>
      </c>
      <c r="D2244" t="s">
        <v>205</v>
      </c>
      <c r="E2244">
        <v>0</v>
      </c>
      <c r="F2244" s="2">
        <v>8.21917808219178E-3</v>
      </c>
    </row>
    <row r="2245" spans="2:6" x14ac:dyDescent="0.25">
      <c r="B2245" s="33">
        <v>1</v>
      </c>
      <c r="C2245" t="s">
        <v>3</v>
      </c>
      <c r="D2245" t="s">
        <v>108</v>
      </c>
      <c r="E2245">
        <v>10</v>
      </c>
      <c r="F2245" s="2">
        <v>2.1917808219178082E-2</v>
      </c>
    </row>
    <row r="2246" spans="2:6" x14ac:dyDescent="0.25">
      <c r="B2246" s="33">
        <v>1</v>
      </c>
      <c r="C2246" t="s">
        <v>3</v>
      </c>
      <c r="D2246" t="s">
        <v>100</v>
      </c>
      <c r="E2246">
        <v>10</v>
      </c>
      <c r="F2246" s="2">
        <v>1.9178082191780823E-2</v>
      </c>
    </row>
    <row r="2247" spans="2:6" x14ac:dyDescent="0.25">
      <c r="B2247" s="33">
        <v>1</v>
      </c>
      <c r="C2247" t="s">
        <v>126</v>
      </c>
      <c r="D2247" t="s">
        <v>131</v>
      </c>
      <c r="E2247">
        <v>13</v>
      </c>
      <c r="F2247" s="2">
        <v>4.1095890410958902E-2</v>
      </c>
    </row>
    <row r="2248" spans="2:6" x14ac:dyDescent="0.25">
      <c r="B2248" s="33">
        <v>1</v>
      </c>
      <c r="C2248" t="s">
        <v>103</v>
      </c>
      <c r="D2248" t="s">
        <v>45</v>
      </c>
      <c r="E2248">
        <v>13</v>
      </c>
      <c r="F2248" s="2">
        <v>3.0136986301369864E-2</v>
      </c>
    </row>
    <row r="2249" spans="2:6" x14ac:dyDescent="0.25">
      <c r="B2249" s="33">
        <v>1</v>
      </c>
      <c r="C2249" t="s">
        <v>4</v>
      </c>
      <c r="D2249" t="s">
        <v>153</v>
      </c>
      <c r="E2249">
        <v>21</v>
      </c>
      <c r="F2249" s="2">
        <v>3.8356164383561646E-2</v>
      </c>
    </row>
    <row r="2250" spans="2:6" x14ac:dyDescent="0.25">
      <c r="B2250" s="33">
        <v>1</v>
      </c>
      <c r="C2250" t="s">
        <v>69</v>
      </c>
      <c r="D2250" t="s">
        <v>199</v>
      </c>
      <c r="E2250">
        <v>21</v>
      </c>
      <c r="F2250" s="2">
        <v>1.3698630136986301E-2</v>
      </c>
    </row>
    <row r="2251" spans="2:6" x14ac:dyDescent="0.25">
      <c r="B2251" s="33">
        <v>1</v>
      </c>
      <c r="C2251" t="s">
        <v>2</v>
      </c>
      <c r="D2251" t="s">
        <v>185</v>
      </c>
      <c r="E2251">
        <v>20</v>
      </c>
      <c r="F2251" s="2">
        <v>2.1917808219178082E-2</v>
      </c>
    </row>
    <row r="2252" spans="2:6" x14ac:dyDescent="0.25">
      <c r="B2252" s="33">
        <v>1</v>
      </c>
      <c r="C2252" t="s">
        <v>126</v>
      </c>
      <c r="D2252" t="s">
        <v>127</v>
      </c>
      <c r="E2252">
        <v>23</v>
      </c>
      <c r="F2252" s="2">
        <v>2.4657534246575342E-2</v>
      </c>
    </row>
    <row r="2253" spans="2:6" x14ac:dyDescent="0.25">
      <c r="B2253" s="33">
        <v>1</v>
      </c>
      <c r="C2253" t="s">
        <v>77</v>
      </c>
      <c r="D2253" t="s">
        <v>123</v>
      </c>
      <c r="E2253">
        <v>17</v>
      </c>
      <c r="F2253" s="2">
        <v>1.643835616438356E-2</v>
      </c>
    </row>
    <row r="2254" spans="2:6" x14ac:dyDescent="0.25">
      <c r="B2254" s="33">
        <v>1</v>
      </c>
      <c r="C2254" t="s">
        <v>1</v>
      </c>
      <c r="D2254" t="s">
        <v>189</v>
      </c>
      <c r="E2254">
        <v>21</v>
      </c>
      <c r="F2254" s="2">
        <v>1.9178082191780823E-2</v>
      </c>
    </row>
    <row r="2255" spans="2:6" x14ac:dyDescent="0.25">
      <c r="B2255" s="33">
        <v>1</v>
      </c>
      <c r="C2255" t="s">
        <v>66</v>
      </c>
      <c r="D2255" t="s">
        <v>212</v>
      </c>
      <c r="E2255">
        <v>16</v>
      </c>
      <c r="F2255" s="2">
        <v>2.4657534246575342E-2</v>
      </c>
    </row>
    <row r="2256" spans="2:6" x14ac:dyDescent="0.25">
      <c r="B2256" s="33">
        <v>1</v>
      </c>
      <c r="C2256" t="s">
        <v>66</v>
      </c>
      <c r="D2256" t="s">
        <v>151</v>
      </c>
      <c r="E2256">
        <v>22</v>
      </c>
      <c r="F2256" s="2">
        <v>2.4657534246575342E-2</v>
      </c>
    </row>
    <row r="2257" spans="2:6" x14ac:dyDescent="0.25">
      <c r="B2257" s="33">
        <v>1</v>
      </c>
      <c r="C2257" t="s">
        <v>4</v>
      </c>
      <c r="D2257" t="s">
        <v>166</v>
      </c>
      <c r="E2257">
        <v>19</v>
      </c>
      <c r="F2257" s="2">
        <v>3.5616438356164383E-2</v>
      </c>
    </row>
    <row r="2258" spans="2:6" x14ac:dyDescent="0.25">
      <c r="B2258" s="33">
        <v>1</v>
      </c>
      <c r="C2258" t="s">
        <v>72</v>
      </c>
      <c r="D2258" t="s">
        <v>209</v>
      </c>
      <c r="E2258">
        <v>21</v>
      </c>
      <c r="F2258" s="2">
        <v>2.4657534246575342E-2</v>
      </c>
    </row>
    <row r="2259" spans="2:6" x14ac:dyDescent="0.25">
      <c r="B2259" s="33">
        <v>1</v>
      </c>
      <c r="C2259" t="s">
        <v>77</v>
      </c>
      <c r="D2259" t="s">
        <v>145</v>
      </c>
      <c r="E2259">
        <v>16</v>
      </c>
      <c r="F2259" s="2">
        <v>1.643835616438356E-2</v>
      </c>
    </row>
    <row r="2260" spans="2:6" x14ac:dyDescent="0.25">
      <c r="B2260" s="33">
        <v>1</v>
      </c>
      <c r="C2260" t="s">
        <v>69</v>
      </c>
      <c r="D2260" t="s">
        <v>199</v>
      </c>
      <c r="E2260">
        <v>20</v>
      </c>
      <c r="F2260" s="2">
        <v>1.3698630136986301E-2</v>
      </c>
    </row>
    <row r="2261" spans="2:6" x14ac:dyDescent="0.25">
      <c r="B2261" s="33">
        <v>1</v>
      </c>
      <c r="C2261" t="s">
        <v>1</v>
      </c>
      <c r="D2261" t="s">
        <v>216</v>
      </c>
      <c r="E2261">
        <v>21</v>
      </c>
      <c r="F2261" s="2">
        <v>1.643835616438356E-2</v>
      </c>
    </row>
    <row r="2262" spans="2:6" x14ac:dyDescent="0.25">
      <c r="B2262" s="33">
        <v>1</v>
      </c>
      <c r="C2262" t="s">
        <v>3</v>
      </c>
      <c r="D2262" t="s">
        <v>195</v>
      </c>
      <c r="E2262">
        <v>5</v>
      </c>
      <c r="F2262" s="2">
        <v>1.0958904109589041E-2</v>
      </c>
    </row>
    <row r="2263" spans="2:6" x14ac:dyDescent="0.25">
      <c r="B2263" s="33">
        <v>1</v>
      </c>
      <c r="C2263" t="s">
        <v>1</v>
      </c>
      <c r="D2263" t="s">
        <v>152</v>
      </c>
      <c r="E2263">
        <v>6</v>
      </c>
      <c r="F2263" s="2">
        <v>1.643835616438356E-2</v>
      </c>
    </row>
    <row r="2264" spans="2:6" x14ac:dyDescent="0.25">
      <c r="B2264" s="33">
        <v>1</v>
      </c>
      <c r="C2264" t="s">
        <v>4</v>
      </c>
      <c r="D2264" t="s">
        <v>106</v>
      </c>
      <c r="E2264">
        <v>4</v>
      </c>
      <c r="F2264" s="2">
        <v>5.4794520547945206E-3</v>
      </c>
    </row>
    <row r="2265" spans="2:6" x14ac:dyDescent="0.25">
      <c r="B2265" s="33">
        <v>1</v>
      </c>
      <c r="C2265" t="s">
        <v>69</v>
      </c>
      <c r="D2265" t="s">
        <v>159</v>
      </c>
      <c r="E2265">
        <v>0</v>
      </c>
      <c r="F2265" s="2">
        <v>1.0958904109589041E-2</v>
      </c>
    </row>
    <row r="2266" spans="2:6" x14ac:dyDescent="0.25">
      <c r="B2266" s="33">
        <v>1</v>
      </c>
      <c r="C2266" t="s">
        <v>3</v>
      </c>
      <c r="D2266" t="s">
        <v>79</v>
      </c>
      <c r="E2266">
        <v>0</v>
      </c>
      <c r="F2266" s="2">
        <v>1.0958904109589041E-2</v>
      </c>
    </row>
    <row r="2267" spans="2:6" x14ac:dyDescent="0.25">
      <c r="B2267" s="33">
        <v>1</v>
      </c>
      <c r="C2267" t="s">
        <v>66</v>
      </c>
      <c r="D2267" t="s">
        <v>129</v>
      </c>
      <c r="E2267">
        <v>2</v>
      </c>
      <c r="F2267" s="2">
        <v>1.3698630136986301E-2</v>
      </c>
    </row>
    <row r="2268" spans="2:6" x14ac:dyDescent="0.25">
      <c r="B2268" s="33">
        <v>1</v>
      </c>
      <c r="C2268" t="s">
        <v>74</v>
      </c>
      <c r="D2268" t="s">
        <v>130</v>
      </c>
      <c r="E2268">
        <v>5</v>
      </c>
      <c r="F2268" s="2">
        <v>2.7397260273972601E-2</v>
      </c>
    </row>
    <row r="2269" spans="2:6" x14ac:dyDescent="0.25">
      <c r="B2269" s="33">
        <v>1</v>
      </c>
      <c r="C2269" t="s">
        <v>64</v>
      </c>
      <c r="D2269" t="s">
        <v>71</v>
      </c>
      <c r="E2269">
        <v>6</v>
      </c>
      <c r="F2269" s="2">
        <v>1.3698630136986301E-2</v>
      </c>
    </row>
    <row r="2270" spans="2:6" x14ac:dyDescent="0.25">
      <c r="B2270" s="33">
        <v>1</v>
      </c>
      <c r="C2270" t="s">
        <v>77</v>
      </c>
      <c r="D2270" t="s">
        <v>83</v>
      </c>
      <c r="E2270">
        <v>0</v>
      </c>
      <c r="F2270" s="2">
        <v>8.21917808219178E-3</v>
      </c>
    </row>
    <row r="2271" spans="2:6" x14ac:dyDescent="0.25">
      <c r="B2271" s="33">
        <v>1</v>
      </c>
      <c r="C2271" t="s">
        <v>3</v>
      </c>
      <c r="D2271" t="s">
        <v>207</v>
      </c>
      <c r="E2271">
        <v>7</v>
      </c>
      <c r="F2271" s="2">
        <v>1.0958904109589041E-2</v>
      </c>
    </row>
    <row r="2272" spans="2:6" x14ac:dyDescent="0.25">
      <c r="B2272" s="33">
        <v>1</v>
      </c>
      <c r="C2272" t="s">
        <v>69</v>
      </c>
      <c r="D2272" t="s">
        <v>113</v>
      </c>
      <c r="E2272">
        <v>1</v>
      </c>
      <c r="F2272" s="2">
        <v>1.0958904109589041E-2</v>
      </c>
    </row>
    <row r="2273" spans="2:6" x14ac:dyDescent="0.25">
      <c r="B2273" s="33">
        <v>1</v>
      </c>
      <c r="C2273" t="s">
        <v>66</v>
      </c>
      <c r="D2273" t="s">
        <v>182</v>
      </c>
      <c r="E2273">
        <v>0</v>
      </c>
      <c r="F2273" s="2">
        <v>1.3698630136986301E-2</v>
      </c>
    </row>
    <row r="2274" spans="2:6" x14ac:dyDescent="0.25">
      <c r="B2274" s="33">
        <v>1</v>
      </c>
      <c r="C2274" t="s">
        <v>3</v>
      </c>
      <c r="D2274" t="s">
        <v>161</v>
      </c>
      <c r="E2274">
        <v>11</v>
      </c>
      <c r="F2274" s="2">
        <v>1.9178082191780823E-2</v>
      </c>
    </row>
    <row r="2275" spans="2:6" x14ac:dyDescent="0.25">
      <c r="B2275" s="33">
        <v>1</v>
      </c>
      <c r="C2275" t="s">
        <v>66</v>
      </c>
      <c r="D2275" t="s">
        <v>227</v>
      </c>
      <c r="E2275">
        <v>8</v>
      </c>
      <c r="F2275" s="2">
        <v>1.9178082191780823E-2</v>
      </c>
    </row>
    <row r="2276" spans="2:6" x14ac:dyDescent="0.25">
      <c r="B2276" s="33">
        <v>1</v>
      </c>
      <c r="C2276" t="s">
        <v>66</v>
      </c>
      <c r="D2276" t="s">
        <v>212</v>
      </c>
      <c r="E2276">
        <v>13</v>
      </c>
      <c r="F2276" s="2">
        <v>1.643835616438356E-2</v>
      </c>
    </row>
    <row r="2277" spans="2:6" x14ac:dyDescent="0.25">
      <c r="B2277" s="33">
        <v>1</v>
      </c>
      <c r="C2277" t="s">
        <v>3</v>
      </c>
      <c r="D2277" t="s">
        <v>173</v>
      </c>
      <c r="E2277">
        <v>13</v>
      </c>
      <c r="F2277" s="2">
        <v>1.9178082191780823E-2</v>
      </c>
    </row>
    <row r="2278" spans="2:6" x14ac:dyDescent="0.25">
      <c r="B2278" s="33">
        <v>1</v>
      </c>
      <c r="C2278" t="s">
        <v>64</v>
      </c>
      <c r="D2278" t="s">
        <v>222</v>
      </c>
      <c r="E2278">
        <v>8</v>
      </c>
      <c r="F2278" s="2">
        <v>1.9178082191780823E-2</v>
      </c>
    </row>
    <row r="2279" spans="2:6" x14ac:dyDescent="0.25">
      <c r="B2279" s="33">
        <v>1</v>
      </c>
      <c r="C2279" t="s">
        <v>1</v>
      </c>
      <c r="D2279" t="s">
        <v>217</v>
      </c>
      <c r="E2279">
        <v>13</v>
      </c>
      <c r="F2279" s="2">
        <v>1.9178082191780823E-2</v>
      </c>
    </row>
    <row r="2280" spans="2:6" x14ac:dyDescent="0.25">
      <c r="B2280" s="33">
        <v>1</v>
      </c>
      <c r="C2280" t="s">
        <v>103</v>
      </c>
      <c r="D2280" t="s">
        <v>158</v>
      </c>
      <c r="E2280">
        <v>13</v>
      </c>
      <c r="F2280" s="2">
        <v>3.0136986301369864E-2</v>
      </c>
    </row>
    <row r="2281" spans="2:6" x14ac:dyDescent="0.25">
      <c r="B2281" s="33">
        <v>1</v>
      </c>
      <c r="C2281" t="s">
        <v>88</v>
      </c>
      <c r="D2281" t="s">
        <v>201</v>
      </c>
      <c r="E2281">
        <v>12</v>
      </c>
      <c r="F2281" s="2">
        <v>2.7397260273972601E-2</v>
      </c>
    </row>
    <row r="2282" spans="2:6" x14ac:dyDescent="0.25">
      <c r="B2282" s="33">
        <v>1</v>
      </c>
      <c r="C2282" t="s">
        <v>77</v>
      </c>
      <c r="D2282" t="s">
        <v>97</v>
      </c>
      <c r="E2282">
        <v>8</v>
      </c>
      <c r="F2282" s="2">
        <v>1.643835616438356E-2</v>
      </c>
    </row>
    <row r="2283" spans="2:6" x14ac:dyDescent="0.25">
      <c r="B2283" s="33">
        <v>1</v>
      </c>
      <c r="C2283" t="s">
        <v>3</v>
      </c>
      <c r="D2283" t="s">
        <v>191</v>
      </c>
      <c r="E2283">
        <v>14</v>
      </c>
      <c r="F2283" s="2">
        <v>1.9178082191780823E-2</v>
      </c>
    </row>
    <row r="2284" spans="2:6" x14ac:dyDescent="0.25">
      <c r="B2284" s="33">
        <v>1</v>
      </c>
      <c r="C2284" t="s">
        <v>77</v>
      </c>
      <c r="D2284" t="s">
        <v>177</v>
      </c>
      <c r="E2284">
        <v>15</v>
      </c>
      <c r="F2284" s="2">
        <v>1.643835616438356E-2</v>
      </c>
    </row>
    <row r="2285" spans="2:6" x14ac:dyDescent="0.25">
      <c r="B2285" s="33">
        <v>1</v>
      </c>
      <c r="C2285" t="s">
        <v>69</v>
      </c>
      <c r="D2285" t="s">
        <v>113</v>
      </c>
      <c r="E2285">
        <v>22</v>
      </c>
      <c r="F2285" s="2">
        <v>1.3698630136986301E-2</v>
      </c>
    </row>
    <row r="2286" spans="2:6" x14ac:dyDescent="0.25">
      <c r="B2286" s="33">
        <v>1</v>
      </c>
      <c r="C2286" t="s">
        <v>3</v>
      </c>
      <c r="D2286" t="s">
        <v>191</v>
      </c>
      <c r="E2286">
        <v>21</v>
      </c>
      <c r="F2286" s="2">
        <v>1.9178082191780823E-2</v>
      </c>
    </row>
    <row r="2287" spans="2:6" x14ac:dyDescent="0.25">
      <c r="B2287" s="33">
        <v>1</v>
      </c>
      <c r="C2287" t="s">
        <v>126</v>
      </c>
      <c r="D2287" t="s">
        <v>169</v>
      </c>
      <c r="E2287">
        <v>16</v>
      </c>
      <c r="F2287" s="2">
        <v>2.1917808219178082E-2</v>
      </c>
    </row>
    <row r="2288" spans="2:6" x14ac:dyDescent="0.25">
      <c r="B2288" s="33">
        <v>1</v>
      </c>
      <c r="C2288" t="s">
        <v>64</v>
      </c>
      <c r="D2288" t="s">
        <v>99</v>
      </c>
      <c r="E2288">
        <v>20</v>
      </c>
      <c r="F2288" s="2">
        <v>3.8356164383561646E-2</v>
      </c>
    </row>
    <row r="2289" spans="2:6" x14ac:dyDescent="0.25">
      <c r="B2289" s="33">
        <v>1</v>
      </c>
      <c r="C2289" t="s">
        <v>3</v>
      </c>
      <c r="D2289" t="s">
        <v>119</v>
      </c>
      <c r="E2289">
        <v>20</v>
      </c>
      <c r="F2289" s="2">
        <v>1.9178082191780823E-2</v>
      </c>
    </row>
    <row r="2290" spans="2:6" x14ac:dyDescent="0.25">
      <c r="B2290" s="33">
        <v>1</v>
      </c>
      <c r="C2290" t="s">
        <v>74</v>
      </c>
      <c r="D2290" t="s">
        <v>221</v>
      </c>
      <c r="E2290">
        <v>19</v>
      </c>
      <c r="F2290" s="2">
        <v>3.5616438356164383E-2</v>
      </c>
    </row>
    <row r="2291" spans="2:6" x14ac:dyDescent="0.25">
      <c r="B2291" s="33">
        <v>1</v>
      </c>
      <c r="C2291" t="s">
        <v>3</v>
      </c>
      <c r="D2291" t="s">
        <v>180</v>
      </c>
      <c r="E2291">
        <v>19</v>
      </c>
      <c r="F2291" s="2">
        <v>1.9178082191780823E-2</v>
      </c>
    </row>
    <row r="2292" spans="2:6" x14ac:dyDescent="0.25">
      <c r="B2292" s="33">
        <v>1</v>
      </c>
      <c r="C2292" t="s">
        <v>74</v>
      </c>
      <c r="D2292" t="s">
        <v>174</v>
      </c>
      <c r="E2292">
        <v>23</v>
      </c>
      <c r="F2292" s="2">
        <v>3.5616438356164383E-2</v>
      </c>
    </row>
    <row r="2293" spans="2:6" x14ac:dyDescent="0.25">
      <c r="B2293" s="33">
        <v>1</v>
      </c>
      <c r="C2293" t="s">
        <v>64</v>
      </c>
      <c r="D2293" t="s">
        <v>121</v>
      </c>
      <c r="E2293">
        <v>5</v>
      </c>
      <c r="F2293" s="2">
        <v>1.3698630136986301E-2</v>
      </c>
    </row>
    <row r="2294" spans="2:6" x14ac:dyDescent="0.25">
      <c r="B2294" s="33">
        <v>1</v>
      </c>
      <c r="C2294" t="s">
        <v>90</v>
      </c>
      <c r="D2294" t="s">
        <v>109</v>
      </c>
      <c r="E2294">
        <v>2</v>
      </c>
      <c r="F2294" s="2">
        <v>1.643835616438356E-2</v>
      </c>
    </row>
    <row r="2295" spans="2:6" x14ac:dyDescent="0.25">
      <c r="B2295" s="33">
        <v>1</v>
      </c>
      <c r="C2295" t="s">
        <v>88</v>
      </c>
      <c r="D2295" t="s">
        <v>160</v>
      </c>
      <c r="E2295">
        <v>1</v>
      </c>
      <c r="F2295" s="2">
        <v>1.9178082191780823E-2</v>
      </c>
    </row>
    <row r="2296" spans="2:6" x14ac:dyDescent="0.25">
      <c r="B2296" s="33">
        <v>1</v>
      </c>
      <c r="C2296" t="s">
        <v>88</v>
      </c>
      <c r="D2296" t="s">
        <v>160</v>
      </c>
      <c r="E2296">
        <v>0</v>
      </c>
      <c r="F2296" s="2">
        <v>1.9178082191780823E-2</v>
      </c>
    </row>
    <row r="2297" spans="2:6" x14ac:dyDescent="0.25">
      <c r="B2297" s="33">
        <v>1</v>
      </c>
      <c r="C2297" t="s">
        <v>1</v>
      </c>
      <c r="D2297" t="s">
        <v>214</v>
      </c>
      <c r="E2297">
        <v>7</v>
      </c>
      <c r="F2297" s="2">
        <v>1.3698630136986301E-2</v>
      </c>
    </row>
    <row r="2298" spans="2:6" x14ac:dyDescent="0.25">
      <c r="B2298" s="33">
        <v>1</v>
      </c>
      <c r="C2298" t="s">
        <v>103</v>
      </c>
      <c r="D2298" t="s">
        <v>139</v>
      </c>
      <c r="E2298">
        <v>14</v>
      </c>
      <c r="F2298" s="2">
        <v>3.0136986301369864E-2</v>
      </c>
    </row>
    <row r="2299" spans="2:6" x14ac:dyDescent="0.25">
      <c r="B2299" s="33">
        <v>1</v>
      </c>
      <c r="C2299" t="s">
        <v>74</v>
      </c>
      <c r="D2299" t="s">
        <v>174</v>
      </c>
      <c r="E2299">
        <v>14</v>
      </c>
      <c r="F2299" s="2">
        <v>5.2054794520547946E-2</v>
      </c>
    </row>
    <row r="2300" spans="2:6" x14ac:dyDescent="0.25">
      <c r="B2300" s="33">
        <v>1</v>
      </c>
      <c r="C2300" t="s">
        <v>74</v>
      </c>
      <c r="D2300" t="s">
        <v>221</v>
      </c>
      <c r="E2300">
        <v>11</v>
      </c>
      <c r="F2300" s="2">
        <v>3.0136986301369864E-2</v>
      </c>
    </row>
    <row r="2301" spans="2:6" x14ac:dyDescent="0.25">
      <c r="B2301" s="33">
        <v>1</v>
      </c>
      <c r="C2301" t="s">
        <v>72</v>
      </c>
      <c r="D2301" t="s">
        <v>163</v>
      </c>
      <c r="E2301">
        <v>11</v>
      </c>
      <c r="F2301" s="2">
        <v>2.7397260273972601E-2</v>
      </c>
    </row>
    <row r="2302" spans="2:6" x14ac:dyDescent="0.25">
      <c r="B2302" s="33">
        <v>1</v>
      </c>
      <c r="C2302" t="s">
        <v>3</v>
      </c>
      <c r="D2302" t="s">
        <v>188</v>
      </c>
      <c r="E2302">
        <v>14</v>
      </c>
      <c r="F2302" s="2">
        <v>1.9178082191780823E-2</v>
      </c>
    </row>
    <row r="2303" spans="2:6" x14ac:dyDescent="0.25">
      <c r="B2303" s="33">
        <v>1</v>
      </c>
      <c r="C2303" t="s">
        <v>69</v>
      </c>
      <c r="D2303" t="s">
        <v>154</v>
      </c>
      <c r="E2303">
        <v>12</v>
      </c>
      <c r="F2303" s="2">
        <v>1.3698630136986301E-2</v>
      </c>
    </row>
    <row r="2304" spans="2:6" x14ac:dyDescent="0.25">
      <c r="B2304" s="33">
        <v>1</v>
      </c>
      <c r="C2304" t="s">
        <v>64</v>
      </c>
      <c r="D2304" t="s">
        <v>165</v>
      </c>
      <c r="E2304">
        <v>10</v>
      </c>
      <c r="F2304" s="2">
        <v>1.9178082191780823E-2</v>
      </c>
    </row>
    <row r="2305" spans="2:6" x14ac:dyDescent="0.25">
      <c r="B2305" s="33">
        <v>1</v>
      </c>
      <c r="C2305" t="s">
        <v>77</v>
      </c>
      <c r="D2305" t="s">
        <v>98</v>
      </c>
      <c r="E2305">
        <v>18</v>
      </c>
      <c r="F2305" s="2">
        <v>1.643835616438356E-2</v>
      </c>
    </row>
    <row r="2306" spans="2:6" x14ac:dyDescent="0.25">
      <c r="B2306" s="33">
        <v>1</v>
      </c>
      <c r="C2306" t="s">
        <v>103</v>
      </c>
      <c r="D2306" t="s">
        <v>158</v>
      </c>
      <c r="E2306">
        <v>20</v>
      </c>
      <c r="F2306" s="2">
        <v>1.9178082191780823E-2</v>
      </c>
    </row>
    <row r="2307" spans="2:6" x14ac:dyDescent="0.25">
      <c r="B2307" s="33">
        <v>1</v>
      </c>
      <c r="C2307" t="s">
        <v>74</v>
      </c>
      <c r="D2307" t="s">
        <v>174</v>
      </c>
      <c r="E2307">
        <v>22</v>
      </c>
      <c r="F2307" s="2">
        <v>3.5616438356164383E-2</v>
      </c>
    </row>
    <row r="2308" spans="2:6" x14ac:dyDescent="0.25">
      <c r="B2308" s="33">
        <v>1</v>
      </c>
      <c r="C2308" t="s">
        <v>69</v>
      </c>
      <c r="D2308" t="s">
        <v>220</v>
      </c>
      <c r="E2308">
        <v>16</v>
      </c>
      <c r="F2308" s="2">
        <v>1.3698630136986301E-2</v>
      </c>
    </row>
    <row r="2309" spans="2:6" x14ac:dyDescent="0.25">
      <c r="B2309" s="33">
        <v>1</v>
      </c>
      <c r="C2309" t="s">
        <v>2</v>
      </c>
      <c r="D2309" t="s">
        <v>102</v>
      </c>
      <c r="E2309">
        <v>22</v>
      </c>
      <c r="F2309" s="2">
        <v>2.1917808219178082E-2</v>
      </c>
    </row>
    <row r="2310" spans="2:6" x14ac:dyDescent="0.25">
      <c r="B2310" s="33">
        <v>1</v>
      </c>
      <c r="C2310" t="s">
        <v>72</v>
      </c>
      <c r="D2310" t="s">
        <v>149</v>
      </c>
      <c r="E2310">
        <v>20</v>
      </c>
      <c r="F2310" s="2">
        <v>2.1917808219178082E-2</v>
      </c>
    </row>
    <row r="2311" spans="2:6" x14ac:dyDescent="0.25">
      <c r="B2311" s="33">
        <v>1</v>
      </c>
      <c r="C2311" t="s">
        <v>66</v>
      </c>
      <c r="D2311" t="s">
        <v>202</v>
      </c>
      <c r="E2311">
        <v>22</v>
      </c>
      <c r="F2311" s="2">
        <v>2.4657534246575342E-2</v>
      </c>
    </row>
    <row r="2312" spans="2:6" x14ac:dyDescent="0.25">
      <c r="B2312" s="33">
        <v>1</v>
      </c>
      <c r="C2312" t="s">
        <v>0</v>
      </c>
      <c r="D2312" t="s">
        <v>133</v>
      </c>
      <c r="E2312">
        <v>23</v>
      </c>
      <c r="F2312" s="2">
        <v>4.1095890410958902E-2</v>
      </c>
    </row>
    <row r="2313" spans="2:6" x14ac:dyDescent="0.25">
      <c r="B2313" s="33">
        <v>1</v>
      </c>
      <c r="C2313" t="s">
        <v>6</v>
      </c>
      <c r="D2313" t="s">
        <v>21</v>
      </c>
      <c r="E2313">
        <v>4</v>
      </c>
      <c r="F2313" s="2">
        <v>1.9178082191780823E-2</v>
      </c>
    </row>
    <row r="2314" spans="2:6" x14ac:dyDescent="0.25">
      <c r="B2314" s="33">
        <v>1</v>
      </c>
      <c r="C2314" t="s">
        <v>64</v>
      </c>
      <c r="D2314" t="s">
        <v>116</v>
      </c>
      <c r="E2314">
        <v>2</v>
      </c>
      <c r="F2314" s="2">
        <v>1.3698630136986301E-2</v>
      </c>
    </row>
    <row r="2315" spans="2:6" x14ac:dyDescent="0.25">
      <c r="B2315" s="33">
        <v>1</v>
      </c>
      <c r="C2315" t="s">
        <v>0</v>
      </c>
      <c r="D2315" t="s">
        <v>111</v>
      </c>
      <c r="E2315">
        <v>7</v>
      </c>
      <c r="F2315" s="2">
        <v>2.7397260273972601E-2</v>
      </c>
    </row>
    <row r="2316" spans="2:6" x14ac:dyDescent="0.25">
      <c r="B2316" s="33">
        <v>1</v>
      </c>
      <c r="C2316" t="s">
        <v>77</v>
      </c>
      <c r="D2316" t="s">
        <v>123</v>
      </c>
      <c r="E2316">
        <v>0</v>
      </c>
      <c r="F2316" s="2">
        <v>8.21917808219178E-3</v>
      </c>
    </row>
    <row r="2317" spans="2:6" x14ac:dyDescent="0.25">
      <c r="B2317" s="33">
        <v>1</v>
      </c>
      <c r="C2317" t="s">
        <v>3</v>
      </c>
      <c r="D2317" t="s">
        <v>186</v>
      </c>
      <c r="E2317">
        <v>8</v>
      </c>
      <c r="F2317" s="2">
        <v>1.9178082191780823E-2</v>
      </c>
    </row>
    <row r="2318" spans="2:6" x14ac:dyDescent="0.25">
      <c r="B2318" s="33">
        <v>1</v>
      </c>
      <c r="C2318" t="s">
        <v>64</v>
      </c>
      <c r="D2318" t="s">
        <v>222</v>
      </c>
      <c r="E2318">
        <v>15</v>
      </c>
      <c r="F2318" s="2">
        <v>1.643835616438356E-2</v>
      </c>
    </row>
    <row r="2319" spans="2:6" x14ac:dyDescent="0.25">
      <c r="B2319" s="33">
        <v>1</v>
      </c>
      <c r="C2319" t="s">
        <v>77</v>
      </c>
      <c r="D2319" t="s">
        <v>193</v>
      </c>
      <c r="E2319">
        <v>13</v>
      </c>
      <c r="F2319" s="2">
        <v>1.643835616438356E-2</v>
      </c>
    </row>
    <row r="2320" spans="2:6" x14ac:dyDescent="0.25">
      <c r="B2320" s="33">
        <v>1</v>
      </c>
      <c r="C2320" t="s">
        <v>3</v>
      </c>
      <c r="D2320" t="s">
        <v>161</v>
      </c>
      <c r="E2320">
        <v>15</v>
      </c>
      <c r="F2320" s="2">
        <v>1.9178082191780823E-2</v>
      </c>
    </row>
    <row r="2321" spans="2:6" x14ac:dyDescent="0.25">
      <c r="B2321" s="33">
        <v>1</v>
      </c>
      <c r="C2321" t="s">
        <v>66</v>
      </c>
      <c r="D2321" t="s">
        <v>168</v>
      </c>
      <c r="E2321">
        <v>22</v>
      </c>
      <c r="F2321" s="2">
        <v>2.4657534246575342E-2</v>
      </c>
    </row>
    <row r="2322" spans="2:6" x14ac:dyDescent="0.25">
      <c r="B2322" s="33">
        <v>1</v>
      </c>
      <c r="C2322" t="s">
        <v>1</v>
      </c>
      <c r="D2322" t="s">
        <v>152</v>
      </c>
      <c r="E2322">
        <v>1</v>
      </c>
      <c r="F2322" s="2">
        <v>1.3698630136986301E-2</v>
      </c>
    </row>
    <row r="2323" spans="2:6" x14ac:dyDescent="0.25">
      <c r="B2323" s="33">
        <v>1</v>
      </c>
      <c r="C2323" t="s">
        <v>69</v>
      </c>
      <c r="D2323" t="s">
        <v>148</v>
      </c>
      <c r="E2323">
        <v>7</v>
      </c>
      <c r="F2323" s="2">
        <v>1.0958904109589041E-2</v>
      </c>
    </row>
    <row r="2324" spans="2:6" x14ac:dyDescent="0.25">
      <c r="B2324" s="33">
        <v>1</v>
      </c>
      <c r="C2324" t="s">
        <v>64</v>
      </c>
      <c r="D2324" t="s">
        <v>115</v>
      </c>
      <c r="E2324">
        <v>6</v>
      </c>
      <c r="F2324" s="2">
        <v>1.3698630136986301E-2</v>
      </c>
    </row>
    <row r="2325" spans="2:6" x14ac:dyDescent="0.25">
      <c r="B2325" s="33">
        <v>1</v>
      </c>
      <c r="C2325" t="s">
        <v>6</v>
      </c>
      <c r="D2325" t="s">
        <v>34</v>
      </c>
      <c r="E2325">
        <v>2</v>
      </c>
      <c r="F2325" s="2">
        <v>1.9178082191780823E-2</v>
      </c>
    </row>
    <row r="2326" spans="2:6" x14ac:dyDescent="0.25">
      <c r="B2326" s="33">
        <v>1</v>
      </c>
      <c r="C2326" t="s">
        <v>103</v>
      </c>
      <c r="D2326" t="s">
        <v>104</v>
      </c>
      <c r="E2326">
        <v>3</v>
      </c>
      <c r="F2326" s="2">
        <v>8.21917808219178E-3</v>
      </c>
    </row>
    <row r="2327" spans="2:6" x14ac:dyDescent="0.25">
      <c r="B2327" s="33">
        <v>1</v>
      </c>
      <c r="C2327" t="s">
        <v>0</v>
      </c>
      <c r="D2327" t="s">
        <v>95</v>
      </c>
      <c r="E2327">
        <v>5</v>
      </c>
      <c r="F2327" s="2">
        <v>2.4657534246575342E-2</v>
      </c>
    </row>
    <row r="2328" spans="2:6" x14ac:dyDescent="0.25">
      <c r="B2328" s="33">
        <v>1</v>
      </c>
      <c r="C2328" t="s">
        <v>6</v>
      </c>
      <c r="D2328" t="s">
        <v>21</v>
      </c>
      <c r="E2328">
        <v>1</v>
      </c>
      <c r="F2328" s="2">
        <v>1.9178082191780823E-2</v>
      </c>
    </row>
    <row r="2329" spans="2:6" x14ac:dyDescent="0.25">
      <c r="B2329" s="33">
        <v>1</v>
      </c>
      <c r="C2329" t="s">
        <v>4</v>
      </c>
      <c r="D2329" t="s">
        <v>153</v>
      </c>
      <c r="E2329">
        <v>6</v>
      </c>
      <c r="F2329" s="2">
        <v>1.9178082191780823E-2</v>
      </c>
    </row>
    <row r="2330" spans="2:6" x14ac:dyDescent="0.25">
      <c r="B2330" s="33">
        <v>1</v>
      </c>
      <c r="C2330" t="s">
        <v>6</v>
      </c>
      <c r="D2330" t="s">
        <v>34</v>
      </c>
      <c r="E2330">
        <v>6</v>
      </c>
      <c r="F2330" s="2">
        <v>1.9178082191780823E-2</v>
      </c>
    </row>
    <row r="2331" spans="2:6" x14ac:dyDescent="0.25">
      <c r="B2331" s="33">
        <v>1</v>
      </c>
      <c r="C2331" t="s">
        <v>77</v>
      </c>
      <c r="D2331" t="s">
        <v>98</v>
      </c>
      <c r="E2331">
        <v>14</v>
      </c>
      <c r="F2331" s="2">
        <v>1.643835616438356E-2</v>
      </c>
    </row>
    <row r="2332" spans="2:6" x14ac:dyDescent="0.25">
      <c r="B2332" s="33">
        <v>1</v>
      </c>
      <c r="C2332" t="s">
        <v>77</v>
      </c>
      <c r="D2332" t="s">
        <v>204</v>
      </c>
      <c r="E2332">
        <v>13</v>
      </c>
      <c r="F2332" s="2">
        <v>1.643835616438356E-2</v>
      </c>
    </row>
    <row r="2333" spans="2:6" x14ac:dyDescent="0.25">
      <c r="B2333" s="33">
        <v>1</v>
      </c>
      <c r="C2333" t="s">
        <v>103</v>
      </c>
      <c r="D2333" t="s">
        <v>45</v>
      </c>
      <c r="E2333">
        <v>12</v>
      </c>
      <c r="F2333" s="2">
        <v>3.0136986301369864E-2</v>
      </c>
    </row>
    <row r="2334" spans="2:6" x14ac:dyDescent="0.25">
      <c r="B2334" s="33">
        <v>1</v>
      </c>
      <c r="C2334" t="s">
        <v>126</v>
      </c>
      <c r="D2334" t="s">
        <v>169</v>
      </c>
      <c r="E2334">
        <v>12</v>
      </c>
      <c r="F2334" s="2">
        <v>2.4657534246575342E-2</v>
      </c>
    </row>
    <row r="2335" spans="2:6" x14ac:dyDescent="0.25">
      <c r="B2335" s="33">
        <v>1</v>
      </c>
      <c r="C2335" t="s">
        <v>1</v>
      </c>
      <c r="D2335" t="s">
        <v>217</v>
      </c>
      <c r="E2335">
        <v>11</v>
      </c>
      <c r="F2335" s="2">
        <v>1.643835616438356E-2</v>
      </c>
    </row>
    <row r="2336" spans="2:6" x14ac:dyDescent="0.25">
      <c r="B2336" s="33">
        <v>1</v>
      </c>
      <c r="C2336" t="s">
        <v>66</v>
      </c>
      <c r="D2336" t="s">
        <v>212</v>
      </c>
      <c r="E2336">
        <v>11</v>
      </c>
      <c r="F2336" s="2">
        <v>1.643835616438356E-2</v>
      </c>
    </row>
    <row r="2337" spans="2:6" x14ac:dyDescent="0.25">
      <c r="B2337" s="33">
        <v>1</v>
      </c>
      <c r="C2337" t="s">
        <v>69</v>
      </c>
      <c r="D2337" t="s">
        <v>220</v>
      </c>
      <c r="E2337">
        <v>8</v>
      </c>
      <c r="F2337" s="2">
        <v>1.3698630136986301E-2</v>
      </c>
    </row>
    <row r="2338" spans="2:6" x14ac:dyDescent="0.25">
      <c r="B2338" s="33">
        <v>1</v>
      </c>
      <c r="C2338" t="s">
        <v>2</v>
      </c>
      <c r="D2338" t="s">
        <v>172</v>
      </c>
      <c r="E2338">
        <v>11</v>
      </c>
      <c r="F2338" s="2">
        <v>1.643835616438356E-2</v>
      </c>
    </row>
    <row r="2339" spans="2:6" x14ac:dyDescent="0.25">
      <c r="B2339" s="33">
        <v>1</v>
      </c>
      <c r="C2339" t="s">
        <v>1</v>
      </c>
      <c r="D2339" t="s">
        <v>216</v>
      </c>
      <c r="E2339">
        <v>10</v>
      </c>
      <c r="F2339" s="2">
        <v>1.643835616438356E-2</v>
      </c>
    </row>
    <row r="2340" spans="2:6" x14ac:dyDescent="0.25">
      <c r="B2340" s="33">
        <v>1</v>
      </c>
      <c r="C2340" t="s">
        <v>77</v>
      </c>
      <c r="D2340" t="s">
        <v>210</v>
      </c>
      <c r="E2340">
        <v>17</v>
      </c>
      <c r="F2340" s="2">
        <v>1.643835616438356E-2</v>
      </c>
    </row>
    <row r="2341" spans="2:6" x14ac:dyDescent="0.25">
      <c r="B2341" s="33">
        <v>1</v>
      </c>
      <c r="C2341" t="s">
        <v>69</v>
      </c>
      <c r="D2341" t="s">
        <v>223</v>
      </c>
      <c r="E2341">
        <v>21</v>
      </c>
      <c r="F2341" s="2">
        <v>1.3698630136986301E-2</v>
      </c>
    </row>
    <row r="2342" spans="2:6" x14ac:dyDescent="0.25">
      <c r="B2342" s="33">
        <v>1</v>
      </c>
      <c r="C2342" t="s">
        <v>69</v>
      </c>
      <c r="D2342" t="s">
        <v>206</v>
      </c>
      <c r="E2342">
        <v>16</v>
      </c>
      <c r="F2342" s="2">
        <v>1.3698630136986301E-2</v>
      </c>
    </row>
    <row r="2343" spans="2:6" x14ac:dyDescent="0.25">
      <c r="B2343" s="33">
        <v>1</v>
      </c>
      <c r="C2343" t="s">
        <v>3</v>
      </c>
      <c r="D2343" t="s">
        <v>100</v>
      </c>
      <c r="E2343">
        <v>23</v>
      </c>
      <c r="F2343" s="2">
        <v>1.9178082191780823E-2</v>
      </c>
    </row>
    <row r="2344" spans="2:6" x14ac:dyDescent="0.25">
      <c r="B2344" s="33">
        <v>1</v>
      </c>
      <c r="C2344" t="s">
        <v>126</v>
      </c>
      <c r="D2344" t="s">
        <v>147</v>
      </c>
      <c r="E2344">
        <v>19</v>
      </c>
      <c r="F2344" s="2">
        <v>1.9178082191780823E-2</v>
      </c>
    </row>
    <row r="2345" spans="2:6" x14ac:dyDescent="0.25">
      <c r="B2345" s="33">
        <v>1</v>
      </c>
      <c r="C2345" t="s">
        <v>2</v>
      </c>
      <c r="D2345" t="s">
        <v>170</v>
      </c>
      <c r="E2345">
        <v>22</v>
      </c>
      <c r="F2345" s="2">
        <v>2.1917808219178082E-2</v>
      </c>
    </row>
    <row r="2346" spans="2:6" x14ac:dyDescent="0.25">
      <c r="B2346" s="33">
        <v>1</v>
      </c>
      <c r="C2346" t="s">
        <v>1</v>
      </c>
      <c r="D2346" t="s">
        <v>176</v>
      </c>
      <c r="E2346">
        <v>20</v>
      </c>
      <c r="F2346" s="2">
        <v>1.643835616438356E-2</v>
      </c>
    </row>
    <row r="2347" spans="2:6" x14ac:dyDescent="0.25">
      <c r="B2347" s="33">
        <v>1</v>
      </c>
      <c r="C2347" t="s">
        <v>6</v>
      </c>
      <c r="D2347" t="s">
        <v>28</v>
      </c>
      <c r="E2347">
        <v>5</v>
      </c>
      <c r="F2347" s="2">
        <v>1.643835616438356E-2</v>
      </c>
    </row>
    <row r="2348" spans="2:6" x14ac:dyDescent="0.25">
      <c r="B2348" s="33">
        <v>1</v>
      </c>
      <c r="C2348" t="s">
        <v>72</v>
      </c>
      <c r="D2348" t="s">
        <v>125</v>
      </c>
      <c r="E2348">
        <v>2</v>
      </c>
      <c r="F2348" s="2">
        <v>1.643835616438356E-2</v>
      </c>
    </row>
    <row r="2349" spans="2:6" x14ac:dyDescent="0.25">
      <c r="B2349" s="33">
        <v>1</v>
      </c>
      <c r="C2349" t="s">
        <v>69</v>
      </c>
      <c r="D2349" t="s">
        <v>197</v>
      </c>
      <c r="E2349">
        <v>0</v>
      </c>
      <c r="F2349" s="2">
        <v>8.21917808219178E-3</v>
      </c>
    </row>
    <row r="2350" spans="2:6" x14ac:dyDescent="0.25">
      <c r="B2350" s="33">
        <v>1</v>
      </c>
      <c r="C2350" t="s">
        <v>1</v>
      </c>
      <c r="D2350" t="s">
        <v>112</v>
      </c>
      <c r="E2350">
        <v>1</v>
      </c>
      <c r="F2350" s="2">
        <v>1.3698630136986301E-2</v>
      </c>
    </row>
    <row r="2351" spans="2:6" x14ac:dyDescent="0.25">
      <c r="B2351" s="33">
        <v>1</v>
      </c>
      <c r="C2351" t="s">
        <v>69</v>
      </c>
      <c r="D2351" t="s">
        <v>70</v>
      </c>
      <c r="E2351">
        <v>2</v>
      </c>
      <c r="F2351" s="2">
        <v>8.21917808219178E-3</v>
      </c>
    </row>
    <row r="2352" spans="2:6" x14ac:dyDescent="0.25">
      <c r="B2352" s="33">
        <v>1</v>
      </c>
      <c r="C2352" t="s">
        <v>77</v>
      </c>
      <c r="D2352" t="s">
        <v>101</v>
      </c>
      <c r="E2352">
        <v>3</v>
      </c>
      <c r="F2352" s="2">
        <v>8.21917808219178E-3</v>
      </c>
    </row>
    <row r="2353" spans="2:6" x14ac:dyDescent="0.25">
      <c r="B2353" s="33">
        <v>1</v>
      </c>
      <c r="C2353" t="s">
        <v>66</v>
      </c>
      <c r="D2353" t="s">
        <v>122</v>
      </c>
      <c r="E2353">
        <v>2</v>
      </c>
      <c r="F2353" s="2">
        <v>1.3698630136986301E-2</v>
      </c>
    </row>
    <row r="2354" spans="2:6" x14ac:dyDescent="0.25">
      <c r="B2354" s="33">
        <v>1</v>
      </c>
      <c r="C2354" t="s">
        <v>88</v>
      </c>
      <c r="D2354" t="s">
        <v>156</v>
      </c>
      <c r="E2354">
        <v>2</v>
      </c>
      <c r="F2354" s="2">
        <v>1.643835616438356E-2</v>
      </c>
    </row>
    <row r="2355" spans="2:6" x14ac:dyDescent="0.25">
      <c r="B2355" s="33">
        <v>1</v>
      </c>
      <c r="C2355" t="s">
        <v>103</v>
      </c>
      <c r="D2355" t="s">
        <v>194</v>
      </c>
      <c r="E2355">
        <v>6</v>
      </c>
      <c r="F2355" s="2">
        <v>1.0958904109589041E-2</v>
      </c>
    </row>
    <row r="2356" spans="2:6" x14ac:dyDescent="0.25">
      <c r="B2356" s="33">
        <v>1</v>
      </c>
      <c r="C2356" t="s">
        <v>77</v>
      </c>
      <c r="D2356" t="s">
        <v>83</v>
      </c>
      <c r="E2356">
        <v>10</v>
      </c>
      <c r="F2356" s="2">
        <v>1.643835616438356E-2</v>
      </c>
    </row>
    <row r="2357" spans="2:6" x14ac:dyDescent="0.25">
      <c r="B2357" s="33">
        <v>1</v>
      </c>
      <c r="C2357" t="s">
        <v>90</v>
      </c>
      <c r="D2357" t="s">
        <v>164</v>
      </c>
      <c r="E2357">
        <v>8</v>
      </c>
      <c r="F2357" s="2">
        <v>4.6575342465753428E-2</v>
      </c>
    </row>
    <row r="2358" spans="2:6" x14ac:dyDescent="0.25">
      <c r="B2358" s="33">
        <v>1</v>
      </c>
      <c r="C2358" t="s">
        <v>64</v>
      </c>
      <c r="D2358" t="s">
        <v>179</v>
      </c>
      <c r="E2358">
        <v>14</v>
      </c>
      <c r="F2358" s="2">
        <v>1.643835616438356E-2</v>
      </c>
    </row>
    <row r="2359" spans="2:6" x14ac:dyDescent="0.25">
      <c r="B2359" s="33">
        <v>1</v>
      </c>
      <c r="C2359" t="s">
        <v>77</v>
      </c>
      <c r="D2359" t="s">
        <v>85</v>
      </c>
      <c r="E2359">
        <v>8</v>
      </c>
      <c r="F2359" s="2">
        <v>1.643835616438356E-2</v>
      </c>
    </row>
    <row r="2360" spans="2:6" x14ac:dyDescent="0.25">
      <c r="B2360" s="33">
        <v>1</v>
      </c>
      <c r="C2360" t="s">
        <v>3</v>
      </c>
      <c r="D2360" t="s">
        <v>208</v>
      </c>
      <c r="E2360">
        <v>13</v>
      </c>
      <c r="F2360" s="2">
        <v>1.643835616438356E-2</v>
      </c>
    </row>
    <row r="2361" spans="2:6" x14ac:dyDescent="0.25">
      <c r="B2361" s="33">
        <v>1</v>
      </c>
      <c r="C2361" t="s">
        <v>3</v>
      </c>
      <c r="D2361" t="s">
        <v>226</v>
      </c>
      <c r="E2361">
        <v>18</v>
      </c>
      <c r="F2361" s="2">
        <v>1.643835616438356E-2</v>
      </c>
    </row>
    <row r="2362" spans="2:6" x14ac:dyDescent="0.25">
      <c r="B2362" s="33">
        <v>1</v>
      </c>
      <c r="C2362" t="s">
        <v>103</v>
      </c>
      <c r="D2362" t="s">
        <v>167</v>
      </c>
      <c r="E2362">
        <v>21</v>
      </c>
      <c r="F2362" s="2">
        <v>1.9178082191780823E-2</v>
      </c>
    </row>
    <row r="2363" spans="2:6" x14ac:dyDescent="0.25">
      <c r="B2363" s="33">
        <v>1</v>
      </c>
      <c r="C2363" t="s">
        <v>103</v>
      </c>
      <c r="D2363" t="s">
        <v>45</v>
      </c>
      <c r="E2363">
        <v>20</v>
      </c>
      <c r="F2363" s="2">
        <v>1.9178082191780823E-2</v>
      </c>
    </row>
    <row r="2364" spans="2:6" x14ac:dyDescent="0.25">
      <c r="B2364" s="33">
        <v>1</v>
      </c>
      <c r="C2364" t="s">
        <v>1</v>
      </c>
      <c r="D2364" t="s">
        <v>217</v>
      </c>
      <c r="E2364">
        <v>21</v>
      </c>
      <c r="F2364" s="2">
        <v>1.3698630136986301E-2</v>
      </c>
    </row>
    <row r="2365" spans="2:6" x14ac:dyDescent="0.25">
      <c r="B2365" s="33">
        <v>1</v>
      </c>
      <c r="C2365" t="s">
        <v>88</v>
      </c>
      <c r="D2365" t="s">
        <v>201</v>
      </c>
      <c r="E2365">
        <v>17</v>
      </c>
      <c r="F2365" s="2">
        <v>3.0136986301369864E-2</v>
      </c>
    </row>
    <row r="2366" spans="2:6" x14ac:dyDescent="0.25">
      <c r="B2366" s="33">
        <v>1</v>
      </c>
      <c r="C2366" t="s">
        <v>103</v>
      </c>
      <c r="D2366" t="s">
        <v>137</v>
      </c>
      <c r="E2366">
        <v>16</v>
      </c>
      <c r="F2366" s="2">
        <v>1.643835616438356E-2</v>
      </c>
    </row>
    <row r="2367" spans="2:6" x14ac:dyDescent="0.25">
      <c r="B2367" s="33">
        <v>1</v>
      </c>
      <c r="C2367" t="s">
        <v>103</v>
      </c>
      <c r="D2367" t="s">
        <v>158</v>
      </c>
      <c r="E2367">
        <v>0</v>
      </c>
      <c r="F2367" s="2">
        <v>1.643835616438356E-2</v>
      </c>
    </row>
    <row r="2368" spans="2:6" x14ac:dyDescent="0.25">
      <c r="B2368" s="33">
        <v>1</v>
      </c>
      <c r="C2368" t="s">
        <v>2</v>
      </c>
      <c r="D2368" t="s">
        <v>170</v>
      </c>
      <c r="E2368">
        <v>1</v>
      </c>
      <c r="F2368" s="2">
        <v>2.1917808219178082E-2</v>
      </c>
    </row>
    <row r="2369" spans="2:6" x14ac:dyDescent="0.25">
      <c r="B2369" s="33">
        <v>1</v>
      </c>
      <c r="C2369" t="s">
        <v>66</v>
      </c>
      <c r="D2369" t="s">
        <v>182</v>
      </c>
      <c r="E2369">
        <v>1</v>
      </c>
      <c r="F2369" s="2">
        <v>1.3698630136986301E-2</v>
      </c>
    </row>
    <row r="2370" spans="2:6" x14ac:dyDescent="0.25">
      <c r="B2370" s="33">
        <v>1</v>
      </c>
      <c r="C2370" t="s">
        <v>66</v>
      </c>
      <c r="D2370" t="s">
        <v>129</v>
      </c>
      <c r="E2370">
        <v>3</v>
      </c>
      <c r="F2370" s="2">
        <v>1.3698630136986301E-2</v>
      </c>
    </row>
    <row r="2371" spans="2:6" x14ac:dyDescent="0.25">
      <c r="B2371" s="33">
        <v>1</v>
      </c>
      <c r="C2371" t="s">
        <v>3</v>
      </c>
      <c r="D2371" t="s">
        <v>108</v>
      </c>
      <c r="E2371">
        <v>1</v>
      </c>
      <c r="F2371" s="2">
        <v>1.0958904109589041E-2</v>
      </c>
    </row>
    <row r="2372" spans="2:6" x14ac:dyDescent="0.25">
      <c r="B2372" s="33">
        <v>1</v>
      </c>
      <c r="C2372" t="s">
        <v>3</v>
      </c>
      <c r="D2372" t="s">
        <v>100</v>
      </c>
      <c r="E2372">
        <v>0</v>
      </c>
      <c r="F2372" s="2">
        <v>1.0958904109589041E-2</v>
      </c>
    </row>
    <row r="2373" spans="2:6" x14ac:dyDescent="0.25">
      <c r="B2373" s="33">
        <v>1</v>
      </c>
      <c r="C2373" t="s">
        <v>6</v>
      </c>
      <c r="D2373" t="s">
        <v>32</v>
      </c>
      <c r="E2373">
        <v>4</v>
      </c>
      <c r="F2373" s="2">
        <v>1.643835616438356E-2</v>
      </c>
    </row>
    <row r="2374" spans="2:6" x14ac:dyDescent="0.25">
      <c r="B2374" s="33">
        <v>1</v>
      </c>
      <c r="C2374" t="s">
        <v>77</v>
      </c>
      <c r="D2374" t="s">
        <v>225</v>
      </c>
      <c r="E2374">
        <v>9</v>
      </c>
      <c r="F2374" s="2">
        <v>1.643835616438356E-2</v>
      </c>
    </row>
    <row r="2375" spans="2:6" x14ac:dyDescent="0.25">
      <c r="B2375" s="33">
        <v>1</v>
      </c>
      <c r="C2375" t="s">
        <v>69</v>
      </c>
      <c r="D2375" t="s">
        <v>197</v>
      </c>
      <c r="E2375">
        <v>10</v>
      </c>
      <c r="F2375" s="2">
        <v>1.3698630136986301E-2</v>
      </c>
    </row>
    <row r="2376" spans="2:6" x14ac:dyDescent="0.25">
      <c r="B2376" s="33">
        <v>1</v>
      </c>
      <c r="C2376" t="s">
        <v>69</v>
      </c>
      <c r="D2376" t="s">
        <v>113</v>
      </c>
      <c r="E2376">
        <v>10</v>
      </c>
      <c r="F2376" s="2">
        <v>1.3698630136986301E-2</v>
      </c>
    </row>
    <row r="2377" spans="2:6" x14ac:dyDescent="0.25">
      <c r="B2377" s="33">
        <v>1</v>
      </c>
      <c r="C2377" t="s">
        <v>2</v>
      </c>
      <c r="D2377" t="s">
        <v>198</v>
      </c>
      <c r="E2377">
        <v>9</v>
      </c>
      <c r="F2377" s="2">
        <v>1.643835616438356E-2</v>
      </c>
    </row>
    <row r="2378" spans="2:6" x14ac:dyDescent="0.25">
      <c r="B2378" s="33">
        <v>1</v>
      </c>
      <c r="C2378" t="s">
        <v>69</v>
      </c>
      <c r="D2378" t="s">
        <v>124</v>
      </c>
      <c r="E2378">
        <v>13</v>
      </c>
      <c r="F2378" s="2">
        <v>1.3698630136986301E-2</v>
      </c>
    </row>
    <row r="2379" spans="2:6" x14ac:dyDescent="0.25">
      <c r="B2379" s="33">
        <v>1</v>
      </c>
      <c r="C2379" t="s">
        <v>69</v>
      </c>
      <c r="D2379" t="s">
        <v>140</v>
      </c>
      <c r="E2379">
        <v>13</v>
      </c>
      <c r="F2379" s="2">
        <v>1.3698630136986301E-2</v>
      </c>
    </row>
    <row r="2380" spans="2:6" x14ac:dyDescent="0.25">
      <c r="B2380" s="33">
        <v>1</v>
      </c>
      <c r="C2380" t="s">
        <v>69</v>
      </c>
      <c r="D2380" t="s">
        <v>215</v>
      </c>
      <c r="E2380">
        <v>9</v>
      </c>
      <c r="F2380" s="2">
        <v>1.3698630136986301E-2</v>
      </c>
    </row>
    <row r="2381" spans="2:6" x14ac:dyDescent="0.25">
      <c r="B2381" s="33">
        <v>1</v>
      </c>
      <c r="C2381" t="s">
        <v>103</v>
      </c>
      <c r="D2381" t="s">
        <v>158</v>
      </c>
      <c r="E2381">
        <v>15</v>
      </c>
      <c r="F2381" s="2">
        <v>2.7397260273972601E-2</v>
      </c>
    </row>
    <row r="2382" spans="2:6" x14ac:dyDescent="0.25">
      <c r="B2382" s="33">
        <v>1</v>
      </c>
      <c r="C2382" t="s">
        <v>69</v>
      </c>
      <c r="D2382" t="s">
        <v>206</v>
      </c>
      <c r="E2382">
        <v>14</v>
      </c>
      <c r="F2382" s="2">
        <v>1.3698630136986301E-2</v>
      </c>
    </row>
    <row r="2383" spans="2:6" x14ac:dyDescent="0.25">
      <c r="B2383" s="33">
        <v>1</v>
      </c>
      <c r="C2383" t="s">
        <v>69</v>
      </c>
      <c r="D2383" t="s">
        <v>140</v>
      </c>
      <c r="E2383">
        <v>9</v>
      </c>
      <c r="F2383" s="2">
        <v>1.3698630136986301E-2</v>
      </c>
    </row>
    <row r="2384" spans="2:6" x14ac:dyDescent="0.25">
      <c r="B2384" s="33">
        <v>1</v>
      </c>
      <c r="C2384" t="s">
        <v>77</v>
      </c>
      <c r="D2384" t="s">
        <v>192</v>
      </c>
      <c r="E2384">
        <v>16</v>
      </c>
      <c r="F2384" s="2">
        <v>1.643835616438356E-2</v>
      </c>
    </row>
    <row r="2385" spans="2:6" x14ac:dyDescent="0.25">
      <c r="B2385" s="33">
        <v>1</v>
      </c>
      <c r="C2385" t="s">
        <v>69</v>
      </c>
      <c r="D2385" t="s">
        <v>218</v>
      </c>
      <c r="E2385">
        <v>16</v>
      </c>
      <c r="F2385" s="2">
        <v>1.3698630136986301E-2</v>
      </c>
    </row>
    <row r="2386" spans="2:6" x14ac:dyDescent="0.25">
      <c r="B2386" s="33">
        <v>1</v>
      </c>
      <c r="C2386" t="s">
        <v>69</v>
      </c>
      <c r="D2386" t="s">
        <v>218</v>
      </c>
      <c r="E2386">
        <v>0</v>
      </c>
      <c r="F2386" s="2">
        <v>8.21917808219178E-3</v>
      </c>
    </row>
    <row r="2387" spans="2:6" x14ac:dyDescent="0.25">
      <c r="B2387" s="33">
        <v>1</v>
      </c>
      <c r="C2387" t="s">
        <v>64</v>
      </c>
      <c r="D2387" t="s">
        <v>65</v>
      </c>
      <c r="E2387">
        <v>4</v>
      </c>
      <c r="F2387" s="2">
        <v>1.3698630136986301E-2</v>
      </c>
    </row>
    <row r="2388" spans="2:6" x14ac:dyDescent="0.25">
      <c r="B2388" s="33">
        <v>1</v>
      </c>
      <c r="C2388" t="s">
        <v>6</v>
      </c>
      <c r="D2388" t="s">
        <v>25</v>
      </c>
      <c r="E2388">
        <v>22</v>
      </c>
      <c r="F2388" s="2">
        <v>1.643835616438356E-2</v>
      </c>
    </row>
    <row r="2389" spans="2:6" x14ac:dyDescent="0.25">
      <c r="B2389" s="33">
        <v>1</v>
      </c>
      <c r="C2389" t="s">
        <v>69</v>
      </c>
      <c r="D2389" t="s">
        <v>223</v>
      </c>
      <c r="E2389">
        <v>10</v>
      </c>
      <c r="F2389" s="2">
        <v>1.3698630136986301E-2</v>
      </c>
    </row>
    <row r="2390" spans="2:6" x14ac:dyDescent="0.25">
      <c r="B2390" s="33">
        <v>1</v>
      </c>
      <c r="C2390" t="s">
        <v>77</v>
      </c>
      <c r="D2390" t="s">
        <v>142</v>
      </c>
      <c r="E2390">
        <v>12</v>
      </c>
      <c r="F2390" s="2">
        <v>1.643835616438356E-2</v>
      </c>
    </row>
    <row r="2391" spans="2:6" x14ac:dyDescent="0.25">
      <c r="B2391" s="33">
        <v>1</v>
      </c>
      <c r="C2391" t="s">
        <v>74</v>
      </c>
      <c r="D2391" t="s">
        <v>221</v>
      </c>
      <c r="E2391">
        <v>12</v>
      </c>
      <c r="F2391" s="2">
        <v>2.7397260273972601E-2</v>
      </c>
    </row>
    <row r="2392" spans="2:6" x14ac:dyDescent="0.25">
      <c r="B2392" s="33">
        <v>1</v>
      </c>
      <c r="C2392" t="s">
        <v>69</v>
      </c>
      <c r="D2392" t="s">
        <v>223</v>
      </c>
      <c r="E2392">
        <v>14</v>
      </c>
      <c r="F2392" s="2">
        <v>1.3698630136986301E-2</v>
      </c>
    </row>
    <row r="2393" spans="2:6" x14ac:dyDescent="0.25">
      <c r="B2393" s="33">
        <v>1</v>
      </c>
      <c r="C2393" t="s">
        <v>69</v>
      </c>
      <c r="D2393" t="s">
        <v>154</v>
      </c>
      <c r="E2393">
        <v>21</v>
      </c>
      <c r="F2393" s="2">
        <v>1.3698630136986301E-2</v>
      </c>
    </row>
    <row r="2394" spans="2:6" x14ac:dyDescent="0.25">
      <c r="B2394" s="33">
        <v>1</v>
      </c>
      <c r="C2394" t="s">
        <v>69</v>
      </c>
      <c r="D2394" t="s">
        <v>132</v>
      </c>
      <c r="E2394">
        <v>23</v>
      </c>
      <c r="F2394" s="2">
        <v>1.3698630136986301E-2</v>
      </c>
    </row>
    <row r="2395" spans="2:6" x14ac:dyDescent="0.25">
      <c r="B2395" s="33">
        <v>1</v>
      </c>
      <c r="C2395" t="s">
        <v>69</v>
      </c>
      <c r="D2395" t="s">
        <v>124</v>
      </c>
      <c r="E2395">
        <v>17</v>
      </c>
      <c r="F2395" s="2">
        <v>1.3698630136986301E-2</v>
      </c>
    </row>
    <row r="2396" spans="2:6" x14ac:dyDescent="0.25">
      <c r="B2396" s="33">
        <v>1</v>
      </c>
      <c r="C2396" t="s">
        <v>3</v>
      </c>
      <c r="D2396" t="s">
        <v>100</v>
      </c>
      <c r="E2396">
        <v>16</v>
      </c>
      <c r="F2396" s="2">
        <v>1.643835616438356E-2</v>
      </c>
    </row>
    <row r="2397" spans="2:6" x14ac:dyDescent="0.25">
      <c r="B2397" s="33">
        <v>1</v>
      </c>
      <c r="C2397" t="s">
        <v>2</v>
      </c>
      <c r="D2397" t="s">
        <v>185</v>
      </c>
      <c r="E2397">
        <v>22</v>
      </c>
      <c r="F2397" s="2">
        <v>2.1917808219178082E-2</v>
      </c>
    </row>
    <row r="2398" spans="2:6" x14ac:dyDescent="0.25">
      <c r="B2398" s="33">
        <v>1</v>
      </c>
      <c r="C2398" t="s">
        <v>103</v>
      </c>
      <c r="D2398" t="s">
        <v>167</v>
      </c>
      <c r="E2398">
        <v>20</v>
      </c>
      <c r="F2398" s="2">
        <v>1.643835616438356E-2</v>
      </c>
    </row>
    <row r="2399" spans="2:6" x14ac:dyDescent="0.25">
      <c r="B2399" s="33">
        <v>1</v>
      </c>
      <c r="C2399" t="s">
        <v>66</v>
      </c>
      <c r="D2399" t="s">
        <v>135</v>
      </c>
      <c r="E2399">
        <v>20</v>
      </c>
      <c r="F2399" s="2">
        <v>2.4657534246575342E-2</v>
      </c>
    </row>
    <row r="2400" spans="2:6" x14ac:dyDescent="0.25">
      <c r="B2400" s="33">
        <v>1</v>
      </c>
      <c r="C2400" t="s">
        <v>72</v>
      </c>
      <c r="D2400" t="s">
        <v>149</v>
      </c>
      <c r="E2400">
        <v>1</v>
      </c>
      <c r="F2400" s="2">
        <v>1.3698630136986301E-2</v>
      </c>
    </row>
    <row r="2401" spans="2:6" x14ac:dyDescent="0.25">
      <c r="B2401" s="33">
        <v>1</v>
      </c>
      <c r="C2401" t="s">
        <v>74</v>
      </c>
      <c r="D2401" t="s">
        <v>130</v>
      </c>
      <c r="E2401">
        <v>3</v>
      </c>
      <c r="F2401" s="2">
        <v>2.7397260273972601E-2</v>
      </c>
    </row>
    <row r="2402" spans="2:6" x14ac:dyDescent="0.25">
      <c r="B2402" s="33">
        <v>1</v>
      </c>
      <c r="C2402" t="s">
        <v>66</v>
      </c>
      <c r="D2402" t="s">
        <v>168</v>
      </c>
      <c r="E2402">
        <v>1</v>
      </c>
      <c r="F2402" s="2">
        <v>1.3698630136986301E-2</v>
      </c>
    </row>
    <row r="2403" spans="2:6" x14ac:dyDescent="0.25">
      <c r="B2403" s="33">
        <v>1</v>
      </c>
      <c r="C2403" t="s">
        <v>66</v>
      </c>
      <c r="D2403" t="s">
        <v>182</v>
      </c>
      <c r="E2403">
        <v>6</v>
      </c>
      <c r="F2403" s="2">
        <v>1.0958904109589041E-2</v>
      </c>
    </row>
    <row r="2404" spans="2:6" x14ac:dyDescent="0.25">
      <c r="B2404" s="33">
        <v>1</v>
      </c>
      <c r="C2404" t="s">
        <v>126</v>
      </c>
      <c r="D2404" t="s">
        <v>147</v>
      </c>
      <c r="E2404">
        <v>9</v>
      </c>
      <c r="F2404" s="2">
        <v>3.287671232876712E-2</v>
      </c>
    </row>
    <row r="2405" spans="2:6" x14ac:dyDescent="0.25">
      <c r="B2405" s="33">
        <v>1</v>
      </c>
      <c r="C2405" t="s">
        <v>3</v>
      </c>
      <c r="D2405" t="s">
        <v>180</v>
      </c>
      <c r="E2405">
        <v>13</v>
      </c>
      <c r="F2405" s="2">
        <v>1.643835616438356E-2</v>
      </c>
    </row>
    <row r="2406" spans="2:6" x14ac:dyDescent="0.25">
      <c r="B2406" s="33">
        <v>1</v>
      </c>
      <c r="C2406" t="s">
        <v>3</v>
      </c>
      <c r="D2406" t="s">
        <v>208</v>
      </c>
      <c r="E2406">
        <v>12</v>
      </c>
      <c r="F2406" s="2">
        <v>1.643835616438356E-2</v>
      </c>
    </row>
    <row r="2407" spans="2:6" x14ac:dyDescent="0.25">
      <c r="B2407" s="33">
        <v>1</v>
      </c>
      <c r="C2407" t="s">
        <v>69</v>
      </c>
      <c r="D2407" t="s">
        <v>218</v>
      </c>
      <c r="E2407">
        <v>14</v>
      </c>
      <c r="F2407" s="2">
        <v>1.3698630136986301E-2</v>
      </c>
    </row>
    <row r="2408" spans="2:6" x14ac:dyDescent="0.25">
      <c r="B2408" s="33">
        <v>1</v>
      </c>
      <c r="C2408" t="s">
        <v>77</v>
      </c>
      <c r="D2408" t="s">
        <v>85</v>
      </c>
      <c r="E2408">
        <v>16</v>
      </c>
      <c r="F2408" s="2">
        <v>1.643835616438356E-2</v>
      </c>
    </row>
    <row r="2409" spans="2:6" x14ac:dyDescent="0.25">
      <c r="B2409" s="33">
        <v>1</v>
      </c>
      <c r="C2409" t="s">
        <v>3</v>
      </c>
      <c r="D2409" t="s">
        <v>195</v>
      </c>
      <c r="E2409">
        <v>23</v>
      </c>
      <c r="F2409" s="2">
        <v>1.3698630136986301E-2</v>
      </c>
    </row>
    <row r="2410" spans="2:6" x14ac:dyDescent="0.25">
      <c r="B2410" s="33">
        <v>1</v>
      </c>
      <c r="C2410" t="s">
        <v>1</v>
      </c>
      <c r="D2410" t="s">
        <v>200</v>
      </c>
      <c r="E2410">
        <v>21</v>
      </c>
      <c r="F2410" s="2">
        <v>1.3698630136986301E-2</v>
      </c>
    </row>
    <row r="2411" spans="2:6" x14ac:dyDescent="0.25">
      <c r="B2411" s="33">
        <v>1</v>
      </c>
      <c r="C2411" t="s">
        <v>64</v>
      </c>
      <c r="D2411" t="s">
        <v>71</v>
      </c>
      <c r="E2411">
        <v>23</v>
      </c>
      <c r="F2411" s="2">
        <v>4.6575342465753428E-2</v>
      </c>
    </row>
    <row r="2412" spans="2:6" x14ac:dyDescent="0.25">
      <c r="B2412" s="33">
        <v>1</v>
      </c>
      <c r="C2412" t="s">
        <v>88</v>
      </c>
      <c r="D2412" t="s">
        <v>160</v>
      </c>
      <c r="E2412">
        <v>4</v>
      </c>
      <c r="F2412" s="2">
        <v>1.643835616438356E-2</v>
      </c>
    </row>
    <row r="2413" spans="2:6" x14ac:dyDescent="0.25">
      <c r="B2413" s="33">
        <v>1</v>
      </c>
      <c r="C2413" t="s">
        <v>74</v>
      </c>
      <c r="D2413" t="s">
        <v>130</v>
      </c>
      <c r="E2413">
        <v>6</v>
      </c>
      <c r="F2413" s="2">
        <v>2.7397260273972601E-2</v>
      </c>
    </row>
    <row r="2414" spans="2:6" x14ac:dyDescent="0.25">
      <c r="B2414" s="33">
        <v>1</v>
      </c>
      <c r="C2414" t="s">
        <v>69</v>
      </c>
      <c r="D2414" t="s">
        <v>220</v>
      </c>
      <c r="E2414">
        <v>0</v>
      </c>
      <c r="F2414" s="2">
        <v>8.21917808219178E-3</v>
      </c>
    </row>
    <row r="2415" spans="2:6" x14ac:dyDescent="0.25">
      <c r="B2415" s="33">
        <v>1</v>
      </c>
      <c r="C2415" t="s">
        <v>72</v>
      </c>
      <c r="D2415" t="s">
        <v>81</v>
      </c>
      <c r="E2415">
        <v>4</v>
      </c>
      <c r="F2415" s="2">
        <v>1.3698630136986301E-2</v>
      </c>
    </row>
    <row r="2416" spans="2:6" x14ac:dyDescent="0.25">
      <c r="B2416" s="33">
        <v>1</v>
      </c>
      <c r="C2416" t="s">
        <v>3</v>
      </c>
      <c r="D2416" t="s">
        <v>195</v>
      </c>
      <c r="E2416">
        <v>14</v>
      </c>
      <c r="F2416" s="2">
        <v>1.643835616438356E-2</v>
      </c>
    </row>
    <row r="2417" spans="2:6" x14ac:dyDescent="0.25">
      <c r="B2417" s="33">
        <v>1</v>
      </c>
      <c r="C2417" t="s">
        <v>103</v>
      </c>
      <c r="D2417" t="s">
        <v>137</v>
      </c>
      <c r="E2417">
        <v>9</v>
      </c>
      <c r="F2417" s="2">
        <v>2.7397260273972601E-2</v>
      </c>
    </row>
    <row r="2418" spans="2:6" x14ac:dyDescent="0.25">
      <c r="B2418" s="33">
        <v>1</v>
      </c>
      <c r="C2418" t="s">
        <v>69</v>
      </c>
      <c r="D2418" t="s">
        <v>184</v>
      </c>
      <c r="E2418">
        <v>14</v>
      </c>
      <c r="F2418" s="2">
        <v>1.3698630136986301E-2</v>
      </c>
    </row>
    <row r="2419" spans="2:6" x14ac:dyDescent="0.25">
      <c r="B2419" s="33">
        <v>1</v>
      </c>
      <c r="C2419" t="s">
        <v>64</v>
      </c>
      <c r="D2419" t="s">
        <v>179</v>
      </c>
      <c r="E2419">
        <v>16</v>
      </c>
      <c r="F2419" s="2">
        <v>2.7397260273972601E-2</v>
      </c>
    </row>
    <row r="2420" spans="2:6" x14ac:dyDescent="0.25">
      <c r="B2420" s="33">
        <v>1</v>
      </c>
      <c r="C2420" t="s">
        <v>77</v>
      </c>
      <c r="D2420" t="s">
        <v>146</v>
      </c>
      <c r="E2420">
        <v>19</v>
      </c>
      <c r="F2420" s="2">
        <v>1.643835616438356E-2</v>
      </c>
    </row>
    <row r="2421" spans="2:6" x14ac:dyDescent="0.25">
      <c r="B2421" s="33">
        <v>1</v>
      </c>
      <c r="C2421" t="s">
        <v>3</v>
      </c>
      <c r="D2421" t="s">
        <v>229</v>
      </c>
      <c r="E2421">
        <v>19</v>
      </c>
      <c r="F2421" s="2">
        <v>1.3698630136986301E-2</v>
      </c>
    </row>
    <row r="2422" spans="2:6" x14ac:dyDescent="0.25">
      <c r="B2422" s="33">
        <v>1</v>
      </c>
      <c r="C2422" t="s">
        <v>66</v>
      </c>
      <c r="D2422" t="s">
        <v>168</v>
      </c>
      <c r="E2422">
        <v>23</v>
      </c>
      <c r="F2422" s="2">
        <v>2.1917808219178082E-2</v>
      </c>
    </row>
    <row r="2423" spans="2:6" x14ac:dyDescent="0.25">
      <c r="B2423" s="33">
        <v>1</v>
      </c>
      <c r="C2423" t="s">
        <v>3</v>
      </c>
      <c r="D2423" t="s">
        <v>138</v>
      </c>
      <c r="E2423">
        <v>22</v>
      </c>
      <c r="F2423" s="2">
        <v>1.3698630136986301E-2</v>
      </c>
    </row>
    <row r="2424" spans="2:6" x14ac:dyDescent="0.25">
      <c r="B2424" s="33">
        <v>1</v>
      </c>
      <c r="C2424" t="s">
        <v>64</v>
      </c>
      <c r="D2424" t="s">
        <v>65</v>
      </c>
      <c r="E2424">
        <v>23</v>
      </c>
      <c r="F2424" s="2">
        <v>2.7397260273972601E-2</v>
      </c>
    </row>
    <row r="2425" spans="2:6" x14ac:dyDescent="0.25">
      <c r="B2425" s="33">
        <v>1</v>
      </c>
      <c r="C2425" t="s">
        <v>3</v>
      </c>
      <c r="D2425" t="s">
        <v>191</v>
      </c>
      <c r="E2425">
        <v>2</v>
      </c>
      <c r="F2425" s="2">
        <v>1.0958904109589041E-2</v>
      </c>
    </row>
    <row r="2426" spans="2:6" x14ac:dyDescent="0.25">
      <c r="B2426" s="33">
        <v>1</v>
      </c>
      <c r="C2426" t="s">
        <v>66</v>
      </c>
      <c r="D2426" t="s">
        <v>107</v>
      </c>
      <c r="E2426">
        <v>3</v>
      </c>
      <c r="F2426" s="2">
        <v>1.0958904109589041E-2</v>
      </c>
    </row>
    <row r="2427" spans="2:6" x14ac:dyDescent="0.25">
      <c r="B2427" s="33">
        <v>1</v>
      </c>
      <c r="C2427" t="s">
        <v>6</v>
      </c>
      <c r="D2427" t="s">
        <v>43</v>
      </c>
      <c r="E2427">
        <v>12</v>
      </c>
      <c r="F2427" s="2">
        <v>1.643835616438356E-2</v>
      </c>
    </row>
    <row r="2428" spans="2:6" x14ac:dyDescent="0.25">
      <c r="B2428" s="33">
        <v>1</v>
      </c>
      <c r="C2428" t="s">
        <v>77</v>
      </c>
      <c r="D2428" t="s">
        <v>78</v>
      </c>
      <c r="E2428">
        <v>4</v>
      </c>
      <c r="F2428" s="2">
        <v>8.21917808219178E-3</v>
      </c>
    </row>
    <row r="2429" spans="2:6" x14ac:dyDescent="0.25">
      <c r="B2429" s="33">
        <v>1</v>
      </c>
      <c r="C2429" t="s">
        <v>2</v>
      </c>
      <c r="D2429" t="s">
        <v>198</v>
      </c>
      <c r="E2429">
        <v>3</v>
      </c>
      <c r="F2429" s="2">
        <v>8.21917808219178E-3</v>
      </c>
    </row>
    <row r="2430" spans="2:6" x14ac:dyDescent="0.25">
      <c r="B2430" s="33">
        <v>1</v>
      </c>
      <c r="C2430" t="s">
        <v>1</v>
      </c>
      <c r="D2430" t="s">
        <v>200</v>
      </c>
      <c r="E2430">
        <v>3</v>
      </c>
      <c r="F2430" s="2">
        <v>1.3698630136986301E-2</v>
      </c>
    </row>
    <row r="2431" spans="2:6" x14ac:dyDescent="0.25">
      <c r="B2431" s="33">
        <v>1</v>
      </c>
      <c r="C2431" t="s">
        <v>72</v>
      </c>
      <c r="D2431" t="s">
        <v>187</v>
      </c>
      <c r="E2431">
        <v>0</v>
      </c>
      <c r="F2431" s="2">
        <v>1.3698630136986301E-2</v>
      </c>
    </row>
    <row r="2432" spans="2:6" x14ac:dyDescent="0.25">
      <c r="B2432" s="33">
        <v>1</v>
      </c>
      <c r="C2432" t="s">
        <v>4</v>
      </c>
      <c r="D2432" t="s">
        <v>166</v>
      </c>
      <c r="E2432">
        <v>7</v>
      </c>
      <c r="F2432" s="2">
        <v>1.9178082191780823E-2</v>
      </c>
    </row>
    <row r="2433" spans="2:6" x14ac:dyDescent="0.25">
      <c r="B2433" s="33">
        <v>1</v>
      </c>
      <c r="C2433" t="s">
        <v>3</v>
      </c>
      <c r="D2433" t="s">
        <v>226</v>
      </c>
      <c r="E2433">
        <v>11</v>
      </c>
      <c r="F2433" s="2">
        <v>1.643835616438356E-2</v>
      </c>
    </row>
    <row r="2434" spans="2:6" x14ac:dyDescent="0.25">
      <c r="B2434" s="33">
        <v>1</v>
      </c>
      <c r="C2434" t="s">
        <v>2</v>
      </c>
      <c r="D2434" t="s">
        <v>172</v>
      </c>
      <c r="E2434">
        <v>13</v>
      </c>
      <c r="F2434" s="2">
        <v>1.643835616438356E-2</v>
      </c>
    </row>
    <row r="2435" spans="2:6" x14ac:dyDescent="0.25">
      <c r="B2435" s="33">
        <v>1</v>
      </c>
      <c r="C2435" t="s">
        <v>103</v>
      </c>
      <c r="D2435" t="s">
        <v>141</v>
      </c>
      <c r="E2435">
        <v>15</v>
      </c>
      <c r="F2435" s="2">
        <v>2.7397260273972601E-2</v>
      </c>
    </row>
    <row r="2436" spans="2:6" x14ac:dyDescent="0.25">
      <c r="B2436" s="33">
        <v>1</v>
      </c>
      <c r="C2436" t="s">
        <v>2</v>
      </c>
      <c r="D2436" t="s">
        <v>96</v>
      </c>
      <c r="E2436">
        <v>23</v>
      </c>
      <c r="F2436" s="2">
        <v>2.1917808219178082E-2</v>
      </c>
    </row>
    <row r="2437" spans="2:6" x14ac:dyDescent="0.25">
      <c r="B2437" s="33">
        <v>1</v>
      </c>
      <c r="C2437" t="s">
        <v>4</v>
      </c>
      <c r="D2437" t="s">
        <v>153</v>
      </c>
      <c r="E2437">
        <v>22</v>
      </c>
      <c r="F2437" s="2">
        <v>3.287671232876712E-2</v>
      </c>
    </row>
    <row r="2438" spans="2:6" x14ac:dyDescent="0.25">
      <c r="B2438" s="33">
        <v>1</v>
      </c>
      <c r="C2438" t="s">
        <v>3</v>
      </c>
      <c r="D2438" t="s">
        <v>226</v>
      </c>
      <c r="E2438">
        <v>17</v>
      </c>
      <c r="F2438" s="2">
        <v>1.3698630136986301E-2</v>
      </c>
    </row>
    <row r="2439" spans="2:6" x14ac:dyDescent="0.25">
      <c r="B2439" s="33">
        <v>1</v>
      </c>
      <c r="C2439" t="s">
        <v>74</v>
      </c>
      <c r="D2439" t="s">
        <v>221</v>
      </c>
      <c r="E2439">
        <v>16</v>
      </c>
      <c r="F2439" s="2">
        <v>1.9178082191780823E-2</v>
      </c>
    </row>
    <row r="2440" spans="2:6" x14ac:dyDescent="0.25">
      <c r="B2440" s="33">
        <v>1</v>
      </c>
      <c r="C2440" t="s">
        <v>4</v>
      </c>
      <c r="D2440" t="s">
        <v>166</v>
      </c>
      <c r="E2440">
        <v>17</v>
      </c>
      <c r="F2440" s="2">
        <v>3.0136986301369864E-2</v>
      </c>
    </row>
    <row r="2441" spans="2:6" x14ac:dyDescent="0.25">
      <c r="B2441" s="33">
        <v>1</v>
      </c>
      <c r="C2441" t="s">
        <v>2</v>
      </c>
      <c r="D2441" t="s">
        <v>198</v>
      </c>
      <c r="E2441">
        <v>22</v>
      </c>
      <c r="F2441" s="2">
        <v>1.9178082191780823E-2</v>
      </c>
    </row>
    <row r="2442" spans="2:6" x14ac:dyDescent="0.25">
      <c r="B2442" s="33">
        <v>1</v>
      </c>
      <c r="C2442" t="s">
        <v>77</v>
      </c>
      <c r="D2442" t="s">
        <v>101</v>
      </c>
      <c r="E2442">
        <v>6</v>
      </c>
      <c r="F2442" s="2">
        <v>8.21917808219178E-3</v>
      </c>
    </row>
    <row r="2443" spans="2:6" x14ac:dyDescent="0.25">
      <c r="B2443" s="33">
        <v>1</v>
      </c>
      <c r="C2443" t="s">
        <v>103</v>
      </c>
      <c r="D2443" t="s">
        <v>167</v>
      </c>
      <c r="E2443">
        <v>0</v>
      </c>
      <c r="F2443" s="2">
        <v>1.643835616438356E-2</v>
      </c>
    </row>
    <row r="2444" spans="2:6" x14ac:dyDescent="0.25">
      <c r="B2444" s="33">
        <v>1</v>
      </c>
      <c r="C2444" t="s">
        <v>66</v>
      </c>
      <c r="D2444" t="s">
        <v>211</v>
      </c>
      <c r="E2444">
        <v>7</v>
      </c>
      <c r="F2444" s="2">
        <v>1.0958904109589041E-2</v>
      </c>
    </row>
    <row r="2445" spans="2:6" x14ac:dyDescent="0.25">
      <c r="B2445" s="33">
        <v>1</v>
      </c>
      <c r="C2445" t="s">
        <v>77</v>
      </c>
      <c r="D2445" t="s">
        <v>204</v>
      </c>
      <c r="E2445">
        <v>7</v>
      </c>
      <c r="F2445" s="2">
        <v>8.21917808219178E-3</v>
      </c>
    </row>
    <row r="2446" spans="2:6" x14ac:dyDescent="0.25">
      <c r="B2446" s="33">
        <v>1</v>
      </c>
      <c r="C2446" t="s">
        <v>66</v>
      </c>
      <c r="D2446" t="s">
        <v>122</v>
      </c>
      <c r="E2446">
        <v>0</v>
      </c>
      <c r="F2446" s="2">
        <v>1.0958904109589041E-2</v>
      </c>
    </row>
    <row r="2447" spans="2:6" x14ac:dyDescent="0.25">
      <c r="B2447" s="33">
        <v>1</v>
      </c>
      <c r="C2447" t="s">
        <v>6</v>
      </c>
      <c r="D2447" t="s">
        <v>21</v>
      </c>
      <c r="E2447">
        <v>3</v>
      </c>
      <c r="F2447" s="2">
        <v>1.643835616438356E-2</v>
      </c>
    </row>
    <row r="2448" spans="2:6" x14ac:dyDescent="0.25">
      <c r="B2448" s="33">
        <v>1</v>
      </c>
      <c r="C2448" t="s">
        <v>6</v>
      </c>
      <c r="D2448" t="s">
        <v>34</v>
      </c>
      <c r="E2448">
        <v>1</v>
      </c>
      <c r="F2448" s="2">
        <v>1.643835616438356E-2</v>
      </c>
    </row>
    <row r="2449" spans="2:6" x14ac:dyDescent="0.25">
      <c r="B2449" s="33">
        <v>1</v>
      </c>
      <c r="C2449" t="s">
        <v>6</v>
      </c>
      <c r="D2449" t="s">
        <v>38</v>
      </c>
      <c r="E2449">
        <v>16</v>
      </c>
      <c r="F2449" s="2">
        <v>1.643835616438356E-2</v>
      </c>
    </row>
    <row r="2450" spans="2:6" x14ac:dyDescent="0.25">
      <c r="B2450" s="33">
        <v>1</v>
      </c>
      <c r="C2450" t="s">
        <v>4</v>
      </c>
      <c r="D2450" t="s">
        <v>178</v>
      </c>
      <c r="E2450">
        <v>11</v>
      </c>
      <c r="F2450" s="2">
        <v>3.287671232876712E-2</v>
      </c>
    </row>
    <row r="2451" spans="2:6" x14ac:dyDescent="0.25">
      <c r="B2451" s="33">
        <v>1</v>
      </c>
      <c r="C2451" t="s">
        <v>69</v>
      </c>
      <c r="D2451" t="s">
        <v>199</v>
      </c>
      <c r="E2451">
        <v>14</v>
      </c>
      <c r="F2451" s="2">
        <v>1.3698630136986301E-2</v>
      </c>
    </row>
    <row r="2452" spans="2:6" x14ac:dyDescent="0.25">
      <c r="B2452" s="33">
        <v>1</v>
      </c>
      <c r="C2452" t="s">
        <v>69</v>
      </c>
      <c r="D2452" t="s">
        <v>230</v>
      </c>
      <c r="E2452">
        <v>11</v>
      </c>
      <c r="F2452" s="2">
        <v>1.3698630136986301E-2</v>
      </c>
    </row>
    <row r="2453" spans="2:6" x14ac:dyDescent="0.25">
      <c r="B2453" s="33">
        <v>1</v>
      </c>
      <c r="C2453" t="s">
        <v>126</v>
      </c>
      <c r="D2453" t="s">
        <v>147</v>
      </c>
      <c r="E2453">
        <v>23</v>
      </c>
      <c r="F2453" s="2">
        <v>1.9178082191780823E-2</v>
      </c>
    </row>
    <row r="2454" spans="2:6" x14ac:dyDescent="0.25">
      <c r="B2454" s="33">
        <v>1</v>
      </c>
      <c r="C2454" t="s">
        <v>66</v>
      </c>
      <c r="D2454" t="s">
        <v>129</v>
      </c>
      <c r="E2454">
        <v>23</v>
      </c>
      <c r="F2454" s="2">
        <v>1.9178082191780823E-2</v>
      </c>
    </row>
    <row r="2455" spans="2:6" x14ac:dyDescent="0.25">
      <c r="B2455" s="33">
        <v>1</v>
      </c>
      <c r="C2455" t="s">
        <v>2</v>
      </c>
      <c r="D2455" t="s">
        <v>172</v>
      </c>
      <c r="E2455">
        <v>17</v>
      </c>
      <c r="F2455" s="2">
        <v>1.9178082191780823E-2</v>
      </c>
    </row>
    <row r="2456" spans="2:6" x14ac:dyDescent="0.25">
      <c r="B2456" s="33">
        <v>1</v>
      </c>
      <c r="C2456" t="s">
        <v>2</v>
      </c>
      <c r="D2456" t="s">
        <v>172</v>
      </c>
      <c r="E2456">
        <v>23</v>
      </c>
      <c r="F2456" s="2">
        <v>1.9178082191780823E-2</v>
      </c>
    </row>
    <row r="2457" spans="2:6" x14ac:dyDescent="0.25">
      <c r="B2457" s="33">
        <v>1</v>
      </c>
      <c r="C2457" t="s">
        <v>77</v>
      </c>
      <c r="D2457" t="s">
        <v>136</v>
      </c>
      <c r="E2457">
        <v>21</v>
      </c>
      <c r="F2457" s="2">
        <v>1.643835616438356E-2</v>
      </c>
    </row>
    <row r="2458" spans="2:6" x14ac:dyDescent="0.25">
      <c r="B2458" s="33">
        <v>1</v>
      </c>
      <c r="C2458" t="s">
        <v>69</v>
      </c>
      <c r="D2458" t="s">
        <v>190</v>
      </c>
      <c r="E2458">
        <v>17</v>
      </c>
      <c r="F2458" s="2">
        <v>1.3698630136986301E-2</v>
      </c>
    </row>
    <row r="2459" spans="2:6" x14ac:dyDescent="0.25">
      <c r="B2459" s="33">
        <v>1</v>
      </c>
      <c r="C2459" t="s">
        <v>103</v>
      </c>
      <c r="D2459" t="s">
        <v>194</v>
      </c>
      <c r="E2459">
        <v>17</v>
      </c>
      <c r="F2459" s="2">
        <v>1.3698630136986301E-2</v>
      </c>
    </row>
    <row r="2460" spans="2:6" x14ac:dyDescent="0.25">
      <c r="B2460" s="33">
        <v>1</v>
      </c>
      <c r="C2460" t="s">
        <v>77</v>
      </c>
      <c r="D2460" t="s">
        <v>146</v>
      </c>
      <c r="E2460">
        <v>17</v>
      </c>
      <c r="F2460" s="2">
        <v>1.3698630136986301E-2</v>
      </c>
    </row>
    <row r="2461" spans="2:6" x14ac:dyDescent="0.25">
      <c r="B2461" s="33">
        <v>1</v>
      </c>
      <c r="C2461" t="s">
        <v>72</v>
      </c>
      <c r="D2461" t="s">
        <v>81</v>
      </c>
      <c r="E2461">
        <v>3</v>
      </c>
      <c r="F2461" s="2">
        <v>1.3698630136986301E-2</v>
      </c>
    </row>
    <row r="2462" spans="2:6" x14ac:dyDescent="0.25">
      <c r="B2462" s="33">
        <v>1</v>
      </c>
      <c r="C2462" t="s">
        <v>6</v>
      </c>
      <c r="D2462" t="s">
        <v>38</v>
      </c>
      <c r="E2462">
        <v>14</v>
      </c>
      <c r="F2462" s="2">
        <v>1.3698630136986301E-2</v>
      </c>
    </row>
    <row r="2463" spans="2:6" x14ac:dyDescent="0.25">
      <c r="B2463" s="33">
        <v>1</v>
      </c>
      <c r="C2463" t="s">
        <v>0</v>
      </c>
      <c r="D2463" t="s">
        <v>133</v>
      </c>
      <c r="E2463">
        <v>6</v>
      </c>
      <c r="F2463" s="2">
        <v>2.1917808219178082E-2</v>
      </c>
    </row>
    <row r="2464" spans="2:6" x14ac:dyDescent="0.25">
      <c r="B2464" s="33">
        <v>1</v>
      </c>
      <c r="C2464" t="s">
        <v>74</v>
      </c>
      <c r="D2464" t="s">
        <v>105</v>
      </c>
      <c r="E2464">
        <v>6</v>
      </c>
      <c r="F2464" s="2">
        <v>2.7397260273972601E-2</v>
      </c>
    </row>
    <row r="2465" spans="2:6" x14ac:dyDescent="0.25">
      <c r="B2465" s="33">
        <v>1</v>
      </c>
      <c r="C2465" t="s">
        <v>2</v>
      </c>
      <c r="D2465" t="s">
        <v>96</v>
      </c>
      <c r="E2465">
        <v>7</v>
      </c>
      <c r="F2465" s="2">
        <v>1.9178082191780823E-2</v>
      </c>
    </row>
    <row r="2466" spans="2:6" x14ac:dyDescent="0.25">
      <c r="B2466" s="33">
        <v>1</v>
      </c>
      <c r="C2466" t="s">
        <v>0</v>
      </c>
      <c r="D2466" t="s">
        <v>95</v>
      </c>
      <c r="E2466">
        <v>3</v>
      </c>
      <c r="F2466" s="2">
        <v>2.1917808219178082E-2</v>
      </c>
    </row>
    <row r="2467" spans="2:6" x14ac:dyDescent="0.25">
      <c r="B2467" s="33">
        <v>1</v>
      </c>
      <c r="C2467" t="s">
        <v>3</v>
      </c>
      <c r="D2467" t="s">
        <v>207</v>
      </c>
      <c r="E2467">
        <v>12</v>
      </c>
      <c r="F2467" s="2">
        <v>1.643835616438356E-2</v>
      </c>
    </row>
    <row r="2468" spans="2:6" x14ac:dyDescent="0.25">
      <c r="B2468" s="33">
        <v>1</v>
      </c>
      <c r="C2468" t="s">
        <v>69</v>
      </c>
      <c r="D2468" t="s">
        <v>231</v>
      </c>
      <c r="E2468">
        <v>8</v>
      </c>
      <c r="F2468" s="2">
        <v>1.3698630136986301E-2</v>
      </c>
    </row>
    <row r="2469" spans="2:6" x14ac:dyDescent="0.25">
      <c r="B2469" s="33">
        <v>1</v>
      </c>
      <c r="C2469" t="s">
        <v>103</v>
      </c>
      <c r="D2469" t="s">
        <v>139</v>
      </c>
      <c r="E2469">
        <v>20</v>
      </c>
      <c r="F2469" s="2">
        <v>1.3698630136986301E-2</v>
      </c>
    </row>
    <row r="2470" spans="2:6" x14ac:dyDescent="0.25">
      <c r="B2470" s="33">
        <v>1</v>
      </c>
      <c r="C2470" t="s">
        <v>64</v>
      </c>
      <c r="D2470" t="s">
        <v>213</v>
      </c>
      <c r="E2470">
        <v>19</v>
      </c>
      <c r="F2470" s="2">
        <v>8.21917808219178E-3</v>
      </c>
    </row>
    <row r="2471" spans="2:6" x14ac:dyDescent="0.25">
      <c r="B2471" s="33">
        <v>1</v>
      </c>
      <c r="C2471" t="s">
        <v>6</v>
      </c>
      <c r="D2471" t="s">
        <v>44</v>
      </c>
      <c r="E2471">
        <v>17</v>
      </c>
      <c r="F2471" s="2">
        <v>1.3698630136986301E-2</v>
      </c>
    </row>
    <row r="2472" spans="2:6" x14ac:dyDescent="0.25">
      <c r="B2472" s="33">
        <v>1</v>
      </c>
      <c r="C2472" t="s">
        <v>77</v>
      </c>
      <c r="D2472" t="s">
        <v>101</v>
      </c>
      <c r="E2472">
        <v>22</v>
      </c>
      <c r="F2472" s="2">
        <v>1.3698630136986301E-2</v>
      </c>
    </row>
    <row r="2473" spans="2:6" x14ac:dyDescent="0.25">
      <c r="B2473" s="33">
        <v>1</v>
      </c>
      <c r="C2473" t="s">
        <v>77</v>
      </c>
      <c r="D2473" t="s">
        <v>142</v>
      </c>
      <c r="E2473">
        <v>7</v>
      </c>
      <c r="F2473" s="2">
        <v>8.21917808219178E-3</v>
      </c>
    </row>
    <row r="2474" spans="2:6" x14ac:dyDescent="0.25">
      <c r="B2474" s="33">
        <v>1</v>
      </c>
      <c r="C2474" t="s">
        <v>69</v>
      </c>
      <c r="D2474" t="s">
        <v>181</v>
      </c>
      <c r="E2474">
        <v>6</v>
      </c>
      <c r="F2474" s="2">
        <v>8.21917808219178E-3</v>
      </c>
    </row>
    <row r="2475" spans="2:6" x14ac:dyDescent="0.25">
      <c r="B2475" s="33">
        <v>1</v>
      </c>
      <c r="C2475" t="s">
        <v>77</v>
      </c>
      <c r="D2475" t="s">
        <v>193</v>
      </c>
      <c r="E2475">
        <v>1</v>
      </c>
      <c r="F2475" s="2">
        <v>8.21917808219178E-3</v>
      </c>
    </row>
    <row r="2476" spans="2:6" x14ac:dyDescent="0.25">
      <c r="B2476" s="33">
        <v>1</v>
      </c>
      <c r="C2476" t="s">
        <v>88</v>
      </c>
      <c r="D2476" t="s">
        <v>134</v>
      </c>
      <c r="E2476">
        <v>2</v>
      </c>
      <c r="F2476" s="2">
        <v>1.643835616438356E-2</v>
      </c>
    </row>
    <row r="2477" spans="2:6" x14ac:dyDescent="0.25">
      <c r="B2477" s="33">
        <v>1</v>
      </c>
      <c r="C2477" t="s">
        <v>77</v>
      </c>
      <c r="D2477" t="s">
        <v>136</v>
      </c>
      <c r="E2477">
        <v>13</v>
      </c>
      <c r="F2477" s="2">
        <v>1.643835616438356E-2</v>
      </c>
    </row>
    <row r="2478" spans="2:6" x14ac:dyDescent="0.25">
      <c r="B2478" s="33">
        <v>1</v>
      </c>
      <c r="C2478" t="s">
        <v>64</v>
      </c>
      <c r="D2478" t="s">
        <v>165</v>
      </c>
      <c r="E2478">
        <v>13</v>
      </c>
      <c r="F2478" s="2">
        <v>1.643835616438356E-2</v>
      </c>
    </row>
    <row r="2479" spans="2:6" x14ac:dyDescent="0.25">
      <c r="B2479" s="33">
        <v>1</v>
      </c>
      <c r="C2479" t="s">
        <v>126</v>
      </c>
      <c r="D2479" t="s">
        <v>169</v>
      </c>
      <c r="E2479">
        <v>14</v>
      </c>
      <c r="F2479" s="2">
        <v>1.643835616438356E-2</v>
      </c>
    </row>
    <row r="2480" spans="2:6" x14ac:dyDescent="0.25">
      <c r="B2480" s="33">
        <v>1</v>
      </c>
      <c r="C2480" t="s">
        <v>103</v>
      </c>
      <c r="D2480" t="s">
        <v>45</v>
      </c>
      <c r="E2480">
        <v>8</v>
      </c>
      <c r="F2480" s="2">
        <v>2.7397260273972601E-2</v>
      </c>
    </row>
    <row r="2481" spans="2:6" x14ac:dyDescent="0.25">
      <c r="B2481" s="33">
        <v>1</v>
      </c>
      <c r="C2481" t="s">
        <v>69</v>
      </c>
      <c r="D2481" t="s">
        <v>159</v>
      </c>
      <c r="E2481">
        <v>23</v>
      </c>
      <c r="F2481" s="2">
        <v>1.0958904109589041E-2</v>
      </c>
    </row>
    <row r="2482" spans="2:6" x14ac:dyDescent="0.25">
      <c r="B2482" s="33">
        <v>1</v>
      </c>
      <c r="C2482" t="s">
        <v>4</v>
      </c>
      <c r="D2482" t="s">
        <v>178</v>
      </c>
      <c r="E2482">
        <v>16</v>
      </c>
      <c r="F2482" s="2">
        <v>3.0136986301369864E-2</v>
      </c>
    </row>
    <row r="2483" spans="2:6" x14ac:dyDescent="0.25">
      <c r="B2483" s="33">
        <v>1</v>
      </c>
      <c r="C2483" t="s">
        <v>126</v>
      </c>
      <c r="D2483" t="s">
        <v>147</v>
      </c>
      <c r="E2483">
        <v>16</v>
      </c>
      <c r="F2483" s="2">
        <v>1.643835616438356E-2</v>
      </c>
    </row>
    <row r="2484" spans="2:6" x14ac:dyDescent="0.25">
      <c r="B2484" s="33">
        <v>1</v>
      </c>
      <c r="C2484" t="s">
        <v>69</v>
      </c>
      <c r="D2484" t="s">
        <v>199</v>
      </c>
      <c r="E2484">
        <v>17</v>
      </c>
      <c r="F2484" s="2">
        <v>1.0958904109589041E-2</v>
      </c>
    </row>
    <row r="2485" spans="2:6" x14ac:dyDescent="0.25">
      <c r="B2485" s="33">
        <v>1</v>
      </c>
      <c r="C2485" t="s">
        <v>69</v>
      </c>
      <c r="D2485" t="s">
        <v>220</v>
      </c>
      <c r="E2485">
        <v>19</v>
      </c>
      <c r="F2485" s="2">
        <v>1.0958904109589041E-2</v>
      </c>
    </row>
    <row r="2486" spans="2:6" x14ac:dyDescent="0.25">
      <c r="B2486" s="33">
        <v>1</v>
      </c>
      <c r="C2486" t="s">
        <v>3</v>
      </c>
      <c r="D2486" t="s">
        <v>157</v>
      </c>
      <c r="E2486">
        <v>23</v>
      </c>
      <c r="F2486" s="2">
        <v>1.3698630136986301E-2</v>
      </c>
    </row>
    <row r="2487" spans="2:6" x14ac:dyDescent="0.25">
      <c r="B2487" s="33">
        <v>1</v>
      </c>
      <c r="C2487" t="s">
        <v>66</v>
      </c>
      <c r="D2487" t="s">
        <v>182</v>
      </c>
      <c r="E2487">
        <v>22</v>
      </c>
      <c r="F2487" s="2">
        <v>1.9178082191780823E-2</v>
      </c>
    </row>
    <row r="2488" spans="2:6" x14ac:dyDescent="0.25">
      <c r="B2488" s="33">
        <v>1</v>
      </c>
      <c r="C2488" t="s">
        <v>66</v>
      </c>
      <c r="D2488" t="s">
        <v>212</v>
      </c>
      <c r="E2488">
        <v>19</v>
      </c>
      <c r="F2488" s="2">
        <v>1.643835616438356E-2</v>
      </c>
    </row>
    <row r="2489" spans="2:6" x14ac:dyDescent="0.25">
      <c r="B2489" s="33">
        <v>1</v>
      </c>
      <c r="C2489" t="s">
        <v>1</v>
      </c>
      <c r="D2489" t="s">
        <v>217</v>
      </c>
      <c r="E2489">
        <v>23</v>
      </c>
      <c r="F2489" s="2">
        <v>1.0958904109589041E-2</v>
      </c>
    </row>
    <row r="2490" spans="2:6" x14ac:dyDescent="0.25">
      <c r="B2490" s="33">
        <v>1</v>
      </c>
      <c r="C2490" t="s">
        <v>3</v>
      </c>
      <c r="D2490" t="s">
        <v>191</v>
      </c>
      <c r="E2490">
        <v>22</v>
      </c>
      <c r="F2490" s="2">
        <v>1.3698630136986301E-2</v>
      </c>
    </row>
    <row r="2491" spans="2:6" x14ac:dyDescent="0.25">
      <c r="B2491" s="33">
        <v>1</v>
      </c>
      <c r="C2491" t="s">
        <v>0</v>
      </c>
      <c r="D2491" t="s">
        <v>111</v>
      </c>
      <c r="E2491">
        <v>3</v>
      </c>
      <c r="F2491" s="2">
        <v>2.1917808219178082E-2</v>
      </c>
    </row>
    <row r="2492" spans="2:6" x14ac:dyDescent="0.25">
      <c r="B2492" s="33">
        <v>1</v>
      </c>
      <c r="C2492" t="s">
        <v>69</v>
      </c>
      <c r="D2492" t="s">
        <v>132</v>
      </c>
      <c r="E2492">
        <v>5</v>
      </c>
      <c r="F2492" s="2">
        <v>8.21917808219178E-3</v>
      </c>
    </row>
    <row r="2493" spans="2:6" x14ac:dyDescent="0.25">
      <c r="B2493" s="33">
        <v>1</v>
      </c>
      <c r="C2493" t="s">
        <v>72</v>
      </c>
      <c r="D2493" t="s">
        <v>187</v>
      </c>
      <c r="E2493">
        <v>6</v>
      </c>
      <c r="F2493" s="2">
        <v>1.3698630136986301E-2</v>
      </c>
    </row>
    <row r="2494" spans="2:6" x14ac:dyDescent="0.25">
      <c r="B2494" s="33">
        <v>1</v>
      </c>
      <c r="C2494" t="s">
        <v>64</v>
      </c>
      <c r="D2494" t="s">
        <v>116</v>
      </c>
      <c r="E2494">
        <v>5</v>
      </c>
      <c r="F2494" s="2">
        <v>1.3698630136986301E-2</v>
      </c>
    </row>
    <row r="2495" spans="2:6" x14ac:dyDescent="0.25">
      <c r="B2495" s="33">
        <v>1</v>
      </c>
      <c r="C2495" t="s">
        <v>72</v>
      </c>
      <c r="D2495" t="s">
        <v>76</v>
      </c>
      <c r="E2495">
        <v>3</v>
      </c>
      <c r="F2495" s="2">
        <v>1.0958904109589041E-2</v>
      </c>
    </row>
    <row r="2496" spans="2:6" x14ac:dyDescent="0.25">
      <c r="B2496" s="33">
        <v>1</v>
      </c>
      <c r="C2496" t="s">
        <v>69</v>
      </c>
      <c r="D2496" t="s">
        <v>148</v>
      </c>
      <c r="E2496">
        <v>5</v>
      </c>
      <c r="F2496" s="2">
        <v>8.21917808219178E-3</v>
      </c>
    </row>
    <row r="2497" spans="2:6" x14ac:dyDescent="0.25">
      <c r="B2497" s="33">
        <v>1</v>
      </c>
      <c r="C2497" t="s">
        <v>4</v>
      </c>
      <c r="D2497" t="s">
        <v>178</v>
      </c>
      <c r="E2497">
        <v>13</v>
      </c>
      <c r="F2497" s="2">
        <v>3.0136986301369864E-2</v>
      </c>
    </row>
    <row r="2498" spans="2:6" x14ac:dyDescent="0.25">
      <c r="B2498" s="33">
        <v>1</v>
      </c>
      <c r="C2498" t="s">
        <v>126</v>
      </c>
      <c r="D2498" t="s">
        <v>147</v>
      </c>
      <c r="E2498">
        <v>12</v>
      </c>
      <c r="F2498" s="2">
        <v>3.8356164383561646E-2</v>
      </c>
    </row>
    <row r="2499" spans="2:6" x14ac:dyDescent="0.25">
      <c r="B2499" s="33">
        <v>1</v>
      </c>
      <c r="C2499" t="s">
        <v>77</v>
      </c>
      <c r="D2499" t="s">
        <v>193</v>
      </c>
      <c r="E2499">
        <v>9</v>
      </c>
      <c r="F2499" s="2">
        <v>1.643835616438356E-2</v>
      </c>
    </row>
    <row r="2500" spans="2:6" x14ac:dyDescent="0.25">
      <c r="B2500" s="33">
        <v>1</v>
      </c>
      <c r="C2500" t="s">
        <v>72</v>
      </c>
      <c r="D2500" t="s">
        <v>209</v>
      </c>
      <c r="E2500">
        <v>8</v>
      </c>
      <c r="F2500" s="2">
        <v>2.4657534246575342E-2</v>
      </c>
    </row>
    <row r="2501" spans="2:6" x14ac:dyDescent="0.25">
      <c r="B2501" s="33">
        <v>1</v>
      </c>
      <c r="C2501" t="s">
        <v>64</v>
      </c>
      <c r="D2501" t="s">
        <v>213</v>
      </c>
      <c r="E2501">
        <v>15</v>
      </c>
      <c r="F2501" s="2">
        <v>1.3698630136986301E-2</v>
      </c>
    </row>
    <row r="2502" spans="2:6" x14ac:dyDescent="0.25">
      <c r="B2502" s="33">
        <v>1</v>
      </c>
      <c r="C2502" t="s">
        <v>3</v>
      </c>
      <c r="D2502" t="s">
        <v>191</v>
      </c>
      <c r="E2502">
        <v>9</v>
      </c>
      <c r="F2502" s="2">
        <v>1.643835616438356E-2</v>
      </c>
    </row>
    <row r="2503" spans="2:6" x14ac:dyDescent="0.25">
      <c r="B2503" s="33">
        <v>1</v>
      </c>
      <c r="C2503" t="s">
        <v>77</v>
      </c>
      <c r="D2503" t="s">
        <v>145</v>
      </c>
      <c r="E2503">
        <v>20</v>
      </c>
      <c r="F2503" s="2">
        <v>1.3698630136986301E-2</v>
      </c>
    </row>
    <row r="2504" spans="2:6" x14ac:dyDescent="0.25">
      <c r="B2504" s="33">
        <v>1</v>
      </c>
      <c r="C2504" t="s">
        <v>77</v>
      </c>
      <c r="D2504" t="s">
        <v>162</v>
      </c>
      <c r="E2504">
        <v>16</v>
      </c>
      <c r="F2504" s="2">
        <v>1.3698630136986301E-2</v>
      </c>
    </row>
    <row r="2505" spans="2:6" x14ac:dyDescent="0.25">
      <c r="B2505" s="33">
        <v>1</v>
      </c>
      <c r="C2505" t="s">
        <v>64</v>
      </c>
      <c r="D2505" t="s">
        <v>222</v>
      </c>
      <c r="E2505">
        <v>20</v>
      </c>
      <c r="F2505" s="2">
        <v>5.4794520547945206E-3</v>
      </c>
    </row>
    <row r="2506" spans="2:6" x14ac:dyDescent="0.25">
      <c r="B2506" s="33">
        <v>1</v>
      </c>
      <c r="C2506" t="s">
        <v>64</v>
      </c>
      <c r="D2506" t="s">
        <v>116</v>
      </c>
      <c r="E2506">
        <v>21</v>
      </c>
      <c r="F2506" s="2">
        <v>5.7534246575342465E-2</v>
      </c>
    </row>
    <row r="2507" spans="2:6" x14ac:dyDescent="0.25">
      <c r="B2507" s="33">
        <v>1</v>
      </c>
      <c r="C2507" t="s">
        <v>103</v>
      </c>
      <c r="D2507" t="s">
        <v>139</v>
      </c>
      <c r="E2507">
        <v>23</v>
      </c>
      <c r="F2507" s="2">
        <v>1.3698630136986301E-2</v>
      </c>
    </row>
    <row r="2508" spans="2:6" x14ac:dyDescent="0.25">
      <c r="B2508" s="33">
        <v>1</v>
      </c>
      <c r="C2508" t="s">
        <v>1</v>
      </c>
      <c r="D2508" t="s">
        <v>112</v>
      </c>
      <c r="E2508">
        <v>2</v>
      </c>
      <c r="F2508" s="2">
        <v>1.3698630136986301E-2</v>
      </c>
    </row>
    <row r="2509" spans="2:6" x14ac:dyDescent="0.25">
      <c r="B2509" s="33">
        <v>1</v>
      </c>
      <c r="C2509" t="s">
        <v>77</v>
      </c>
      <c r="D2509" t="s">
        <v>101</v>
      </c>
      <c r="E2509">
        <v>0</v>
      </c>
      <c r="F2509" s="2">
        <v>8.21917808219178E-3</v>
      </c>
    </row>
    <row r="2510" spans="2:6" x14ac:dyDescent="0.25">
      <c r="B2510" s="33">
        <v>1</v>
      </c>
      <c r="C2510" t="s">
        <v>3</v>
      </c>
      <c r="D2510" t="s">
        <v>84</v>
      </c>
      <c r="E2510">
        <v>4</v>
      </c>
      <c r="F2510" s="2">
        <v>1.0958904109589041E-2</v>
      </c>
    </row>
    <row r="2511" spans="2:6" x14ac:dyDescent="0.25">
      <c r="B2511" s="33">
        <v>1</v>
      </c>
      <c r="C2511" t="s">
        <v>2</v>
      </c>
      <c r="D2511" t="s">
        <v>185</v>
      </c>
      <c r="E2511">
        <v>7</v>
      </c>
      <c r="F2511" s="2">
        <v>1.0958904109589041E-2</v>
      </c>
    </row>
    <row r="2512" spans="2:6" x14ac:dyDescent="0.25">
      <c r="B2512" s="33">
        <v>1</v>
      </c>
      <c r="C2512" t="s">
        <v>3</v>
      </c>
      <c r="D2512" t="s">
        <v>191</v>
      </c>
      <c r="E2512">
        <v>10</v>
      </c>
      <c r="F2512" s="2">
        <v>1.643835616438356E-2</v>
      </c>
    </row>
    <row r="2513" spans="2:6" x14ac:dyDescent="0.25">
      <c r="B2513" s="33">
        <v>1</v>
      </c>
      <c r="C2513" t="s">
        <v>3</v>
      </c>
      <c r="D2513" t="s">
        <v>161</v>
      </c>
      <c r="E2513">
        <v>10</v>
      </c>
      <c r="F2513" s="2">
        <v>1.643835616438356E-2</v>
      </c>
    </row>
    <row r="2514" spans="2:6" x14ac:dyDescent="0.25">
      <c r="B2514" s="33">
        <v>1</v>
      </c>
      <c r="C2514" t="s">
        <v>69</v>
      </c>
      <c r="D2514" t="s">
        <v>215</v>
      </c>
      <c r="E2514">
        <v>11</v>
      </c>
      <c r="F2514" s="2">
        <v>1.0958904109589041E-2</v>
      </c>
    </row>
    <row r="2515" spans="2:6" x14ac:dyDescent="0.25">
      <c r="B2515" s="33">
        <v>1</v>
      </c>
      <c r="C2515" t="s">
        <v>3</v>
      </c>
      <c r="D2515" t="s">
        <v>157</v>
      </c>
      <c r="E2515">
        <v>9</v>
      </c>
      <c r="F2515" s="2">
        <v>1.643835616438356E-2</v>
      </c>
    </row>
    <row r="2516" spans="2:6" x14ac:dyDescent="0.25">
      <c r="B2516" s="33">
        <v>1</v>
      </c>
      <c r="C2516" t="s">
        <v>4</v>
      </c>
      <c r="D2516" t="s">
        <v>166</v>
      </c>
      <c r="E2516">
        <v>14</v>
      </c>
      <c r="F2516" s="2">
        <v>2.7397260273972601E-2</v>
      </c>
    </row>
    <row r="2517" spans="2:6" x14ac:dyDescent="0.25">
      <c r="B2517" s="33">
        <v>1</v>
      </c>
      <c r="C2517" t="s">
        <v>88</v>
      </c>
      <c r="D2517" t="s">
        <v>201</v>
      </c>
      <c r="E2517">
        <v>9</v>
      </c>
      <c r="F2517" s="2">
        <v>1.9178082191780823E-2</v>
      </c>
    </row>
    <row r="2518" spans="2:6" x14ac:dyDescent="0.25">
      <c r="B2518" s="33">
        <v>1</v>
      </c>
      <c r="C2518" t="s">
        <v>69</v>
      </c>
      <c r="D2518" t="s">
        <v>223</v>
      </c>
      <c r="E2518">
        <v>13</v>
      </c>
      <c r="F2518" s="2">
        <v>1.0958904109589041E-2</v>
      </c>
    </row>
    <row r="2519" spans="2:6" x14ac:dyDescent="0.25">
      <c r="B2519" s="33">
        <v>1</v>
      </c>
      <c r="C2519" t="s">
        <v>69</v>
      </c>
      <c r="D2519" t="s">
        <v>140</v>
      </c>
      <c r="E2519">
        <v>10</v>
      </c>
      <c r="F2519" s="2">
        <v>1.0958904109589041E-2</v>
      </c>
    </row>
    <row r="2520" spans="2:6" x14ac:dyDescent="0.25">
      <c r="B2520" s="33">
        <v>1</v>
      </c>
      <c r="C2520" t="s">
        <v>77</v>
      </c>
      <c r="D2520" t="s">
        <v>87</v>
      </c>
      <c r="E2520">
        <v>21</v>
      </c>
      <c r="F2520" s="2">
        <v>1.3698630136986301E-2</v>
      </c>
    </row>
    <row r="2521" spans="2:6" x14ac:dyDescent="0.25">
      <c r="B2521" s="33">
        <v>1</v>
      </c>
      <c r="C2521" t="s">
        <v>2</v>
      </c>
      <c r="D2521" t="s">
        <v>118</v>
      </c>
      <c r="E2521">
        <v>22</v>
      </c>
      <c r="F2521" s="2">
        <v>1.643835616438356E-2</v>
      </c>
    </row>
    <row r="2522" spans="2:6" x14ac:dyDescent="0.25">
      <c r="B2522" s="33">
        <v>1</v>
      </c>
      <c r="C2522" t="s">
        <v>2</v>
      </c>
      <c r="D2522" t="s">
        <v>232</v>
      </c>
      <c r="E2522">
        <v>17</v>
      </c>
      <c r="F2522" s="2">
        <v>1.643835616438356E-2</v>
      </c>
    </row>
    <row r="2523" spans="2:6" x14ac:dyDescent="0.25">
      <c r="B2523" s="33">
        <v>1</v>
      </c>
      <c r="C2523" t="s">
        <v>69</v>
      </c>
      <c r="D2523" t="s">
        <v>124</v>
      </c>
      <c r="E2523">
        <v>18</v>
      </c>
      <c r="F2523" s="2">
        <v>1.0958904109589041E-2</v>
      </c>
    </row>
    <row r="2524" spans="2:6" x14ac:dyDescent="0.25">
      <c r="B2524" s="33">
        <v>1</v>
      </c>
      <c r="C2524" t="s">
        <v>69</v>
      </c>
      <c r="D2524" t="s">
        <v>215</v>
      </c>
      <c r="E2524">
        <v>16</v>
      </c>
      <c r="F2524" s="2">
        <v>1.0958904109589041E-2</v>
      </c>
    </row>
    <row r="2525" spans="2:6" x14ac:dyDescent="0.25">
      <c r="B2525" s="33">
        <v>1</v>
      </c>
      <c r="C2525" t="s">
        <v>74</v>
      </c>
      <c r="D2525" t="s">
        <v>221</v>
      </c>
      <c r="E2525">
        <v>18</v>
      </c>
      <c r="F2525" s="2">
        <v>1.643835616438356E-2</v>
      </c>
    </row>
    <row r="2526" spans="2:6" x14ac:dyDescent="0.25">
      <c r="B2526" s="33">
        <v>1</v>
      </c>
      <c r="C2526" t="s">
        <v>2</v>
      </c>
      <c r="D2526" t="s">
        <v>96</v>
      </c>
      <c r="E2526">
        <v>0</v>
      </c>
      <c r="F2526" s="2">
        <v>1.3698630136986301E-2</v>
      </c>
    </row>
    <row r="2527" spans="2:6" x14ac:dyDescent="0.25">
      <c r="B2527" s="33">
        <v>1</v>
      </c>
      <c r="C2527" t="s">
        <v>1</v>
      </c>
      <c r="D2527" t="s">
        <v>110</v>
      </c>
      <c r="E2527">
        <v>1</v>
      </c>
      <c r="F2527" s="2">
        <v>1.3698630136986301E-2</v>
      </c>
    </row>
    <row r="2528" spans="2:6" x14ac:dyDescent="0.25">
      <c r="B2528" s="33">
        <v>1</v>
      </c>
      <c r="C2528" t="s">
        <v>3</v>
      </c>
      <c r="D2528" t="s">
        <v>207</v>
      </c>
      <c r="E2528">
        <v>1</v>
      </c>
      <c r="F2528" s="2">
        <v>8.21917808219178E-3</v>
      </c>
    </row>
    <row r="2529" spans="2:6" x14ac:dyDescent="0.25">
      <c r="B2529" s="33">
        <v>1</v>
      </c>
      <c r="C2529" t="s">
        <v>77</v>
      </c>
      <c r="D2529" t="s">
        <v>192</v>
      </c>
      <c r="E2529">
        <v>15</v>
      </c>
      <c r="F2529" s="2">
        <v>1.3698630136986301E-2</v>
      </c>
    </row>
    <row r="2530" spans="2:6" x14ac:dyDescent="0.25">
      <c r="B2530" s="33">
        <v>1</v>
      </c>
      <c r="C2530" t="s">
        <v>103</v>
      </c>
      <c r="D2530" t="s">
        <v>45</v>
      </c>
      <c r="E2530">
        <v>9</v>
      </c>
      <c r="F2530" s="2">
        <v>2.4657534246575342E-2</v>
      </c>
    </row>
    <row r="2531" spans="2:6" x14ac:dyDescent="0.25">
      <c r="B2531" s="33">
        <v>1</v>
      </c>
      <c r="C2531" t="s">
        <v>2</v>
      </c>
      <c r="D2531" t="s">
        <v>198</v>
      </c>
      <c r="E2531">
        <v>14</v>
      </c>
      <c r="F2531" s="2">
        <v>1.643835616438356E-2</v>
      </c>
    </row>
    <row r="2532" spans="2:6" x14ac:dyDescent="0.25">
      <c r="B2532" s="33">
        <v>1</v>
      </c>
      <c r="C2532" t="s">
        <v>69</v>
      </c>
      <c r="D2532" t="s">
        <v>233</v>
      </c>
      <c r="E2532">
        <v>9</v>
      </c>
      <c r="F2532" s="2">
        <v>1.0958904109589041E-2</v>
      </c>
    </row>
    <row r="2533" spans="2:6" x14ac:dyDescent="0.25">
      <c r="B2533" s="33">
        <v>1</v>
      </c>
      <c r="C2533" t="s">
        <v>103</v>
      </c>
      <c r="D2533" t="s">
        <v>141</v>
      </c>
      <c r="E2533">
        <v>13</v>
      </c>
      <c r="F2533" s="2">
        <v>2.4657534246575342E-2</v>
      </c>
    </row>
    <row r="2534" spans="2:6" x14ac:dyDescent="0.25">
      <c r="B2534" s="33">
        <v>1</v>
      </c>
      <c r="C2534" t="s">
        <v>4</v>
      </c>
      <c r="D2534" t="s">
        <v>178</v>
      </c>
      <c r="E2534">
        <v>10</v>
      </c>
      <c r="F2534" s="2">
        <v>2.7397260273972601E-2</v>
      </c>
    </row>
    <row r="2535" spans="2:6" x14ac:dyDescent="0.25">
      <c r="B2535" s="33">
        <v>1</v>
      </c>
      <c r="C2535" t="s">
        <v>0</v>
      </c>
      <c r="D2535" t="s">
        <v>133</v>
      </c>
      <c r="E2535">
        <v>8</v>
      </c>
      <c r="F2535" s="2">
        <v>3.5616438356164383E-2</v>
      </c>
    </row>
    <row r="2536" spans="2:6" x14ac:dyDescent="0.25">
      <c r="B2536" s="33">
        <v>1</v>
      </c>
      <c r="C2536" t="s">
        <v>0</v>
      </c>
      <c r="D2536" t="s">
        <v>150</v>
      </c>
      <c r="E2536">
        <v>17</v>
      </c>
      <c r="F2536" s="2">
        <v>4.1095890410958902E-2</v>
      </c>
    </row>
    <row r="2537" spans="2:6" x14ac:dyDescent="0.25">
      <c r="B2537" s="33">
        <v>1</v>
      </c>
      <c r="C2537" t="s">
        <v>66</v>
      </c>
      <c r="D2537" t="s">
        <v>219</v>
      </c>
      <c r="E2537">
        <v>16</v>
      </c>
      <c r="F2537" s="2">
        <v>1.643835616438356E-2</v>
      </c>
    </row>
    <row r="2538" spans="2:6" x14ac:dyDescent="0.25">
      <c r="B2538" s="33">
        <v>1</v>
      </c>
      <c r="C2538" t="s">
        <v>64</v>
      </c>
      <c r="D2538" t="s">
        <v>213</v>
      </c>
      <c r="E2538">
        <v>21</v>
      </c>
      <c r="F2538" s="2">
        <v>2.7397260273972603E-3</v>
      </c>
    </row>
    <row r="2539" spans="2:6" x14ac:dyDescent="0.25">
      <c r="B2539" s="33">
        <v>1</v>
      </c>
      <c r="C2539" t="s">
        <v>69</v>
      </c>
      <c r="D2539" t="s">
        <v>231</v>
      </c>
      <c r="E2539">
        <v>17</v>
      </c>
      <c r="F2539" s="2">
        <v>1.0958904109589041E-2</v>
      </c>
    </row>
    <row r="2540" spans="2:6" x14ac:dyDescent="0.25">
      <c r="B2540" s="33">
        <v>1</v>
      </c>
      <c r="C2540" t="s">
        <v>2</v>
      </c>
      <c r="D2540" t="s">
        <v>172</v>
      </c>
      <c r="E2540">
        <v>21</v>
      </c>
      <c r="F2540" s="2">
        <v>1.643835616438356E-2</v>
      </c>
    </row>
    <row r="2541" spans="2:6" x14ac:dyDescent="0.25">
      <c r="B2541" s="33">
        <v>1</v>
      </c>
      <c r="C2541" t="s">
        <v>72</v>
      </c>
      <c r="D2541" t="s">
        <v>163</v>
      </c>
      <c r="E2541">
        <v>23</v>
      </c>
      <c r="F2541" s="2">
        <v>1.9178082191780823E-2</v>
      </c>
    </row>
    <row r="2542" spans="2:6" x14ac:dyDescent="0.25">
      <c r="B2542" s="33">
        <v>1</v>
      </c>
      <c r="C2542" t="s">
        <v>3</v>
      </c>
      <c r="D2542" t="s">
        <v>161</v>
      </c>
      <c r="E2542">
        <v>16</v>
      </c>
      <c r="F2542" s="2">
        <v>1.3698630136986301E-2</v>
      </c>
    </row>
    <row r="2543" spans="2:6" x14ac:dyDescent="0.25">
      <c r="B2543" s="33">
        <v>1</v>
      </c>
      <c r="C2543" t="s">
        <v>1</v>
      </c>
      <c r="D2543" t="s">
        <v>110</v>
      </c>
      <c r="E2543">
        <v>4</v>
      </c>
      <c r="F2543" s="2">
        <v>1.0958904109589041E-2</v>
      </c>
    </row>
    <row r="2544" spans="2:6" x14ac:dyDescent="0.25">
      <c r="B2544" s="33">
        <v>1</v>
      </c>
      <c r="C2544" t="s">
        <v>77</v>
      </c>
      <c r="D2544" t="s">
        <v>78</v>
      </c>
      <c r="E2544">
        <v>6</v>
      </c>
      <c r="F2544" s="2">
        <v>8.21917808219178E-3</v>
      </c>
    </row>
    <row r="2545" spans="2:6" x14ac:dyDescent="0.25">
      <c r="B2545" s="33">
        <v>1</v>
      </c>
      <c r="C2545" t="s">
        <v>77</v>
      </c>
      <c r="D2545" t="s">
        <v>98</v>
      </c>
      <c r="E2545">
        <v>4</v>
      </c>
      <c r="F2545" s="2">
        <v>8.21917808219178E-3</v>
      </c>
    </row>
    <row r="2546" spans="2:6" x14ac:dyDescent="0.25">
      <c r="B2546" s="33">
        <v>1</v>
      </c>
      <c r="C2546" t="s">
        <v>64</v>
      </c>
      <c r="D2546" t="s">
        <v>65</v>
      </c>
      <c r="E2546">
        <v>6</v>
      </c>
      <c r="F2546" s="2">
        <v>1.3698630136986301E-2</v>
      </c>
    </row>
    <row r="2547" spans="2:6" x14ac:dyDescent="0.25">
      <c r="B2547" s="33">
        <v>1</v>
      </c>
      <c r="C2547" t="s">
        <v>74</v>
      </c>
      <c r="D2547" t="s">
        <v>174</v>
      </c>
      <c r="E2547">
        <v>0</v>
      </c>
      <c r="F2547" s="2">
        <v>2.7397260273972601E-2</v>
      </c>
    </row>
    <row r="2548" spans="2:6" x14ac:dyDescent="0.25">
      <c r="B2548" s="33">
        <v>1</v>
      </c>
      <c r="C2548" t="s">
        <v>6</v>
      </c>
      <c r="D2548" t="s">
        <v>38</v>
      </c>
      <c r="E2548">
        <v>12</v>
      </c>
      <c r="F2548" s="2">
        <v>1.3698630136986301E-2</v>
      </c>
    </row>
    <row r="2549" spans="2:6" x14ac:dyDescent="0.25">
      <c r="B2549" s="33">
        <v>1</v>
      </c>
      <c r="C2549" t="s">
        <v>69</v>
      </c>
      <c r="D2549" t="s">
        <v>234</v>
      </c>
      <c r="E2549">
        <v>0</v>
      </c>
      <c r="F2549" s="2">
        <v>8.21917808219178E-3</v>
      </c>
    </row>
    <row r="2550" spans="2:6" x14ac:dyDescent="0.25">
      <c r="B2550" s="33">
        <v>1</v>
      </c>
      <c r="C2550" t="s">
        <v>77</v>
      </c>
      <c r="D2550" t="s">
        <v>145</v>
      </c>
      <c r="E2550">
        <v>3</v>
      </c>
      <c r="F2550" s="2">
        <v>5.4794520547945206E-3</v>
      </c>
    </row>
    <row r="2551" spans="2:6" x14ac:dyDescent="0.25">
      <c r="B2551" s="33">
        <v>1</v>
      </c>
      <c r="C2551" t="s">
        <v>69</v>
      </c>
      <c r="D2551" t="s">
        <v>190</v>
      </c>
      <c r="E2551">
        <v>10</v>
      </c>
      <c r="F2551" s="2">
        <v>1.0958904109589041E-2</v>
      </c>
    </row>
    <row r="2552" spans="2:6" x14ac:dyDescent="0.25">
      <c r="B2552" s="33">
        <v>1</v>
      </c>
      <c r="C2552" t="s">
        <v>69</v>
      </c>
      <c r="D2552" t="s">
        <v>183</v>
      </c>
      <c r="E2552">
        <v>8</v>
      </c>
      <c r="F2552" s="2">
        <v>1.0958904109589041E-2</v>
      </c>
    </row>
    <row r="2553" spans="2:6" x14ac:dyDescent="0.25">
      <c r="B2553" s="33">
        <v>1</v>
      </c>
      <c r="C2553" t="s">
        <v>2</v>
      </c>
      <c r="D2553" t="s">
        <v>170</v>
      </c>
      <c r="E2553">
        <v>12</v>
      </c>
      <c r="F2553" s="2">
        <v>1.643835616438356E-2</v>
      </c>
    </row>
    <row r="2554" spans="2:6" x14ac:dyDescent="0.25">
      <c r="B2554" s="33">
        <v>1</v>
      </c>
      <c r="C2554" t="s">
        <v>77</v>
      </c>
      <c r="D2554" t="s">
        <v>193</v>
      </c>
      <c r="E2554">
        <v>17</v>
      </c>
      <c r="F2554" s="2">
        <v>1.3698630136986301E-2</v>
      </c>
    </row>
    <row r="2555" spans="2:6" x14ac:dyDescent="0.25">
      <c r="B2555" s="33">
        <v>1</v>
      </c>
      <c r="C2555" t="s">
        <v>3</v>
      </c>
      <c r="D2555" t="s">
        <v>226</v>
      </c>
      <c r="E2555">
        <v>19</v>
      </c>
      <c r="F2555" s="2">
        <v>1.3698630136986301E-2</v>
      </c>
    </row>
    <row r="2556" spans="2:6" x14ac:dyDescent="0.25">
      <c r="B2556" s="33">
        <v>1</v>
      </c>
      <c r="C2556" t="s">
        <v>69</v>
      </c>
      <c r="D2556" t="s">
        <v>183</v>
      </c>
      <c r="E2556">
        <v>20</v>
      </c>
      <c r="F2556" s="2">
        <v>1.0958904109589041E-2</v>
      </c>
    </row>
    <row r="2557" spans="2:6" x14ac:dyDescent="0.25">
      <c r="B2557" s="33">
        <v>1</v>
      </c>
      <c r="C2557" t="s">
        <v>69</v>
      </c>
      <c r="D2557" t="s">
        <v>181</v>
      </c>
      <c r="E2557">
        <v>20</v>
      </c>
      <c r="F2557" s="2">
        <v>1.0958904109589041E-2</v>
      </c>
    </row>
    <row r="2558" spans="2:6" x14ac:dyDescent="0.25">
      <c r="B2558" s="33">
        <v>1</v>
      </c>
      <c r="C2558" t="s">
        <v>6</v>
      </c>
      <c r="D2558" t="s">
        <v>42</v>
      </c>
      <c r="E2558">
        <v>5</v>
      </c>
      <c r="F2558" s="2">
        <v>1.3698630136986301E-2</v>
      </c>
    </row>
    <row r="2559" spans="2:6" x14ac:dyDescent="0.25">
      <c r="B2559" s="33">
        <v>1</v>
      </c>
      <c r="C2559" t="s">
        <v>6</v>
      </c>
      <c r="D2559" t="s">
        <v>28</v>
      </c>
      <c r="E2559">
        <v>4</v>
      </c>
      <c r="F2559" s="2">
        <v>1.3698630136986301E-2</v>
      </c>
    </row>
    <row r="2560" spans="2:6" x14ac:dyDescent="0.25">
      <c r="B2560" s="33">
        <v>1</v>
      </c>
      <c r="C2560" t="s">
        <v>66</v>
      </c>
      <c r="D2560" t="s">
        <v>212</v>
      </c>
      <c r="E2560">
        <v>20</v>
      </c>
      <c r="F2560" s="2">
        <v>1.643835616438356E-2</v>
      </c>
    </row>
    <row r="2561" spans="2:6" x14ac:dyDescent="0.25">
      <c r="B2561" s="33">
        <v>1</v>
      </c>
      <c r="C2561" t="s">
        <v>103</v>
      </c>
      <c r="D2561" t="s">
        <v>45</v>
      </c>
      <c r="E2561">
        <v>23</v>
      </c>
      <c r="F2561" s="2">
        <v>1.3698630136986301E-2</v>
      </c>
    </row>
    <row r="2562" spans="2:6" x14ac:dyDescent="0.25">
      <c r="B2562" s="33">
        <v>1</v>
      </c>
      <c r="C2562" t="s">
        <v>3</v>
      </c>
      <c r="D2562" t="s">
        <v>100</v>
      </c>
      <c r="E2562">
        <v>6</v>
      </c>
      <c r="F2562" s="2">
        <v>8.21917808219178E-3</v>
      </c>
    </row>
    <row r="2563" spans="2:6" x14ac:dyDescent="0.25">
      <c r="B2563" s="33">
        <v>1</v>
      </c>
      <c r="C2563" t="s">
        <v>1</v>
      </c>
      <c r="D2563" t="s">
        <v>214</v>
      </c>
      <c r="E2563">
        <v>0</v>
      </c>
      <c r="F2563" s="2">
        <v>1.0958904109589041E-2</v>
      </c>
    </row>
    <row r="2564" spans="2:6" x14ac:dyDescent="0.25">
      <c r="B2564" s="33">
        <v>1</v>
      </c>
      <c r="C2564" t="s">
        <v>90</v>
      </c>
      <c r="D2564" t="s">
        <v>164</v>
      </c>
      <c r="E2564">
        <v>0</v>
      </c>
      <c r="F2564" s="2">
        <v>1.643835616438356E-2</v>
      </c>
    </row>
    <row r="2565" spans="2:6" x14ac:dyDescent="0.25">
      <c r="B2565" s="33">
        <v>1</v>
      </c>
      <c r="C2565" t="s">
        <v>6</v>
      </c>
      <c r="D2565" t="s">
        <v>38</v>
      </c>
      <c r="E2565">
        <v>23</v>
      </c>
      <c r="F2565" s="2">
        <v>1.3698630136986301E-2</v>
      </c>
    </row>
    <row r="2566" spans="2:6" x14ac:dyDescent="0.25">
      <c r="B2566" s="33">
        <v>1</v>
      </c>
      <c r="C2566" t="s">
        <v>6</v>
      </c>
      <c r="D2566" t="s">
        <v>43</v>
      </c>
      <c r="E2566">
        <v>22</v>
      </c>
      <c r="F2566" s="2">
        <v>1.3698630136986301E-2</v>
      </c>
    </row>
    <row r="2567" spans="2:6" x14ac:dyDescent="0.25">
      <c r="B2567" s="33">
        <v>1</v>
      </c>
      <c r="C2567" t="s">
        <v>6</v>
      </c>
      <c r="D2567" t="s">
        <v>25</v>
      </c>
      <c r="E2567">
        <v>12</v>
      </c>
      <c r="F2567" s="2">
        <v>1.3698630136986301E-2</v>
      </c>
    </row>
    <row r="2568" spans="2:6" x14ac:dyDescent="0.25">
      <c r="B2568" s="33">
        <v>1</v>
      </c>
      <c r="C2568" t="s">
        <v>103</v>
      </c>
      <c r="D2568" t="s">
        <v>104</v>
      </c>
      <c r="E2568">
        <v>6</v>
      </c>
      <c r="F2568" s="2">
        <v>1.643835616438356E-2</v>
      </c>
    </row>
    <row r="2569" spans="2:6" x14ac:dyDescent="0.25">
      <c r="B2569" s="33">
        <v>1</v>
      </c>
      <c r="C2569" t="s">
        <v>66</v>
      </c>
      <c r="D2569" t="s">
        <v>211</v>
      </c>
      <c r="E2569">
        <v>1</v>
      </c>
      <c r="F2569" s="2">
        <v>1.0958904109589041E-2</v>
      </c>
    </row>
    <row r="2570" spans="2:6" x14ac:dyDescent="0.25">
      <c r="B2570" s="33">
        <v>1</v>
      </c>
      <c r="C2570" t="s">
        <v>66</v>
      </c>
      <c r="D2570" t="s">
        <v>227</v>
      </c>
      <c r="E2570">
        <v>11</v>
      </c>
      <c r="F2570" s="2">
        <v>1.3698630136986301E-2</v>
      </c>
    </row>
    <row r="2571" spans="2:6" x14ac:dyDescent="0.25">
      <c r="B2571" s="33">
        <v>1</v>
      </c>
      <c r="C2571" t="s">
        <v>3</v>
      </c>
      <c r="D2571" t="s">
        <v>229</v>
      </c>
      <c r="E2571">
        <v>11</v>
      </c>
      <c r="F2571" s="2">
        <v>1.643835616438356E-2</v>
      </c>
    </row>
    <row r="2572" spans="2:6" x14ac:dyDescent="0.25">
      <c r="B2572" s="33">
        <v>1</v>
      </c>
      <c r="C2572" t="s">
        <v>3</v>
      </c>
      <c r="D2572" t="s">
        <v>229</v>
      </c>
      <c r="E2572">
        <v>17</v>
      </c>
      <c r="F2572" s="2">
        <v>1.3698630136986301E-2</v>
      </c>
    </row>
    <row r="2573" spans="2:6" x14ac:dyDescent="0.25">
      <c r="B2573" s="33">
        <v>1</v>
      </c>
      <c r="C2573" t="s">
        <v>66</v>
      </c>
      <c r="D2573" t="s">
        <v>212</v>
      </c>
      <c r="E2573">
        <v>21</v>
      </c>
      <c r="F2573" s="2">
        <v>1.3698630136986301E-2</v>
      </c>
    </row>
    <row r="2574" spans="2:6" x14ac:dyDescent="0.25">
      <c r="B2574" s="33">
        <v>1</v>
      </c>
      <c r="C2574" t="s">
        <v>4</v>
      </c>
      <c r="D2574" t="s">
        <v>178</v>
      </c>
      <c r="E2574">
        <v>18</v>
      </c>
      <c r="F2574" s="2">
        <v>3.0136986301369864E-2</v>
      </c>
    </row>
    <row r="2575" spans="2:6" x14ac:dyDescent="0.25">
      <c r="B2575" s="33">
        <v>1</v>
      </c>
      <c r="C2575" t="s">
        <v>3</v>
      </c>
      <c r="D2575" t="s">
        <v>108</v>
      </c>
      <c r="E2575">
        <v>21</v>
      </c>
      <c r="F2575" s="2">
        <v>1.3698630136986301E-2</v>
      </c>
    </row>
    <row r="2576" spans="2:6" x14ac:dyDescent="0.25">
      <c r="B2576" s="33">
        <v>1</v>
      </c>
      <c r="C2576" t="s">
        <v>77</v>
      </c>
      <c r="D2576" t="s">
        <v>85</v>
      </c>
      <c r="E2576">
        <v>21</v>
      </c>
      <c r="F2576" s="2">
        <v>1.3698630136986301E-2</v>
      </c>
    </row>
    <row r="2577" spans="2:6" x14ac:dyDescent="0.25">
      <c r="B2577" s="33">
        <v>1</v>
      </c>
      <c r="C2577" t="s">
        <v>1</v>
      </c>
      <c r="D2577" t="s">
        <v>216</v>
      </c>
      <c r="E2577">
        <v>18</v>
      </c>
      <c r="F2577" s="2">
        <v>1.0958904109589041E-2</v>
      </c>
    </row>
    <row r="2578" spans="2:6" x14ac:dyDescent="0.25">
      <c r="B2578" s="33">
        <v>1</v>
      </c>
      <c r="C2578" t="s">
        <v>69</v>
      </c>
      <c r="D2578" t="s">
        <v>231</v>
      </c>
      <c r="E2578">
        <v>6</v>
      </c>
      <c r="F2578" s="2">
        <v>8.21917808219178E-3</v>
      </c>
    </row>
    <row r="2579" spans="2:6" x14ac:dyDescent="0.25">
      <c r="B2579" s="33">
        <v>1</v>
      </c>
      <c r="C2579" t="s">
        <v>88</v>
      </c>
      <c r="D2579" t="s">
        <v>160</v>
      </c>
      <c r="E2579">
        <v>2</v>
      </c>
      <c r="F2579" s="2">
        <v>1.643835616438356E-2</v>
      </c>
    </row>
    <row r="2580" spans="2:6" x14ac:dyDescent="0.25">
      <c r="B2580" s="33">
        <v>1</v>
      </c>
      <c r="C2580" t="s">
        <v>74</v>
      </c>
      <c r="D2580" t="s">
        <v>174</v>
      </c>
      <c r="E2580">
        <v>7</v>
      </c>
      <c r="F2580" s="2">
        <v>2.1917808219178082E-2</v>
      </c>
    </row>
    <row r="2581" spans="2:6" x14ac:dyDescent="0.25">
      <c r="B2581" s="33">
        <v>1</v>
      </c>
      <c r="C2581" t="s">
        <v>90</v>
      </c>
      <c r="D2581" t="s">
        <v>120</v>
      </c>
      <c r="E2581">
        <v>1</v>
      </c>
      <c r="F2581" s="2">
        <v>1.0958904109589041E-2</v>
      </c>
    </row>
    <row r="2582" spans="2:6" x14ac:dyDescent="0.25">
      <c r="B2582" s="33">
        <v>1</v>
      </c>
      <c r="C2582" t="s">
        <v>69</v>
      </c>
      <c r="D2582" t="s">
        <v>148</v>
      </c>
      <c r="E2582">
        <v>1</v>
      </c>
      <c r="F2582" s="2">
        <v>8.21917808219178E-3</v>
      </c>
    </row>
    <row r="2583" spans="2:6" x14ac:dyDescent="0.25">
      <c r="B2583" s="33">
        <v>1</v>
      </c>
      <c r="C2583" t="s">
        <v>126</v>
      </c>
      <c r="D2583" t="s">
        <v>169</v>
      </c>
      <c r="E2583">
        <v>5</v>
      </c>
      <c r="F2583" s="2">
        <v>1.0958904109589041E-2</v>
      </c>
    </row>
    <row r="2584" spans="2:6" x14ac:dyDescent="0.25">
      <c r="B2584" s="33">
        <v>1</v>
      </c>
      <c r="C2584" t="s">
        <v>90</v>
      </c>
      <c r="D2584" t="s">
        <v>164</v>
      </c>
      <c r="E2584">
        <v>5</v>
      </c>
      <c r="F2584" s="2">
        <v>1.0958904109589041E-2</v>
      </c>
    </row>
    <row r="2585" spans="2:6" x14ac:dyDescent="0.25">
      <c r="B2585" s="33">
        <v>1</v>
      </c>
      <c r="C2585" t="s">
        <v>69</v>
      </c>
      <c r="D2585" t="s">
        <v>128</v>
      </c>
      <c r="E2585">
        <v>5</v>
      </c>
      <c r="F2585" s="2">
        <v>8.21917808219178E-3</v>
      </c>
    </row>
    <row r="2586" spans="2:6" x14ac:dyDescent="0.25">
      <c r="B2586" s="33">
        <v>1</v>
      </c>
      <c r="C2586" t="s">
        <v>64</v>
      </c>
      <c r="D2586" t="s">
        <v>68</v>
      </c>
      <c r="E2586">
        <v>1</v>
      </c>
      <c r="F2586" s="2">
        <v>1.3698630136986301E-2</v>
      </c>
    </row>
    <row r="2587" spans="2:6" x14ac:dyDescent="0.25">
      <c r="B2587" s="33">
        <v>1</v>
      </c>
      <c r="C2587" t="s">
        <v>69</v>
      </c>
      <c r="D2587" t="s">
        <v>124</v>
      </c>
      <c r="E2587">
        <v>23</v>
      </c>
      <c r="F2587" s="2">
        <v>1.0958904109589041E-2</v>
      </c>
    </row>
    <row r="2588" spans="2:6" x14ac:dyDescent="0.25">
      <c r="B2588" s="33">
        <v>1</v>
      </c>
      <c r="C2588" t="s">
        <v>77</v>
      </c>
      <c r="D2588" t="s">
        <v>210</v>
      </c>
      <c r="E2588">
        <v>19</v>
      </c>
      <c r="F2588" s="2">
        <v>1.3698630136986301E-2</v>
      </c>
    </row>
    <row r="2589" spans="2:6" x14ac:dyDescent="0.25">
      <c r="B2589" s="33">
        <v>1</v>
      </c>
      <c r="C2589" t="s">
        <v>69</v>
      </c>
      <c r="D2589" t="s">
        <v>159</v>
      </c>
      <c r="E2589">
        <v>22</v>
      </c>
      <c r="F2589" s="2">
        <v>1.0958904109589041E-2</v>
      </c>
    </row>
    <row r="2590" spans="2:6" x14ac:dyDescent="0.25">
      <c r="B2590" s="33">
        <v>1</v>
      </c>
      <c r="C2590" t="s">
        <v>69</v>
      </c>
      <c r="D2590" t="s">
        <v>148</v>
      </c>
      <c r="E2590">
        <v>21</v>
      </c>
      <c r="F2590" s="2">
        <v>1.0958904109589041E-2</v>
      </c>
    </row>
    <row r="2591" spans="2:6" x14ac:dyDescent="0.25">
      <c r="B2591" s="33">
        <v>1</v>
      </c>
      <c r="C2591" t="s">
        <v>3</v>
      </c>
      <c r="D2591" t="s">
        <v>207</v>
      </c>
      <c r="E2591">
        <v>23</v>
      </c>
      <c r="F2591" s="2">
        <v>1.3698630136986301E-2</v>
      </c>
    </row>
    <row r="2592" spans="2:6" x14ac:dyDescent="0.25">
      <c r="B2592" s="33">
        <v>1</v>
      </c>
      <c r="C2592" t="s">
        <v>103</v>
      </c>
      <c r="D2592" t="s">
        <v>194</v>
      </c>
      <c r="E2592">
        <v>23</v>
      </c>
      <c r="F2592" s="2">
        <v>1.0958904109589041E-2</v>
      </c>
    </row>
    <row r="2593" spans="2:6" x14ac:dyDescent="0.25">
      <c r="B2593" s="33">
        <v>1</v>
      </c>
      <c r="C2593" t="s">
        <v>77</v>
      </c>
      <c r="D2593" t="s">
        <v>162</v>
      </c>
      <c r="E2593">
        <v>22</v>
      </c>
      <c r="F2593" s="2">
        <v>1.3698630136986301E-2</v>
      </c>
    </row>
    <row r="2594" spans="2:6" x14ac:dyDescent="0.25">
      <c r="B2594" s="33">
        <v>1</v>
      </c>
      <c r="C2594" t="s">
        <v>74</v>
      </c>
      <c r="D2594" t="s">
        <v>221</v>
      </c>
      <c r="E2594">
        <v>22</v>
      </c>
      <c r="F2594" s="2">
        <v>1.3698630136986301E-2</v>
      </c>
    </row>
    <row r="2595" spans="2:6" x14ac:dyDescent="0.25">
      <c r="B2595" s="33">
        <v>1</v>
      </c>
      <c r="C2595" t="s">
        <v>72</v>
      </c>
      <c r="D2595" t="s">
        <v>149</v>
      </c>
      <c r="E2595">
        <v>5</v>
      </c>
      <c r="F2595" s="2">
        <v>1.0958904109589041E-2</v>
      </c>
    </row>
    <row r="2596" spans="2:6" x14ac:dyDescent="0.25">
      <c r="B2596" s="33">
        <v>1</v>
      </c>
      <c r="C2596" t="s">
        <v>74</v>
      </c>
      <c r="D2596" t="s">
        <v>105</v>
      </c>
      <c r="E2596">
        <v>3</v>
      </c>
      <c r="F2596" s="2">
        <v>2.1917808219178082E-2</v>
      </c>
    </row>
    <row r="2597" spans="2:6" x14ac:dyDescent="0.25">
      <c r="B2597" s="33">
        <v>1</v>
      </c>
      <c r="C2597" t="s">
        <v>69</v>
      </c>
      <c r="D2597" t="s">
        <v>154</v>
      </c>
      <c r="E2597">
        <v>7</v>
      </c>
      <c r="F2597" s="2">
        <v>8.21917808219178E-3</v>
      </c>
    </row>
    <row r="2598" spans="2:6" x14ac:dyDescent="0.25">
      <c r="B2598" s="33">
        <v>1</v>
      </c>
      <c r="C2598" t="s">
        <v>2</v>
      </c>
      <c r="D2598" t="s">
        <v>185</v>
      </c>
      <c r="E2598">
        <v>11</v>
      </c>
      <c r="F2598" s="2">
        <v>1.643835616438356E-2</v>
      </c>
    </row>
    <row r="2599" spans="2:6" x14ac:dyDescent="0.25">
      <c r="B2599" s="33">
        <v>1</v>
      </c>
      <c r="C2599" t="s">
        <v>69</v>
      </c>
      <c r="D2599" t="s">
        <v>218</v>
      </c>
      <c r="E2599">
        <v>12</v>
      </c>
      <c r="F2599" s="2">
        <v>1.0958904109589041E-2</v>
      </c>
    </row>
    <row r="2600" spans="2:6" x14ac:dyDescent="0.25">
      <c r="B2600" s="33">
        <v>1</v>
      </c>
      <c r="C2600" t="s">
        <v>74</v>
      </c>
      <c r="D2600" t="s">
        <v>221</v>
      </c>
      <c r="E2600">
        <v>13</v>
      </c>
      <c r="F2600" s="2">
        <v>2.4657534246575342E-2</v>
      </c>
    </row>
    <row r="2601" spans="2:6" x14ac:dyDescent="0.25">
      <c r="B2601" s="33">
        <v>1</v>
      </c>
      <c r="C2601" t="s">
        <v>66</v>
      </c>
      <c r="D2601" t="s">
        <v>235</v>
      </c>
      <c r="E2601">
        <v>18</v>
      </c>
      <c r="F2601" s="2">
        <v>1.3698630136986301E-2</v>
      </c>
    </row>
    <row r="2602" spans="2:6" x14ac:dyDescent="0.25">
      <c r="B2602" s="33">
        <v>1</v>
      </c>
      <c r="C2602" t="s">
        <v>69</v>
      </c>
      <c r="D2602" t="s">
        <v>128</v>
      </c>
      <c r="E2602">
        <v>20</v>
      </c>
      <c r="F2602" s="2">
        <v>1.0958904109589041E-2</v>
      </c>
    </row>
    <row r="2603" spans="2:6" x14ac:dyDescent="0.25">
      <c r="B2603" s="33">
        <v>1</v>
      </c>
      <c r="C2603" t="s">
        <v>77</v>
      </c>
      <c r="D2603" t="s">
        <v>83</v>
      </c>
      <c r="E2603">
        <v>22</v>
      </c>
      <c r="F2603" s="2">
        <v>1.3698630136986301E-2</v>
      </c>
    </row>
    <row r="2604" spans="2:6" x14ac:dyDescent="0.25">
      <c r="B2604" s="33">
        <v>1</v>
      </c>
      <c r="C2604" t="s">
        <v>6</v>
      </c>
      <c r="D2604" t="s">
        <v>23</v>
      </c>
      <c r="E2604">
        <v>1</v>
      </c>
      <c r="F2604" s="2">
        <v>1.3698630136986301E-2</v>
      </c>
    </row>
    <row r="2605" spans="2:6" x14ac:dyDescent="0.25">
      <c r="B2605" s="33">
        <v>1</v>
      </c>
      <c r="C2605" t="s">
        <v>2</v>
      </c>
      <c r="D2605" t="s">
        <v>96</v>
      </c>
      <c r="E2605">
        <v>22</v>
      </c>
      <c r="F2605" s="2">
        <v>1.643835616438356E-2</v>
      </c>
    </row>
    <row r="2606" spans="2:6" x14ac:dyDescent="0.25">
      <c r="B2606" s="33">
        <v>1</v>
      </c>
      <c r="C2606" t="s">
        <v>77</v>
      </c>
      <c r="D2606" t="s">
        <v>101</v>
      </c>
      <c r="E2606">
        <v>4</v>
      </c>
      <c r="F2606" s="2">
        <v>5.4794520547945206E-3</v>
      </c>
    </row>
    <row r="2607" spans="2:6" x14ac:dyDescent="0.25">
      <c r="B2607" s="33">
        <v>1</v>
      </c>
      <c r="C2607" t="s">
        <v>69</v>
      </c>
      <c r="D2607" t="s">
        <v>132</v>
      </c>
      <c r="E2607">
        <v>2</v>
      </c>
      <c r="F2607" s="2">
        <v>8.21917808219178E-3</v>
      </c>
    </row>
    <row r="2608" spans="2:6" x14ac:dyDescent="0.25">
      <c r="B2608" s="33">
        <v>1</v>
      </c>
      <c r="C2608" t="s">
        <v>66</v>
      </c>
      <c r="D2608" t="s">
        <v>235</v>
      </c>
      <c r="E2608">
        <v>13</v>
      </c>
      <c r="F2608" s="2">
        <v>1.3698630136986301E-2</v>
      </c>
    </row>
    <row r="2609" spans="2:6" x14ac:dyDescent="0.25">
      <c r="B2609" s="33">
        <v>1</v>
      </c>
      <c r="C2609" t="s">
        <v>103</v>
      </c>
      <c r="D2609" t="s">
        <v>45</v>
      </c>
      <c r="E2609">
        <v>14</v>
      </c>
      <c r="F2609" s="2">
        <v>2.1917808219178082E-2</v>
      </c>
    </row>
    <row r="2610" spans="2:6" x14ac:dyDescent="0.25">
      <c r="B2610" s="33">
        <v>1</v>
      </c>
      <c r="C2610" t="s">
        <v>103</v>
      </c>
      <c r="D2610" t="s">
        <v>137</v>
      </c>
      <c r="E2610">
        <v>14</v>
      </c>
      <c r="F2610" s="2">
        <v>2.1917808219178082E-2</v>
      </c>
    </row>
    <row r="2611" spans="2:6" x14ac:dyDescent="0.25">
      <c r="B2611" s="33">
        <v>1</v>
      </c>
      <c r="C2611" t="s">
        <v>69</v>
      </c>
      <c r="D2611" t="s">
        <v>215</v>
      </c>
      <c r="E2611">
        <v>14</v>
      </c>
      <c r="F2611" s="2">
        <v>1.0958904109589041E-2</v>
      </c>
    </row>
    <row r="2612" spans="2:6" x14ac:dyDescent="0.25">
      <c r="B2612" s="33">
        <v>1</v>
      </c>
      <c r="C2612" t="s">
        <v>69</v>
      </c>
      <c r="D2612" t="s">
        <v>236</v>
      </c>
      <c r="E2612">
        <v>9</v>
      </c>
      <c r="F2612" s="2">
        <v>1.0958904109589041E-2</v>
      </c>
    </row>
    <row r="2613" spans="2:6" x14ac:dyDescent="0.25">
      <c r="B2613" s="33">
        <v>1</v>
      </c>
      <c r="C2613" t="s">
        <v>77</v>
      </c>
      <c r="D2613" t="s">
        <v>97</v>
      </c>
      <c r="E2613">
        <v>11</v>
      </c>
      <c r="F2613" s="2">
        <v>1.3698630136986301E-2</v>
      </c>
    </row>
    <row r="2614" spans="2:6" x14ac:dyDescent="0.25">
      <c r="B2614" s="33">
        <v>1</v>
      </c>
      <c r="C2614" t="s">
        <v>69</v>
      </c>
      <c r="D2614" t="s">
        <v>237</v>
      </c>
      <c r="E2614">
        <v>13</v>
      </c>
      <c r="F2614" s="2">
        <v>1.0958904109589041E-2</v>
      </c>
    </row>
    <row r="2615" spans="2:6" x14ac:dyDescent="0.25">
      <c r="B2615" s="33">
        <v>1</v>
      </c>
      <c r="C2615" t="s">
        <v>69</v>
      </c>
      <c r="D2615" t="s">
        <v>230</v>
      </c>
      <c r="E2615">
        <v>10</v>
      </c>
      <c r="F2615" s="2">
        <v>1.0958904109589041E-2</v>
      </c>
    </row>
    <row r="2616" spans="2:6" x14ac:dyDescent="0.25">
      <c r="B2616" s="33">
        <v>1</v>
      </c>
      <c r="C2616" t="s">
        <v>103</v>
      </c>
      <c r="D2616" t="s">
        <v>139</v>
      </c>
      <c r="E2616">
        <v>13</v>
      </c>
      <c r="F2616" s="2">
        <v>2.1917808219178082E-2</v>
      </c>
    </row>
    <row r="2617" spans="2:6" x14ac:dyDescent="0.25">
      <c r="B2617" s="33">
        <v>1</v>
      </c>
      <c r="C2617" t="s">
        <v>77</v>
      </c>
      <c r="D2617" t="s">
        <v>196</v>
      </c>
      <c r="E2617">
        <v>21</v>
      </c>
      <c r="F2617" s="2">
        <v>1.3698630136986301E-2</v>
      </c>
    </row>
    <row r="2618" spans="2:6" x14ac:dyDescent="0.25">
      <c r="B2618" s="33">
        <v>1</v>
      </c>
      <c r="C2618" t="s">
        <v>77</v>
      </c>
      <c r="D2618" t="s">
        <v>210</v>
      </c>
      <c r="E2618">
        <v>18</v>
      </c>
      <c r="F2618" s="2">
        <v>1.0958904109589041E-2</v>
      </c>
    </row>
    <row r="2619" spans="2:6" x14ac:dyDescent="0.25">
      <c r="B2619" s="33">
        <v>1</v>
      </c>
      <c r="C2619" t="s">
        <v>3</v>
      </c>
      <c r="D2619" t="s">
        <v>229</v>
      </c>
      <c r="E2619">
        <v>20</v>
      </c>
      <c r="F2619" s="2">
        <v>1.0958904109589041E-2</v>
      </c>
    </row>
    <row r="2620" spans="2:6" x14ac:dyDescent="0.25">
      <c r="B2620" s="33">
        <v>1</v>
      </c>
      <c r="C2620" t="s">
        <v>0</v>
      </c>
      <c r="D2620" t="s">
        <v>150</v>
      </c>
      <c r="E2620">
        <v>2</v>
      </c>
      <c r="F2620" s="2">
        <v>2.1917808219178082E-2</v>
      </c>
    </row>
    <row r="2621" spans="2:6" x14ac:dyDescent="0.25">
      <c r="B2621" s="33">
        <v>1</v>
      </c>
      <c r="C2621" t="s">
        <v>77</v>
      </c>
      <c r="D2621" t="s">
        <v>85</v>
      </c>
      <c r="E2621">
        <v>4</v>
      </c>
      <c r="F2621" s="2">
        <v>5.4794520547945206E-3</v>
      </c>
    </row>
    <row r="2622" spans="2:6" x14ac:dyDescent="0.25">
      <c r="B2622" s="33">
        <v>1</v>
      </c>
      <c r="C2622" t="s">
        <v>74</v>
      </c>
      <c r="D2622" t="s">
        <v>105</v>
      </c>
      <c r="E2622">
        <v>4</v>
      </c>
      <c r="F2622" s="2">
        <v>1.9178082191780823E-2</v>
      </c>
    </row>
    <row r="2623" spans="2:6" x14ac:dyDescent="0.25">
      <c r="B2623" s="33">
        <v>1</v>
      </c>
      <c r="C2623" t="s">
        <v>72</v>
      </c>
      <c r="D2623" t="s">
        <v>209</v>
      </c>
      <c r="E2623">
        <v>12</v>
      </c>
      <c r="F2623" s="2">
        <v>1.9178082191780823E-2</v>
      </c>
    </row>
    <row r="2624" spans="2:6" x14ac:dyDescent="0.25">
      <c r="B2624" s="33">
        <v>1</v>
      </c>
      <c r="C2624" t="s">
        <v>3</v>
      </c>
      <c r="D2624" t="s">
        <v>100</v>
      </c>
      <c r="E2624">
        <v>8</v>
      </c>
      <c r="F2624" s="2">
        <v>1.643835616438356E-2</v>
      </c>
    </row>
    <row r="2625" spans="2:6" x14ac:dyDescent="0.25">
      <c r="B2625" s="33">
        <v>1</v>
      </c>
      <c r="C2625" t="s">
        <v>4</v>
      </c>
      <c r="D2625" t="s">
        <v>178</v>
      </c>
      <c r="E2625">
        <v>15</v>
      </c>
      <c r="F2625" s="2">
        <v>1.9178082191780823E-2</v>
      </c>
    </row>
    <row r="2626" spans="2:6" x14ac:dyDescent="0.25">
      <c r="B2626" s="33">
        <v>1</v>
      </c>
      <c r="C2626" t="s">
        <v>1</v>
      </c>
      <c r="D2626" t="s">
        <v>214</v>
      </c>
      <c r="E2626">
        <v>10</v>
      </c>
      <c r="F2626" s="2">
        <v>1.643835616438356E-2</v>
      </c>
    </row>
    <row r="2627" spans="2:6" x14ac:dyDescent="0.25">
      <c r="B2627" s="33">
        <v>1</v>
      </c>
      <c r="C2627" t="s">
        <v>3</v>
      </c>
      <c r="D2627" t="s">
        <v>79</v>
      </c>
      <c r="E2627">
        <v>21</v>
      </c>
      <c r="F2627" s="2">
        <v>1.0958904109589041E-2</v>
      </c>
    </row>
    <row r="2628" spans="2:6" x14ac:dyDescent="0.25">
      <c r="B2628" s="33">
        <v>1</v>
      </c>
      <c r="C2628" t="s">
        <v>69</v>
      </c>
      <c r="D2628" t="s">
        <v>220</v>
      </c>
      <c r="E2628">
        <v>18</v>
      </c>
      <c r="F2628" s="2">
        <v>1.0958904109589041E-2</v>
      </c>
    </row>
    <row r="2629" spans="2:6" x14ac:dyDescent="0.25">
      <c r="B2629" s="33">
        <v>1</v>
      </c>
      <c r="C2629" t="s">
        <v>74</v>
      </c>
      <c r="D2629" t="s">
        <v>130</v>
      </c>
      <c r="E2629">
        <v>7</v>
      </c>
      <c r="F2629" s="2">
        <v>1.9178082191780823E-2</v>
      </c>
    </row>
    <row r="2630" spans="2:6" x14ac:dyDescent="0.25">
      <c r="B2630" s="33">
        <v>1</v>
      </c>
      <c r="C2630" t="s">
        <v>66</v>
      </c>
      <c r="D2630" t="s">
        <v>238</v>
      </c>
      <c r="E2630">
        <v>9</v>
      </c>
      <c r="F2630" s="2">
        <v>1.3698630136986301E-2</v>
      </c>
    </row>
    <row r="2631" spans="2:6" x14ac:dyDescent="0.25">
      <c r="B2631" s="33">
        <v>1</v>
      </c>
      <c r="C2631" t="s">
        <v>66</v>
      </c>
      <c r="D2631" t="s">
        <v>235</v>
      </c>
      <c r="E2631">
        <v>8</v>
      </c>
      <c r="F2631" s="2">
        <v>1.0958904109589041E-2</v>
      </c>
    </row>
    <row r="2632" spans="2:6" x14ac:dyDescent="0.25">
      <c r="B2632" s="33">
        <v>1</v>
      </c>
      <c r="C2632" t="s">
        <v>3</v>
      </c>
      <c r="D2632" t="s">
        <v>229</v>
      </c>
      <c r="E2632">
        <v>9</v>
      </c>
      <c r="F2632" s="2">
        <v>1.643835616438356E-2</v>
      </c>
    </row>
    <row r="2633" spans="2:6" x14ac:dyDescent="0.25">
      <c r="B2633" s="33">
        <v>1</v>
      </c>
      <c r="C2633" t="s">
        <v>69</v>
      </c>
      <c r="D2633" t="s">
        <v>184</v>
      </c>
      <c r="E2633">
        <v>12</v>
      </c>
      <c r="F2633" s="2">
        <v>1.0958904109589041E-2</v>
      </c>
    </row>
    <row r="2634" spans="2:6" x14ac:dyDescent="0.25">
      <c r="B2634" s="33">
        <v>1</v>
      </c>
      <c r="C2634" t="s">
        <v>1</v>
      </c>
      <c r="D2634" t="s">
        <v>217</v>
      </c>
      <c r="E2634">
        <v>9</v>
      </c>
      <c r="F2634" s="2">
        <v>1.643835616438356E-2</v>
      </c>
    </row>
    <row r="2635" spans="2:6" x14ac:dyDescent="0.25">
      <c r="B2635" s="33">
        <v>1</v>
      </c>
      <c r="C2635" t="s">
        <v>69</v>
      </c>
      <c r="D2635" t="s">
        <v>140</v>
      </c>
      <c r="E2635">
        <v>14</v>
      </c>
      <c r="F2635" s="2">
        <v>1.0958904109589041E-2</v>
      </c>
    </row>
    <row r="2636" spans="2:6" x14ac:dyDescent="0.25">
      <c r="B2636" s="33">
        <v>1</v>
      </c>
      <c r="C2636" t="s">
        <v>69</v>
      </c>
      <c r="D2636" t="s">
        <v>70</v>
      </c>
      <c r="E2636">
        <v>17</v>
      </c>
      <c r="F2636" s="2">
        <v>1.0958904109589041E-2</v>
      </c>
    </row>
    <row r="2637" spans="2:6" x14ac:dyDescent="0.25">
      <c r="B2637" s="33">
        <v>1</v>
      </c>
      <c r="C2637" t="s">
        <v>126</v>
      </c>
      <c r="D2637" t="s">
        <v>127</v>
      </c>
      <c r="E2637">
        <v>20</v>
      </c>
      <c r="F2637" s="2">
        <v>1.643835616438356E-2</v>
      </c>
    </row>
    <row r="2638" spans="2:6" x14ac:dyDescent="0.25">
      <c r="B2638" s="33">
        <v>1</v>
      </c>
      <c r="C2638" t="s">
        <v>6</v>
      </c>
      <c r="D2638" t="s">
        <v>44</v>
      </c>
      <c r="E2638">
        <v>13</v>
      </c>
      <c r="F2638" s="2">
        <v>1.3698630136986301E-2</v>
      </c>
    </row>
    <row r="2639" spans="2:6" x14ac:dyDescent="0.25">
      <c r="B2639" s="33">
        <v>1</v>
      </c>
      <c r="C2639" t="s">
        <v>6</v>
      </c>
      <c r="D2639" t="s">
        <v>23</v>
      </c>
      <c r="E2639">
        <v>4</v>
      </c>
      <c r="F2639" s="2">
        <v>1.3698630136986301E-2</v>
      </c>
    </row>
    <row r="2640" spans="2:6" x14ac:dyDescent="0.25">
      <c r="B2640" s="33">
        <v>1</v>
      </c>
      <c r="C2640" t="s">
        <v>66</v>
      </c>
      <c r="D2640" t="s">
        <v>168</v>
      </c>
      <c r="E2640">
        <v>0</v>
      </c>
      <c r="F2640" s="2">
        <v>1.0958904109589041E-2</v>
      </c>
    </row>
    <row r="2641" spans="2:6" x14ac:dyDescent="0.25">
      <c r="B2641" s="33">
        <v>1</v>
      </c>
      <c r="C2641" t="s">
        <v>64</v>
      </c>
      <c r="D2641" t="s">
        <v>121</v>
      </c>
      <c r="E2641">
        <v>3</v>
      </c>
      <c r="F2641" s="2">
        <v>1.3698630136986301E-2</v>
      </c>
    </row>
    <row r="2642" spans="2:6" x14ac:dyDescent="0.25">
      <c r="B2642" s="33">
        <v>1</v>
      </c>
      <c r="C2642" t="s">
        <v>64</v>
      </c>
      <c r="D2642" t="s">
        <v>175</v>
      </c>
      <c r="E2642">
        <v>1</v>
      </c>
      <c r="F2642" s="2">
        <v>1.0958904109589041E-2</v>
      </c>
    </row>
    <row r="2643" spans="2:6" x14ac:dyDescent="0.25">
      <c r="B2643" s="33">
        <v>1</v>
      </c>
      <c r="C2643" t="s">
        <v>103</v>
      </c>
      <c r="D2643" t="s">
        <v>167</v>
      </c>
      <c r="E2643">
        <v>12</v>
      </c>
      <c r="F2643" s="2">
        <v>1.9178082191780823E-2</v>
      </c>
    </row>
    <row r="2644" spans="2:6" x14ac:dyDescent="0.25">
      <c r="B2644" s="33">
        <v>1</v>
      </c>
      <c r="C2644" t="s">
        <v>1</v>
      </c>
      <c r="D2644" t="s">
        <v>176</v>
      </c>
      <c r="E2644">
        <v>11</v>
      </c>
      <c r="F2644" s="2">
        <v>1.643835616438356E-2</v>
      </c>
    </row>
    <row r="2645" spans="2:6" x14ac:dyDescent="0.25">
      <c r="B2645" s="33">
        <v>1</v>
      </c>
      <c r="C2645" t="s">
        <v>74</v>
      </c>
      <c r="D2645" t="s">
        <v>221</v>
      </c>
      <c r="E2645">
        <v>15</v>
      </c>
      <c r="F2645" s="2">
        <v>1.9178082191780823E-2</v>
      </c>
    </row>
    <row r="2646" spans="2:6" x14ac:dyDescent="0.25">
      <c r="B2646" s="33">
        <v>1</v>
      </c>
      <c r="C2646" t="s">
        <v>3</v>
      </c>
      <c r="D2646" t="s">
        <v>207</v>
      </c>
      <c r="E2646">
        <v>8</v>
      </c>
      <c r="F2646" s="2">
        <v>1.643835616438356E-2</v>
      </c>
    </row>
    <row r="2647" spans="2:6" x14ac:dyDescent="0.25">
      <c r="B2647" s="33">
        <v>1</v>
      </c>
      <c r="C2647" t="s">
        <v>3</v>
      </c>
      <c r="D2647" t="s">
        <v>186</v>
      </c>
      <c r="E2647">
        <v>14</v>
      </c>
      <c r="F2647" s="2">
        <v>1.643835616438356E-2</v>
      </c>
    </row>
    <row r="2648" spans="2:6" x14ac:dyDescent="0.25">
      <c r="B2648" s="33">
        <v>1</v>
      </c>
      <c r="C2648" t="s">
        <v>72</v>
      </c>
      <c r="D2648" t="s">
        <v>209</v>
      </c>
      <c r="E2648">
        <v>14</v>
      </c>
      <c r="F2648" s="2">
        <v>1.643835616438356E-2</v>
      </c>
    </row>
    <row r="2649" spans="2:6" x14ac:dyDescent="0.25">
      <c r="B2649" s="33">
        <v>1</v>
      </c>
      <c r="C2649" t="s">
        <v>3</v>
      </c>
      <c r="D2649" t="s">
        <v>157</v>
      </c>
      <c r="E2649">
        <v>14</v>
      </c>
      <c r="F2649" s="2">
        <v>1.643835616438356E-2</v>
      </c>
    </row>
    <row r="2650" spans="2:6" x14ac:dyDescent="0.25">
      <c r="B2650" s="33">
        <v>1</v>
      </c>
      <c r="C2650" t="s">
        <v>103</v>
      </c>
      <c r="D2650" t="s">
        <v>158</v>
      </c>
      <c r="E2650">
        <v>12</v>
      </c>
      <c r="F2650" s="2">
        <v>1.9178082191780823E-2</v>
      </c>
    </row>
    <row r="2651" spans="2:6" x14ac:dyDescent="0.25">
      <c r="B2651" s="33">
        <v>1</v>
      </c>
      <c r="C2651" t="s">
        <v>4</v>
      </c>
      <c r="D2651" t="s">
        <v>106</v>
      </c>
      <c r="E2651">
        <v>21</v>
      </c>
      <c r="F2651" s="2">
        <v>2.7397260273972601E-2</v>
      </c>
    </row>
    <row r="2652" spans="2:6" x14ac:dyDescent="0.25">
      <c r="B2652" s="33">
        <v>1</v>
      </c>
      <c r="C2652" t="s">
        <v>1</v>
      </c>
      <c r="D2652" t="s">
        <v>214</v>
      </c>
      <c r="E2652">
        <v>23</v>
      </c>
      <c r="F2652" s="2">
        <v>1.0958904109589041E-2</v>
      </c>
    </row>
    <row r="2653" spans="2:6" x14ac:dyDescent="0.25">
      <c r="B2653" s="33">
        <v>1</v>
      </c>
      <c r="C2653" t="s">
        <v>77</v>
      </c>
      <c r="D2653" t="s">
        <v>196</v>
      </c>
      <c r="E2653">
        <v>20</v>
      </c>
      <c r="F2653" s="2">
        <v>1.0958904109589041E-2</v>
      </c>
    </row>
    <row r="2654" spans="2:6" x14ac:dyDescent="0.25">
      <c r="B2654" s="33">
        <v>1</v>
      </c>
      <c r="C2654" t="s">
        <v>69</v>
      </c>
      <c r="D2654" t="s">
        <v>234</v>
      </c>
      <c r="E2654">
        <v>17</v>
      </c>
      <c r="F2654" s="2">
        <v>8.21917808219178E-3</v>
      </c>
    </row>
    <row r="2655" spans="2:6" x14ac:dyDescent="0.25">
      <c r="B2655" s="33">
        <v>1</v>
      </c>
      <c r="C2655" t="s">
        <v>69</v>
      </c>
      <c r="D2655" t="s">
        <v>140</v>
      </c>
      <c r="E2655">
        <v>20</v>
      </c>
      <c r="F2655" s="2">
        <v>8.21917808219178E-3</v>
      </c>
    </row>
    <row r="2656" spans="2:6" x14ac:dyDescent="0.25">
      <c r="B2656" s="33">
        <v>1</v>
      </c>
      <c r="C2656" t="s">
        <v>88</v>
      </c>
      <c r="D2656" t="s">
        <v>117</v>
      </c>
      <c r="E2656">
        <v>2</v>
      </c>
      <c r="F2656" s="2">
        <v>1.643835616438356E-2</v>
      </c>
    </row>
    <row r="2657" spans="2:6" x14ac:dyDescent="0.25">
      <c r="B2657" s="33">
        <v>1</v>
      </c>
      <c r="C2657" t="s">
        <v>66</v>
      </c>
      <c r="D2657" t="s">
        <v>129</v>
      </c>
      <c r="E2657">
        <v>1</v>
      </c>
      <c r="F2657" s="2">
        <v>1.0958904109589041E-2</v>
      </c>
    </row>
    <row r="2658" spans="2:6" x14ac:dyDescent="0.25">
      <c r="B2658" s="33">
        <v>1</v>
      </c>
      <c r="C2658" t="s">
        <v>77</v>
      </c>
      <c r="D2658" t="s">
        <v>145</v>
      </c>
      <c r="E2658">
        <v>12</v>
      </c>
      <c r="F2658" s="2">
        <v>1.3698630136986301E-2</v>
      </c>
    </row>
    <row r="2659" spans="2:6" x14ac:dyDescent="0.25">
      <c r="B2659" s="33">
        <v>1</v>
      </c>
      <c r="C2659" t="s">
        <v>126</v>
      </c>
      <c r="D2659" t="s">
        <v>169</v>
      </c>
      <c r="E2659">
        <v>10</v>
      </c>
      <c r="F2659" s="2">
        <v>2.4657534246575342E-2</v>
      </c>
    </row>
    <row r="2660" spans="2:6" x14ac:dyDescent="0.25">
      <c r="B2660" s="33">
        <v>1</v>
      </c>
      <c r="C2660" t="s">
        <v>69</v>
      </c>
      <c r="D2660" t="s">
        <v>223</v>
      </c>
      <c r="E2660">
        <v>17</v>
      </c>
      <c r="F2660" s="2">
        <v>8.21917808219178E-3</v>
      </c>
    </row>
    <row r="2661" spans="2:6" x14ac:dyDescent="0.25">
      <c r="B2661" s="33">
        <v>1</v>
      </c>
      <c r="C2661" t="s">
        <v>66</v>
      </c>
      <c r="D2661" t="s">
        <v>239</v>
      </c>
      <c r="E2661">
        <v>17</v>
      </c>
      <c r="F2661" s="2">
        <v>1.0958904109589041E-2</v>
      </c>
    </row>
    <row r="2662" spans="2:6" x14ac:dyDescent="0.25">
      <c r="B2662" s="33">
        <v>1</v>
      </c>
      <c r="C2662" t="s">
        <v>103</v>
      </c>
      <c r="D2662" t="s">
        <v>194</v>
      </c>
      <c r="E2662">
        <v>1</v>
      </c>
      <c r="F2662" s="2">
        <v>5.4794520547945206E-3</v>
      </c>
    </row>
    <row r="2663" spans="2:6" x14ac:dyDescent="0.25">
      <c r="B2663" s="33">
        <v>1</v>
      </c>
      <c r="C2663" t="s">
        <v>1</v>
      </c>
      <c r="D2663" t="s">
        <v>176</v>
      </c>
      <c r="E2663">
        <v>3</v>
      </c>
      <c r="F2663" s="2">
        <v>1.0958904109589041E-2</v>
      </c>
    </row>
    <row r="2664" spans="2:6" x14ac:dyDescent="0.25">
      <c r="B2664" s="33">
        <v>1</v>
      </c>
      <c r="C2664" t="s">
        <v>0</v>
      </c>
      <c r="D2664" t="s">
        <v>150</v>
      </c>
      <c r="E2664">
        <v>5</v>
      </c>
      <c r="F2664" s="2">
        <v>1.643835616438356E-2</v>
      </c>
    </row>
    <row r="2665" spans="2:6" x14ac:dyDescent="0.25">
      <c r="B2665" s="33">
        <v>1</v>
      </c>
      <c r="C2665" t="s">
        <v>77</v>
      </c>
      <c r="D2665" t="s">
        <v>145</v>
      </c>
      <c r="E2665">
        <v>0</v>
      </c>
      <c r="F2665" s="2">
        <v>5.4794520547945206E-3</v>
      </c>
    </row>
    <row r="2666" spans="2:6" x14ac:dyDescent="0.25">
      <c r="B2666" s="33">
        <v>1</v>
      </c>
      <c r="C2666" t="s">
        <v>6</v>
      </c>
      <c r="D2666" t="s">
        <v>44</v>
      </c>
      <c r="E2666">
        <v>15</v>
      </c>
      <c r="F2666" s="2">
        <v>1.0958904109589041E-2</v>
      </c>
    </row>
    <row r="2667" spans="2:6" x14ac:dyDescent="0.25">
      <c r="B2667" s="33">
        <v>1</v>
      </c>
      <c r="C2667" t="s">
        <v>126</v>
      </c>
      <c r="D2667" t="s">
        <v>169</v>
      </c>
      <c r="E2667">
        <v>9</v>
      </c>
      <c r="F2667" s="2">
        <v>1.3698630136986301E-2</v>
      </c>
    </row>
    <row r="2668" spans="2:6" x14ac:dyDescent="0.25">
      <c r="B2668" s="33">
        <v>1</v>
      </c>
      <c r="C2668" t="s">
        <v>3</v>
      </c>
      <c r="D2668" t="s">
        <v>229</v>
      </c>
      <c r="E2668">
        <v>12</v>
      </c>
      <c r="F2668" s="2">
        <v>1.3698630136986301E-2</v>
      </c>
    </row>
    <row r="2669" spans="2:6" x14ac:dyDescent="0.25">
      <c r="B2669" s="33">
        <v>1</v>
      </c>
      <c r="C2669" t="s">
        <v>126</v>
      </c>
      <c r="D2669" t="s">
        <v>171</v>
      </c>
      <c r="E2669">
        <v>11</v>
      </c>
      <c r="F2669" s="2">
        <v>2.4657534246575342E-2</v>
      </c>
    </row>
    <row r="2670" spans="2:6" x14ac:dyDescent="0.25">
      <c r="B2670" s="33">
        <v>1</v>
      </c>
      <c r="C2670" t="s">
        <v>2</v>
      </c>
      <c r="D2670" t="s">
        <v>118</v>
      </c>
      <c r="E2670">
        <v>11</v>
      </c>
      <c r="F2670" s="2">
        <v>1.3698630136986301E-2</v>
      </c>
    </row>
    <row r="2671" spans="2:6" x14ac:dyDescent="0.25">
      <c r="B2671" s="33">
        <v>1</v>
      </c>
      <c r="C2671" t="s">
        <v>3</v>
      </c>
      <c r="D2671" t="s">
        <v>208</v>
      </c>
      <c r="E2671">
        <v>14</v>
      </c>
      <c r="F2671" s="2">
        <v>1.3698630136986301E-2</v>
      </c>
    </row>
    <row r="2672" spans="2:6" x14ac:dyDescent="0.25">
      <c r="B2672" s="33">
        <v>1</v>
      </c>
      <c r="C2672" t="s">
        <v>77</v>
      </c>
      <c r="D2672" t="s">
        <v>85</v>
      </c>
      <c r="E2672">
        <v>23</v>
      </c>
      <c r="F2672" s="2">
        <v>1.0958904109589041E-2</v>
      </c>
    </row>
    <row r="2673" spans="2:6" x14ac:dyDescent="0.25">
      <c r="B2673" s="33">
        <v>1</v>
      </c>
      <c r="C2673" t="s">
        <v>103</v>
      </c>
      <c r="D2673" t="s">
        <v>45</v>
      </c>
      <c r="E2673">
        <v>22</v>
      </c>
      <c r="F2673" s="2">
        <v>1.0958904109589041E-2</v>
      </c>
    </row>
    <row r="2674" spans="2:6" x14ac:dyDescent="0.25">
      <c r="B2674" s="33">
        <v>1</v>
      </c>
      <c r="C2674" t="s">
        <v>77</v>
      </c>
      <c r="D2674" t="s">
        <v>98</v>
      </c>
      <c r="E2674">
        <v>23</v>
      </c>
      <c r="F2674" s="2">
        <v>1.0958904109589041E-2</v>
      </c>
    </row>
    <row r="2675" spans="2:6" x14ac:dyDescent="0.25">
      <c r="B2675" s="33">
        <v>1</v>
      </c>
      <c r="C2675" t="s">
        <v>6</v>
      </c>
      <c r="D2675" t="s">
        <v>38</v>
      </c>
      <c r="E2675">
        <v>8</v>
      </c>
      <c r="F2675" s="2">
        <v>1.0958904109589041E-2</v>
      </c>
    </row>
    <row r="2676" spans="2:6" x14ac:dyDescent="0.25">
      <c r="B2676" s="33">
        <v>1</v>
      </c>
      <c r="C2676" t="s">
        <v>77</v>
      </c>
      <c r="D2676" t="s">
        <v>193</v>
      </c>
      <c r="E2676">
        <v>18</v>
      </c>
      <c r="F2676" s="2">
        <v>1.0958904109589041E-2</v>
      </c>
    </row>
    <row r="2677" spans="2:6" x14ac:dyDescent="0.25">
      <c r="B2677" s="33">
        <v>1</v>
      </c>
      <c r="C2677" t="s">
        <v>3</v>
      </c>
      <c r="D2677" t="s">
        <v>188</v>
      </c>
      <c r="E2677">
        <v>17</v>
      </c>
      <c r="F2677" s="2">
        <v>1.0958904109589041E-2</v>
      </c>
    </row>
    <row r="2678" spans="2:6" x14ac:dyDescent="0.25">
      <c r="B2678" s="33">
        <v>1</v>
      </c>
      <c r="C2678" t="s">
        <v>69</v>
      </c>
      <c r="D2678" t="s">
        <v>140</v>
      </c>
      <c r="E2678">
        <v>4</v>
      </c>
      <c r="F2678" s="2">
        <v>5.4794520547945206E-3</v>
      </c>
    </row>
    <row r="2679" spans="2:6" x14ac:dyDescent="0.25">
      <c r="B2679" s="33">
        <v>1</v>
      </c>
      <c r="C2679" t="s">
        <v>69</v>
      </c>
      <c r="D2679" t="s">
        <v>184</v>
      </c>
      <c r="E2679">
        <v>5</v>
      </c>
      <c r="F2679" s="2">
        <v>5.4794520547945206E-3</v>
      </c>
    </row>
    <row r="2680" spans="2:6" x14ac:dyDescent="0.25">
      <c r="B2680" s="33">
        <v>1</v>
      </c>
      <c r="C2680" t="s">
        <v>69</v>
      </c>
      <c r="D2680" t="s">
        <v>223</v>
      </c>
      <c r="E2680">
        <v>0</v>
      </c>
      <c r="F2680" s="2">
        <v>5.4794520547945206E-3</v>
      </c>
    </row>
    <row r="2681" spans="2:6" x14ac:dyDescent="0.25">
      <c r="B2681" s="33">
        <v>1</v>
      </c>
      <c r="C2681" t="s">
        <v>126</v>
      </c>
      <c r="D2681" t="s">
        <v>147</v>
      </c>
      <c r="E2681">
        <v>7</v>
      </c>
      <c r="F2681" s="2">
        <v>5.4794520547945206E-3</v>
      </c>
    </row>
    <row r="2682" spans="2:6" x14ac:dyDescent="0.25">
      <c r="B2682" s="33">
        <v>1</v>
      </c>
      <c r="C2682" t="s">
        <v>103</v>
      </c>
      <c r="D2682" t="s">
        <v>104</v>
      </c>
      <c r="E2682">
        <v>7</v>
      </c>
      <c r="F2682" s="2">
        <v>2.4657534246575342E-2</v>
      </c>
    </row>
    <row r="2683" spans="2:6" x14ac:dyDescent="0.25">
      <c r="B2683" s="33">
        <v>1</v>
      </c>
      <c r="C2683" t="s">
        <v>74</v>
      </c>
      <c r="D2683" t="s">
        <v>75</v>
      </c>
      <c r="E2683">
        <v>2</v>
      </c>
      <c r="F2683" s="2">
        <v>1.9178082191780823E-2</v>
      </c>
    </row>
    <row r="2684" spans="2:6" x14ac:dyDescent="0.25">
      <c r="B2684" s="33">
        <v>1</v>
      </c>
      <c r="C2684" t="s">
        <v>77</v>
      </c>
      <c r="D2684" t="s">
        <v>83</v>
      </c>
      <c r="E2684">
        <v>14</v>
      </c>
      <c r="F2684" s="2">
        <v>1.3698630136986301E-2</v>
      </c>
    </row>
    <row r="2685" spans="2:6" x14ac:dyDescent="0.25">
      <c r="B2685" s="33">
        <v>1</v>
      </c>
      <c r="C2685" t="s">
        <v>126</v>
      </c>
      <c r="D2685" t="s">
        <v>127</v>
      </c>
      <c r="E2685">
        <v>13</v>
      </c>
      <c r="F2685" s="2">
        <v>7.1232876712328766E-2</v>
      </c>
    </row>
    <row r="2686" spans="2:6" x14ac:dyDescent="0.25">
      <c r="B2686" s="33">
        <v>1</v>
      </c>
      <c r="C2686" t="s">
        <v>1</v>
      </c>
      <c r="D2686" t="s">
        <v>216</v>
      </c>
      <c r="E2686">
        <v>15</v>
      </c>
      <c r="F2686" s="2">
        <v>1.643835616438356E-2</v>
      </c>
    </row>
    <row r="2687" spans="2:6" x14ac:dyDescent="0.25">
      <c r="B2687" s="33">
        <v>1</v>
      </c>
      <c r="C2687" t="s">
        <v>4</v>
      </c>
      <c r="D2687" t="s">
        <v>178</v>
      </c>
      <c r="E2687">
        <v>17</v>
      </c>
      <c r="F2687" s="2">
        <v>2.4657534246575342E-2</v>
      </c>
    </row>
    <row r="2688" spans="2:6" x14ac:dyDescent="0.25">
      <c r="B2688" s="33">
        <v>1</v>
      </c>
      <c r="C2688" t="s">
        <v>1</v>
      </c>
      <c r="D2688" t="s">
        <v>214</v>
      </c>
      <c r="E2688">
        <v>21</v>
      </c>
      <c r="F2688" s="2">
        <v>1.0958904109589041E-2</v>
      </c>
    </row>
    <row r="2689" spans="2:6" x14ac:dyDescent="0.25">
      <c r="B2689" s="33">
        <v>1</v>
      </c>
      <c r="C2689" t="s">
        <v>77</v>
      </c>
      <c r="D2689" t="s">
        <v>83</v>
      </c>
      <c r="E2689">
        <v>21</v>
      </c>
      <c r="F2689" s="2">
        <v>1.0958904109589041E-2</v>
      </c>
    </row>
    <row r="2690" spans="2:6" x14ac:dyDescent="0.25">
      <c r="B2690" s="33">
        <v>1</v>
      </c>
      <c r="C2690" t="s">
        <v>4</v>
      </c>
      <c r="D2690" t="s">
        <v>166</v>
      </c>
      <c r="E2690">
        <v>23</v>
      </c>
      <c r="F2690" s="2">
        <v>2.1917808219178082E-2</v>
      </c>
    </row>
    <row r="2691" spans="2:6" x14ac:dyDescent="0.25">
      <c r="B2691" s="33">
        <v>1</v>
      </c>
      <c r="C2691" t="s">
        <v>66</v>
      </c>
      <c r="D2691" t="s">
        <v>227</v>
      </c>
      <c r="E2691">
        <v>17</v>
      </c>
      <c r="F2691" s="2">
        <v>1.0958904109589041E-2</v>
      </c>
    </row>
    <row r="2692" spans="2:6" x14ac:dyDescent="0.25">
      <c r="B2692" s="33">
        <v>1</v>
      </c>
      <c r="C2692" t="s">
        <v>66</v>
      </c>
      <c r="D2692" t="s">
        <v>239</v>
      </c>
      <c r="E2692">
        <v>4</v>
      </c>
      <c r="F2692" s="2">
        <v>8.21917808219178E-3</v>
      </c>
    </row>
    <row r="2693" spans="2:6" x14ac:dyDescent="0.25">
      <c r="B2693" s="33">
        <v>1</v>
      </c>
      <c r="C2693" t="s">
        <v>1</v>
      </c>
      <c r="D2693" t="s">
        <v>217</v>
      </c>
      <c r="E2693">
        <v>7</v>
      </c>
      <c r="F2693" s="2">
        <v>1.0958904109589041E-2</v>
      </c>
    </row>
    <row r="2694" spans="2:6" x14ac:dyDescent="0.25">
      <c r="B2694" s="33">
        <v>1</v>
      </c>
      <c r="C2694" t="s">
        <v>69</v>
      </c>
      <c r="D2694" t="s">
        <v>159</v>
      </c>
      <c r="E2694">
        <v>3</v>
      </c>
      <c r="F2694" s="2">
        <v>5.4794520547945206E-3</v>
      </c>
    </row>
    <row r="2695" spans="2:6" x14ac:dyDescent="0.25">
      <c r="B2695" s="33">
        <v>1</v>
      </c>
      <c r="C2695" t="s">
        <v>3</v>
      </c>
      <c r="D2695" t="s">
        <v>186</v>
      </c>
      <c r="E2695">
        <v>2</v>
      </c>
      <c r="F2695" s="2">
        <v>8.21917808219178E-3</v>
      </c>
    </row>
    <row r="2696" spans="2:6" x14ac:dyDescent="0.25">
      <c r="B2696" s="33">
        <v>1</v>
      </c>
      <c r="C2696" t="s">
        <v>1</v>
      </c>
      <c r="D2696" t="s">
        <v>176</v>
      </c>
      <c r="E2696">
        <v>0</v>
      </c>
      <c r="F2696" s="2">
        <v>1.0958904109589041E-2</v>
      </c>
    </row>
    <row r="2697" spans="2:6" x14ac:dyDescent="0.25">
      <c r="B2697" s="33">
        <v>1</v>
      </c>
      <c r="C2697" t="s">
        <v>103</v>
      </c>
      <c r="D2697" t="s">
        <v>158</v>
      </c>
      <c r="E2697">
        <v>7</v>
      </c>
      <c r="F2697" s="2">
        <v>8.21917808219178E-3</v>
      </c>
    </row>
    <row r="2698" spans="2:6" x14ac:dyDescent="0.25">
      <c r="B2698" s="33">
        <v>1</v>
      </c>
      <c r="C2698" t="s">
        <v>69</v>
      </c>
      <c r="D2698" t="s">
        <v>231</v>
      </c>
      <c r="E2698">
        <v>13</v>
      </c>
      <c r="F2698" s="2">
        <v>1.0958904109589041E-2</v>
      </c>
    </row>
    <row r="2699" spans="2:6" x14ac:dyDescent="0.25">
      <c r="B2699" s="33">
        <v>1</v>
      </c>
      <c r="C2699" t="s">
        <v>74</v>
      </c>
      <c r="D2699" t="s">
        <v>221</v>
      </c>
      <c r="E2699">
        <v>10</v>
      </c>
      <c r="F2699" s="2">
        <v>1.643835616438356E-2</v>
      </c>
    </row>
    <row r="2700" spans="2:6" x14ac:dyDescent="0.25">
      <c r="B2700" s="33">
        <v>1</v>
      </c>
      <c r="C2700" t="s">
        <v>64</v>
      </c>
      <c r="D2700" t="s">
        <v>213</v>
      </c>
      <c r="E2700">
        <v>12</v>
      </c>
      <c r="F2700" s="2">
        <v>1.0958904109589041E-2</v>
      </c>
    </row>
    <row r="2701" spans="2:6" x14ac:dyDescent="0.25">
      <c r="B2701" s="33">
        <v>1</v>
      </c>
      <c r="C2701" t="s">
        <v>3</v>
      </c>
      <c r="D2701" t="s">
        <v>138</v>
      </c>
      <c r="E2701">
        <v>12</v>
      </c>
      <c r="F2701" s="2">
        <v>1.3698630136986301E-2</v>
      </c>
    </row>
    <row r="2702" spans="2:6" x14ac:dyDescent="0.25">
      <c r="B2702" s="33">
        <v>1</v>
      </c>
      <c r="C2702" t="s">
        <v>3</v>
      </c>
      <c r="D2702" t="s">
        <v>188</v>
      </c>
      <c r="E2702">
        <v>12</v>
      </c>
      <c r="F2702" s="2">
        <v>1.3698630136986301E-2</v>
      </c>
    </row>
    <row r="2703" spans="2:6" x14ac:dyDescent="0.25">
      <c r="B2703" s="33">
        <v>1</v>
      </c>
      <c r="C2703" t="s">
        <v>77</v>
      </c>
      <c r="D2703" t="s">
        <v>196</v>
      </c>
      <c r="E2703">
        <v>15</v>
      </c>
      <c r="F2703" s="2">
        <v>1.3698630136986301E-2</v>
      </c>
    </row>
    <row r="2704" spans="2:6" x14ac:dyDescent="0.25">
      <c r="B2704" s="33">
        <v>1</v>
      </c>
      <c r="C2704" t="s">
        <v>77</v>
      </c>
      <c r="D2704" t="s">
        <v>85</v>
      </c>
      <c r="E2704">
        <v>10</v>
      </c>
      <c r="F2704" s="2">
        <v>1.3698630136986301E-2</v>
      </c>
    </row>
    <row r="2705" spans="2:6" x14ac:dyDescent="0.25">
      <c r="B2705" s="33">
        <v>1</v>
      </c>
      <c r="C2705" t="s">
        <v>3</v>
      </c>
      <c r="D2705" t="s">
        <v>207</v>
      </c>
      <c r="E2705">
        <v>17</v>
      </c>
      <c r="F2705" s="2">
        <v>1.0958904109589041E-2</v>
      </c>
    </row>
    <row r="2706" spans="2:6" x14ac:dyDescent="0.25">
      <c r="B2706" s="33">
        <v>1</v>
      </c>
      <c r="C2706" t="s">
        <v>3</v>
      </c>
      <c r="D2706" t="s">
        <v>138</v>
      </c>
      <c r="E2706">
        <v>17</v>
      </c>
      <c r="F2706" s="2">
        <v>1.0958904109589041E-2</v>
      </c>
    </row>
    <row r="2707" spans="2:6" x14ac:dyDescent="0.25">
      <c r="B2707" s="33">
        <v>1</v>
      </c>
      <c r="C2707" t="s">
        <v>66</v>
      </c>
      <c r="D2707" t="s">
        <v>129</v>
      </c>
      <c r="E2707">
        <v>4</v>
      </c>
      <c r="F2707" s="2">
        <v>8.21917808219178E-3</v>
      </c>
    </row>
    <row r="2708" spans="2:6" x14ac:dyDescent="0.25">
      <c r="B2708" s="33">
        <v>1</v>
      </c>
      <c r="C2708" t="s">
        <v>69</v>
      </c>
      <c r="D2708" t="s">
        <v>183</v>
      </c>
      <c r="E2708">
        <v>13</v>
      </c>
      <c r="F2708" s="2">
        <v>1.0958904109589041E-2</v>
      </c>
    </row>
    <row r="2709" spans="2:6" x14ac:dyDescent="0.25">
      <c r="B2709" s="33">
        <v>1</v>
      </c>
      <c r="C2709" t="s">
        <v>77</v>
      </c>
      <c r="D2709" t="s">
        <v>136</v>
      </c>
      <c r="E2709">
        <v>15</v>
      </c>
      <c r="F2709" s="2">
        <v>1.3698630136986301E-2</v>
      </c>
    </row>
    <row r="2710" spans="2:6" x14ac:dyDescent="0.25">
      <c r="B2710" s="33">
        <v>1</v>
      </c>
      <c r="C2710" t="s">
        <v>77</v>
      </c>
      <c r="D2710" t="s">
        <v>123</v>
      </c>
      <c r="E2710">
        <v>13</v>
      </c>
      <c r="F2710" s="2">
        <v>1.3698630136986301E-2</v>
      </c>
    </row>
    <row r="2711" spans="2:6" x14ac:dyDescent="0.25">
      <c r="B2711" s="33">
        <v>1</v>
      </c>
      <c r="C2711" t="s">
        <v>69</v>
      </c>
      <c r="D2711" t="s">
        <v>234</v>
      </c>
      <c r="E2711">
        <v>10</v>
      </c>
      <c r="F2711" s="2">
        <v>1.0958904109589041E-2</v>
      </c>
    </row>
    <row r="2712" spans="2:6" x14ac:dyDescent="0.25">
      <c r="B2712" s="33">
        <v>1</v>
      </c>
      <c r="C2712" t="s">
        <v>126</v>
      </c>
      <c r="D2712" t="s">
        <v>171</v>
      </c>
      <c r="E2712">
        <v>17</v>
      </c>
      <c r="F2712" s="2">
        <v>1.643835616438356E-2</v>
      </c>
    </row>
    <row r="2713" spans="2:6" x14ac:dyDescent="0.25">
      <c r="B2713" s="33">
        <v>1</v>
      </c>
      <c r="C2713" t="s">
        <v>88</v>
      </c>
      <c r="D2713" t="s">
        <v>201</v>
      </c>
      <c r="E2713">
        <v>2</v>
      </c>
      <c r="F2713" s="2">
        <v>1.3698630136986301E-2</v>
      </c>
    </row>
    <row r="2714" spans="2:6" x14ac:dyDescent="0.25">
      <c r="B2714" s="33">
        <v>1</v>
      </c>
      <c r="C2714" t="s">
        <v>0</v>
      </c>
      <c r="D2714" t="s">
        <v>111</v>
      </c>
      <c r="E2714">
        <v>5</v>
      </c>
      <c r="F2714" s="2">
        <v>1.3698630136986301E-2</v>
      </c>
    </row>
    <row r="2715" spans="2:6" x14ac:dyDescent="0.25">
      <c r="B2715" s="33">
        <v>1</v>
      </c>
      <c r="C2715" t="s">
        <v>1</v>
      </c>
      <c r="D2715" t="s">
        <v>176</v>
      </c>
      <c r="E2715">
        <v>4</v>
      </c>
      <c r="F2715" s="2">
        <v>8.21917808219178E-3</v>
      </c>
    </row>
    <row r="2716" spans="2:6" x14ac:dyDescent="0.25">
      <c r="B2716" s="33">
        <v>1</v>
      </c>
      <c r="C2716" t="s">
        <v>74</v>
      </c>
      <c r="D2716" t="s">
        <v>174</v>
      </c>
      <c r="E2716">
        <v>5</v>
      </c>
      <c r="F2716" s="2">
        <v>1.643835616438356E-2</v>
      </c>
    </row>
    <row r="2717" spans="2:6" x14ac:dyDescent="0.25">
      <c r="B2717" s="33">
        <v>1</v>
      </c>
      <c r="C2717" t="s">
        <v>69</v>
      </c>
      <c r="D2717" t="s">
        <v>86</v>
      </c>
      <c r="E2717">
        <v>1</v>
      </c>
      <c r="F2717" s="2">
        <v>5.4794520547945206E-3</v>
      </c>
    </row>
    <row r="2718" spans="2:6" x14ac:dyDescent="0.25">
      <c r="B2718" s="33">
        <v>1</v>
      </c>
      <c r="C2718" t="s">
        <v>1</v>
      </c>
      <c r="D2718" t="s">
        <v>176</v>
      </c>
      <c r="E2718">
        <v>12</v>
      </c>
      <c r="F2718" s="2">
        <v>1.643835616438356E-2</v>
      </c>
    </row>
    <row r="2719" spans="2:6" x14ac:dyDescent="0.25">
      <c r="B2719" s="33">
        <v>1</v>
      </c>
      <c r="C2719" t="s">
        <v>4</v>
      </c>
      <c r="D2719" t="s">
        <v>166</v>
      </c>
      <c r="E2719">
        <v>9</v>
      </c>
      <c r="F2719" s="2">
        <v>1.3698630136986301E-2</v>
      </c>
    </row>
    <row r="2720" spans="2:6" x14ac:dyDescent="0.25">
      <c r="B2720" s="33">
        <v>1</v>
      </c>
      <c r="C2720" t="s">
        <v>64</v>
      </c>
      <c r="D2720" t="s">
        <v>175</v>
      </c>
      <c r="E2720">
        <v>17</v>
      </c>
      <c r="F2720" s="2">
        <v>3.8356164383561646E-2</v>
      </c>
    </row>
    <row r="2721" spans="2:6" x14ac:dyDescent="0.25">
      <c r="B2721" s="33">
        <v>1</v>
      </c>
      <c r="C2721" t="s">
        <v>77</v>
      </c>
      <c r="D2721" t="s">
        <v>101</v>
      </c>
      <c r="E2721">
        <v>23</v>
      </c>
      <c r="F2721" s="2">
        <v>1.0958904109589041E-2</v>
      </c>
    </row>
    <row r="2722" spans="2:6" x14ac:dyDescent="0.25">
      <c r="B2722" s="33">
        <v>1</v>
      </c>
      <c r="C2722" t="s">
        <v>1</v>
      </c>
      <c r="D2722" t="s">
        <v>216</v>
      </c>
      <c r="E2722">
        <v>20</v>
      </c>
      <c r="F2722" s="2">
        <v>1.0958904109589041E-2</v>
      </c>
    </row>
    <row r="2723" spans="2:6" x14ac:dyDescent="0.25">
      <c r="B2723" s="33">
        <v>1</v>
      </c>
      <c r="C2723" t="s">
        <v>4</v>
      </c>
      <c r="D2723" t="s">
        <v>166</v>
      </c>
      <c r="E2723">
        <v>22</v>
      </c>
      <c r="F2723" s="2">
        <v>1.9178082191780823E-2</v>
      </c>
    </row>
    <row r="2724" spans="2:6" x14ac:dyDescent="0.25">
      <c r="B2724" s="33">
        <v>1</v>
      </c>
      <c r="C2724" t="s">
        <v>88</v>
      </c>
      <c r="D2724" t="s">
        <v>201</v>
      </c>
      <c r="E2724">
        <v>20</v>
      </c>
      <c r="F2724" s="2">
        <v>2.7397260273972601E-2</v>
      </c>
    </row>
    <row r="2725" spans="2:6" x14ac:dyDescent="0.25">
      <c r="B2725" s="33">
        <v>1</v>
      </c>
      <c r="C2725" t="s">
        <v>64</v>
      </c>
      <c r="D2725" t="s">
        <v>68</v>
      </c>
      <c r="E2725">
        <v>22</v>
      </c>
      <c r="F2725" s="2">
        <v>2.4657534246575342E-2</v>
      </c>
    </row>
    <row r="2726" spans="2:6" x14ac:dyDescent="0.25">
      <c r="B2726" s="33">
        <v>1</v>
      </c>
      <c r="C2726" t="s">
        <v>3</v>
      </c>
      <c r="D2726" t="s">
        <v>84</v>
      </c>
      <c r="E2726">
        <v>23</v>
      </c>
      <c r="F2726" s="2">
        <v>1.0958904109589041E-2</v>
      </c>
    </row>
    <row r="2727" spans="2:6" x14ac:dyDescent="0.25">
      <c r="B2727" s="33">
        <v>1</v>
      </c>
      <c r="C2727" t="s">
        <v>6</v>
      </c>
      <c r="D2727" t="s">
        <v>42</v>
      </c>
      <c r="E2727">
        <v>1</v>
      </c>
      <c r="F2727" s="2">
        <v>1.0958904109589041E-2</v>
      </c>
    </row>
    <row r="2728" spans="2:6" x14ac:dyDescent="0.25">
      <c r="B2728" s="33">
        <v>1</v>
      </c>
      <c r="C2728" t="s">
        <v>103</v>
      </c>
      <c r="D2728" t="s">
        <v>167</v>
      </c>
      <c r="E2728">
        <v>23</v>
      </c>
      <c r="F2728" s="2">
        <v>8.21917808219178E-3</v>
      </c>
    </row>
    <row r="2729" spans="2:6" x14ac:dyDescent="0.25">
      <c r="B2729" s="33">
        <v>1</v>
      </c>
      <c r="C2729" t="s">
        <v>66</v>
      </c>
      <c r="D2729" t="s">
        <v>93</v>
      </c>
      <c r="E2729">
        <v>3</v>
      </c>
      <c r="F2729" s="2">
        <v>8.21917808219178E-3</v>
      </c>
    </row>
    <row r="2730" spans="2:6" x14ac:dyDescent="0.25">
      <c r="B2730" s="33">
        <v>1</v>
      </c>
      <c r="C2730" t="s">
        <v>3</v>
      </c>
      <c r="D2730" t="s">
        <v>188</v>
      </c>
      <c r="E2730">
        <v>2</v>
      </c>
      <c r="F2730" s="2">
        <v>8.21917808219178E-3</v>
      </c>
    </row>
    <row r="2731" spans="2:6" x14ac:dyDescent="0.25">
      <c r="B2731" s="33">
        <v>1</v>
      </c>
      <c r="C2731" t="s">
        <v>3</v>
      </c>
      <c r="D2731" t="s">
        <v>191</v>
      </c>
      <c r="E2731">
        <v>6</v>
      </c>
      <c r="F2731" s="2">
        <v>8.21917808219178E-3</v>
      </c>
    </row>
    <row r="2732" spans="2:6" x14ac:dyDescent="0.25">
      <c r="B2732" s="33">
        <v>1</v>
      </c>
      <c r="C2732" t="s">
        <v>88</v>
      </c>
      <c r="D2732" t="s">
        <v>114</v>
      </c>
      <c r="E2732">
        <v>3</v>
      </c>
      <c r="F2732" s="2">
        <v>1.3698630136986301E-2</v>
      </c>
    </row>
    <row r="2733" spans="2:6" x14ac:dyDescent="0.25">
      <c r="B2733" s="33">
        <v>1</v>
      </c>
      <c r="C2733" t="s">
        <v>6</v>
      </c>
      <c r="D2733" t="s">
        <v>44</v>
      </c>
      <c r="E2733">
        <v>11</v>
      </c>
      <c r="F2733" s="2">
        <v>1.0958904109589041E-2</v>
      </c>
    </row>
    <row r="2734" spans="2:6" x14ac:dyDescent="0.25">
      <c r="B2734" s="33">
        <v>1</v>
      </c>
      <c r="C2734" t="s">
        <v>90</v>
      </c>
      <c r="D2734" t="s">
        <v>109</v>
      </c>
      <c r="E2734">
        <v>5</v>
      </c>
      <c r="F2734" s="2">
        <v>1.0958904109589041E-2</v>
      </c>
    </row>
    <row r="2735" spans="2:6" x14ac:dyDescent="0.25">
      <c r="B2735" s="33">
        <v>1</v>
      </c>
      <c r="C2735" t="s">
        <v>3</v>
      </c>
      <c r="D2735" t="s">
        <v>119</v>
      </c>
      <c r="E2735">
        <v>3</v>
      </c>
      <c r="F2735" s="2">
        <v>8.21917808219178E-3</v>
      </c>
    </row>
    <row r="2736" spans="2:6" x14ac:dyDescent="0.25">
      <c r="B2736" s="33">
        <v>1</v>
      </c>
      <c r="C2736" t="s">
        <v>88</v>
      </c>
      <c r="D2736" t="s">
        <v>156</v>
      </c>
      <c r="E2736">
        <v>5</v>
      </c>
      <c r="F2736" s="2">
        <v>1.3698630136986301E-2</v>
      </c>
    </row>
    <row r="2737" spans="2:6" x14ac:dyDescent="0.25">
      <c r="B2737" s="33">
        <v>1</v>
      </c>
      <c r="C2737" t="s">
        <v>2</v>
      </c>
      <c r="D2737" t="s">
        <v>118</v>
      </c>
      <c r="E2737">
        <v>15</v>
      </c>
      <c r="F2737" s="2">
        <v>1.3698630136986301E-2</v>
      </c>
    </row>
    <row r="2738" spans="2:6" x14ac:dyDescent="0.25">
      <c r="B2738" s="33">
        <v>1</v>
      </c>
      <c r="C2738" t="s">
        <v>66</v>
      </c>
      <c r="D2738" t="s">
        <v>212</v>
      </c>
      <c r="E2738">
        <v>14</v>
      </c>
      <c r="F2738" s="2">
        <v>1.0958904109589041E-2</v>
      </c>
    </row>
    <row r="2739" spans="2:6" x14ac:dyDescent="0.25">
      <c r="B2739" s="33">
        <v>1</v>
      </c>
      <c r="C2739" t="s">
        <v>69</v>
      </c>
      <c r="D2739" t="s">
        <v>199</v>
      </c>
      <c r="E2739">
        <v>11</v>
      </c>
      <c r="F2739" s="2">
        <v>1.0958904109589041E-2</v>
      </c>
    </row>
    <row r="2740" spans="2:6" x14ac:dyDescent="0.25">
      <c r="B2740" s="33">
        <v>1</v>
      </c>
      <c r="C2740" t="s">
        <v>69</v>
      </c>
      <c r="D2740" t="s">
        <v>228</v>
      </c>
      <c r="E2740">
        <v>18</v>
      </c>
      <c r="F2740" s="2">
        <v>8.21917808219178E-3</v>
      </c>
    </row>
    <row r="2741" spans="2:6" x14ac:dyDescent="0.25">
      <c r="B2741" s="33">
        <v>1</v>
      </c>
      <c r="C2741" t="s">
        <v>66</v>
      </c>
      <c r="D2741" t="s">
        <v>238</v>
      </c>
      <c r="E2741">
        <v>19</v>
      </c>
      <c r="F2741" s="2">
        <v>1.0958904109589041E-2</v>
      </c>
    </row>
    <row r="2742" spans="2:6" x14ac:dyDescent="0.25">
      <c r="B2742" s="33">
        <v>1</v>
      </c>
      <c r="C2742" t="s">
        <v>2</v>
      </c>
      <c r="D2742" t="s">
        <v>198</v>
      </c>
      <c r="E2742">
        <v>20</v>
      </c>
      <c r="F2742" s="2">
        <v>1.643835616438356E-2</v>
      </c>
    </row>
    <row r="2743" spans="2:6" x14ac:dyDescent="0.25">
      <c r="B2743" s="33">
        <v>1</v>
      </c>
      <c r="C2743" t="s">
        <v>2</v>
      </c>
      <c r="D2743" t="s">
        <v>232</v>
      </c>
      <c r="E2743">
        <v>20</v>
      </c>
      <c r="F2743" s="2">
        <v>1.643835616438356E-2</v>
      </c>
    </row>
    <row r="2744" spans="2:6" x14ac:dyDescent="0.25">
      <c r="B2744" s="33">
        <v>1</v>
      </c>
      <c r="C2744" t="s">
        <v>77</v>
      </c>
      <c r="D2744" t="s">
        <v>136</v>
      </c>
      <c r="E2744">
        <v>4</v>
      </c>
      <c r="F2744" s="2">
        <v>5.4794520547945206E-3</v>
      </c>
    </row>
    <row r="2745" spans="2:6" x14ac:dyDescent="0.25">
      <c r="B2745" s="33">
        <v>1</v>
      </c>
      <c r="C2745" t="s">
        <v>64</v>
      </c>
      <c r="D2745" t="s">
        <v>115</v>
      </c>
      <c r="E2745">
        <v>5</v>
      </c>
      <c r="F2745" s="2">
        <v>1.0958904109589041E-2</v>
      </c>
    </row>
    <row r="2746" spans="2:6" x14ac:dyDescent="0.25">
      <c r="B2746" s="33">
        <v>1</v>
      </c>
      <c r="C2746" t="s">
        <v>69</v>
      </c>
      <c r="D2746" t="s">
        <v>183</v>
      </c>
      <c r="E2746">
        <v>9</v>
      </c>
      <c r="F2746" s="2">
        <v>1.0958904109589041E-2</v>
      </c>
    </row>
    <row r="2747" spans="2:6" x14ac:dyDescent="0.25">
      <c r="B2747" s="33">
        <v>1</v>
      </c>
      <c r="C2747" t="s">
        <v>77</v>
      </c>
      <c r="D2747" t="s">
        <v>192</v>
      </c>
      <c r="E2747">
        <v>13</v>
      </c>
      <c r="F2747" s="2">
        <v>1.3698630136986301E-2</v>
      </c>
    </row>
    <row r="2748" spans="2:6" x14ac:dyDescent="0.25">
      <c r="B2748" s="33">
        <v>1</v>
      </c>
      <c r="C2748" t="s">
        <v>69</v>
      </c>
      <c r="D2748" t="s">
        <v>218</v>
      </c>
      <c r="E2748">
        <v>21</v>
      </c>
      <c r="F2748" s="2">
        <v>8.21917808219178E-3</v>
      </c>
    </row>
    <row r="2749" spans="2:6" x14ac:dyDescent="0.25">
      <c r="B2749" s="33">
        <v>1</v>
      </c>
      <c r="C2749" t="s">
        <v>2</v>
      </c>
      <c r="D2749" t="s">
        <v>170</v>
      </c>
      <c r="E2749">
        <v>21</v>
      </c>
      <c r="F2749" s="2">
        <v>1.643835616438356E-2</v>
      </c>
    </row>
    <row r="2750" spans="2:6" x14ac:dyDescent="0.25">
      <c r="B2750" s="33">
        <v>1</v>
      </c>
      <c r="C2750" t="s">
        <v>3</v>
      </c>
      <c r="D2750" t="s">
        <v>203</v>
      </c>
      <c r="E2750">
        <v>16</v>
      </c>
      <c r="F2750" s="2">
        <v>1.0958904109589041E-2</v>
      </c>
    </row>
    <row r="2751" spans="2:6" x14ac:dyDescent="0.25">
      <c r="B2751" s="33">
        <v>1</v>
      </c>
      <c r="C2751" t="s">
        <v>90</v>
      </c>
      <c r="D2751" t="s">
        <v>164</v>
      </c>
      <c r="E2751">
        <v>2</v>
      </c>
      <c r="F2751" s="2">
        <v>5.4794520547945206E-3</v>
      </c>
    </row>
    <row r="2752" spans="2:6" x14ac:dyDescent="0.25">
      <c r="B2752" s="33">
        <v>1</v>
      </c>
      <c r="C2752" t="s">
        <v>77</v>
      </c>
      <c r="D2752" t="s">
        <v>97</v>
      </c>
      <c r="E2752">
        <v>4</v>
      </c>
      <c r="F2752" s="2">
        <v>5.4794520547945206E-3</v>
      </c>
    </row>
    <row r="2753" spans="2:6" x14ac:dyDescent="0.25">
      <c r="B2753" s="33">
        <v>1</v>
      </c>
      <c r="C2753" t="s">
        <v>1</v>
      </c>
      <c r="D2753" t="s">
        <v>94</v>
      </c>
      <c r="E2753">
        <v>4</v>
      </c>
      <c r="F2753" s="2">
        <v>8.21917808219178E-3</v>
      </c>
    </row>
    <row r="2754" spans="2:6" x14ac:dyDescent="0.25">
      <c r="B2754" s="33">
        <v>1</v>
      </c>
      <c r="C2754" t="s">
        <v>3</v>
      </c>
      <c r="D2754" t="s">
        <v>119</v>
      </c>
      <c r="E2754">
        <v>14</v>
      </c>
      <c r="F2754" s="2">
        <v>1.3698630136986301E-2</v>
      </c>
    </row>
    <row r="2755" spans="2:6" x14ac:dyDescent="0.25">
      <c r="B2755" s="33">
        <v>1</v>
      </c>
      <c r="C2755" t="s">
        <v>77</v>
      </c>
      <c r="D2755" t="s">
        <v>225</v>
      </c>
      <c r="E2755">
        <v>15</v>
      </c>
      <c r="F2755" s="2">
        <v>1.3698630136986301E-2</v>
      </c>
    </row>
    <row r="2756" spans="2:6" x14ac:dyDescent="0.25">
      <c r="B2756" s="33">
        <v>1</v>
      </c>
      <c r="C2756" t="s">
        <v>69</v>
      </c>
      <c r="D2756" t="s">
        <v>234</v>
      </c>
      <c r="E2756">
        <v>11</v>
      </c>
      <c r="F2756" s="2">
        <v>1.0958904109589041E-2</v>
      </c>
    </row>
    <row r="2757" spans="2:6" x14ac:dyDescent="0.25">
      <c r="B2757" s="33">
        <v>1</v>
      </c>
      <c r="C2757" t="s">
        <v>1</v>
      </c>
      <c r="D2757" t="s">
        <v>217</v>
      </c>
      <c r="E2757">
        <v>14</v>
      </c>
      <c r="F2757" s="2">
        <v>1.643835616438356E-2</v>
      </c>
    </row>
    <row r="2758" spans="2:6" x14ac:dyDescent="0.25">
      <c r="B2758" s="33">
        <v>1</v>
      </c>
      <c r="C2758" t="s">
        <v>72</v>
      </c>
      <c r="D2758" t="s">
        <v>187</v>
      </c>
      <c r="E2758">
        <v>22</v>
      </c>
      <c r="F2758" s="2">
        <v>1.643835616438356E-2</v>
      </c>
    </row>
    <row r="2759" spans="2:6" x14ac:dyDescent="0.25">
      <c r="B2759" s="33">
        <v>1</v>
      </c>
      <c r="C2759" t="s">
        <v>3</v>
      </c>
      <c r="D2759" t="s">
        <v>173</v>
      </c>
      <c r="E2759">
        <v>23</v>
      </c>
      <c r="F2759" s="2">
        <v>1.0958904109589041E-2</v>
      </c>
    </row>
    <row r="2760" spans="2:6" x14ac:dyDescent="0.25">
      <c r="B2760" s="33">
        <v>1</v>
      </c>
      <c r="C2760" t="s">
        <v>77</v>
      </c>
      <c r="D2760" t="s">
        <v>123</v>
      </c>
      <c r="E2760">
        <v>23</v>
      </c>
      <c r="F2760" s="2">
        <v>1.0958904109589041E-2</v>
      </c>
    </row>
    <row r="2761" spans="2:6" x14ac:dyDescent="0.25">
      <c r="B2761" s="33">
        <v>1</v>
      </c>
      <c r="C2761" t="s">
        <v>126</v>
      </c>
      <c r="D2761" t="s">
        <v>169</v>
      </c>
      <c r="E2761">
        <v>20</v>
      </c>
      <c r="F2761" s="2">
        <v>1.3698630136986301E-2</v>
      </c>
    </row>
    <row r="2762" spans="2:6" x14ac:dyDescent="0.25">
      <c r="B2762" s="33">
        <v>1</v>
      </c>
      <c r="C2762" t="s">
        <v>126</v>
      </c>
      <c r="D2762" t="s">
        <v>127</v>
      </c>
      <c r="E2762">
        <v>0</v>
      </c>
      <c r="F2762" s="2">
        <v>1.0958904109589041E-2</v>
      </c>
    </row>
    <row r="2763" spans="2:6" x14ac:dyDescent="0.25">
      <c r="B2763" s="33">
        <v>1</v>
      </c>
      <c r="C2763" t="s">
        <v>64</v>
      </c>
      <c r="D2763" t="s">
        <v>179</v>
      </c>
      <c r="E2763">
        <v>3</v>
      </c>
      <c r="F2763" s="2">
        <v>1.0958904109589041E-2</v>
      </c>
    </row>
    <row r="2764" spans="2:6" x14ac:dyDescent="0.25">
      <c r="B2764" s="33">
        <v>1</v>
      </c>
      <c r="C2764" t="s">
        <v>66</v>
      </c>
      <c r="D2764" t="s">
        <v>93</v>
      </c>
      <c r="E2764">
        <v>0</v>
      </c>
      <c r="F2764" s="2">
        <v>8.21917808219178E-3</v>
      </c>
    </row>
    <row r="2765" spans="2:6" x14ac:dyDescent="0.25">
      <c r="B2765" s="33">
        <v>1</v>
      </c>
      <c r="C2765" t="s">
        <v>64</v>
      </c>
      <c r="D2765" t="s">
        <v>175</v>
      </c>
      <c r="E2765">
        <v>0</v>
      </c>
      <c r="F2765" s="2">
        <v>1.0958904109589041E-2</v>
      </c>
    </row>
    <row r="2766" spans="2:6" x14ac:dyDescent="0.25">
      <c r="B2766" s="33">
        <v>1</v>
      </c>
      <c r="C2766" t="s">
        <v>3</v>
      </c>
      <c r="D2766" t="s">
        <v>203</v>
      </c>
      <c r="E2766">
        <v>0</v>
      </c>
      <c r="F2766" s="2">
        <v>8.21917808219178E-3</v>
      </c>
    </row>
    <row r="2767" spans="2:6" x14ac:dyDescent="0.25">
      <c r="B2767" s="33">
        <v>1</v>
      </c>
      <c r="C2767" t="s">
        <v>72</v>
      </c>
      <c r="D2767" t="s">
        <v>240</v>
      </c>
      <c r="E2767">
        <v>10</v>
      </c>
      <c r="F2767" s="2">
        <v>1.3698630136986301E-2</v>
      </c>
    </row>
    <row r="2768" spans="2:6" x14ac:dyDescent="0.25">
      <c r="B2768" s="33">
        <v>1</v>
      </c>
      <c r="C2768" t="s">
        <v>64</v>
      </c>
      <c r="D2768" t="s">
        <v>213</v>
      </c>
      <c r="E2768">
        <v>13</v>
      </c>
      <c r="F2768" s="2">
        <v>1.0958904109589041E-2</v>
      </c>
    </row>
    <row r="2769" spans="2:6" x14ac:dyDescent="0.25">
      <c r="B2769" s="33">
        <v>1</v>
      </c>
      <c r="C2769" t="s">
        <v>77</v>
      </c>
      <c r="D2769" t="s">
        <v>162</v>
      </c>
      <c r="E2769">
        <v>13</v>
      </c>
      <c r="F2769" s="2">
        <v>1.3698630136986301E-2</v>
      </c>
    </row>
    <row r="2770" spans="2:6" x14ac:dyDescent="0.25">
      <c r="B2770" s="33">
        <v>1</v>
      </c>
      <c r="C2770" t="s">
        <v>66</v>
      </c>
      <c r="D2770" t="s">
        <v>235</v>
      </c>
      <c r="E2770">
        <v>14</v>
      </c>
      <c r="F2770" s="2">
        <v>1.0958904109589041E-2</v>
      </c>
    </row>
    <row r="2771" spans="2:6" x14ac:dyDescent="0.25">
      <c r="B2771" s="33">
        <v>1</v>
      </c>
      <c r="C2771" t="s">
        <v>2</v>
      </c>
      <c r="D2771" t="s">
        <v>232</v>
      </c>
      <c r="E2771">
        <v>19</v>
      </c>
      <c r="F2771" s="2">
        <v>1.3698630136986301E-2</v>
      </c>
    </row>
    <row r="2772" spans="2:6" x14ac:dyDescent="0.25">
      <c r="B2772" s="33">
        <v>1</v>
      </c>
      <c r="C2772" t="s">
        <v>103</v>
      </c>
      <c r="D2772" t="s">
        <v>141</v>
      </c>
      <c r="E2772">
        <v>22</v>
      </c>
      <c r="F2772" s="2">
        <v>8.21917808219178E-3</v>
      </c>
    </row>
    <row r="2773" spans="2:6" x14ac:dyDescent="0.25">
      <c r="B2773" s="33">
        <v>1</v>
      </c>
      <c r="C2773" t="s">
        <v>77</v>
      </c>
      <c r="D2773" t="s">
        <v>136</v>
      </c>
      <c r="E2773">
        <v>7</v>
      </c>
      <c r="F2773" s="2">
        <v>5.4794520547945206E-3</v>
      </c>
    </row>
    <row r="2774" spans="2:6" x14ac:dyDescent="0.25">
      <c r="B2774" s="33">
        <v>1</v>
      </c>
      <c r="C2774" t="s">
        <v>6</v>
      </c>
      <c r="D2774" t="s">
        <v>38</v>
      </c>
      <c r="E2774">
        <v>21</v>
      </c>
      <c r="F2774" s="2">
        <v>1.0958904109589041E-2</v>
      </c>
    </row>
    <row r="2775" spans="2:6" x14ac:dyDescent="0.25">
      <c r="B2775" s="33">
        <v>1</v>
      </c>
      <c r="C2775" t="s">
        <v>103</v>
      </c>
      <c r="D2775" t="s">
        <v>158</v>
      </c>
      <c r="E2775">
        <v>2</v>
      </c>
      <c r="F2775" s="2">
        <v>5.4794520547945206E-3</v>
      </c>
    </row>
    <row r="2776" spans="2:6" x14ac:dyDescent="0.25">
      <c r="B2776" s="33">
        <v>1</v>
      </c>
      <c r="C2776" t="s">
        <v>66</v>
      </c>
      <c r="D2776" t="s">
        <v>135</v>
      </c>
      <c r="E2776">
        <v>3</v>
      </c>
      <c r="F2776" s="2">
        <v>8.21917808219178E-3</v>
      </c>
    </row>
    <row r="2777" spans="2:6" x14ac:dyDescent="0.25">
      <c r="B2777" s="33">
        <v>1</v>
      </c>
      <c r="C2777" t="s">
        <v>3</v>
      </c>
      <c r="D2777" t="s">
        <v>157</v>
      </c>
      <c r="E2777">
        <v>2</v>
      </c>
      <c r="F2777" s="2">
        <v>8.21917808219178E-3</v>
      </c>
    </row>
    <row r="2778" spans="2:6" x14ac:dyDescent="0.25">
      <c r="B2778" s="33">
        <v>1</v>
      </c>
      <c r="C2778" t="s">
        <v>77</v>
      </c>
      <c r="D2778" t="s">
        <v>192</v>
      </c>
      <c r="E2778">
        <v>7</v>
      </c>
      <c r="F2778" s="2">
        <v>5.4794520547945206E-3</v>
      </c>
    </row>
    <row r="2779" spans="2:6" x14ac:dyDescent="0.25">
      <c r="B2779" s="33">
        <v>1</v>
      </c>
      <c r="C2779" t="s">
        <v>2</v>
      </c>
      <c r="D2779" t="s">
        <v>232</v>
      </c>
      <c r="E2779">
        <v>9</v>
      </c>
      <c r="F2779" s="2">
        <v>1.3698630136986301E-2</v>
      </c>
    </row>
    <row r="2780" spans="2:6" x14ac:dyDescent="0.25">
      <c r="B2780" s="33">
        <v>1</v>
      </c>
      <c r="C2780" t="s">
        <v>6</v>
      </c>
      <c r="D2780" t="s">
        <v>43</v>
      </c>
      <c r="E2780">
        <v>0</v>
      </c>
      <c r="F2780" s="2">
        <v>1.0958904109589041E-2</v>
      </c>
    </row>
    <row r="2781" spans="2:6" x14ac:dyDescent="0.25">
      <c r="B2781" s="33">
        <v>1</v>
      </c>
      <c r="C2781" t="s">
        <v>3</v>
      </c>
      <c r="D2781" t="s">
        <v>208</v>
      </c>
      <c r="E2781">
        <v>15</v>
      </c>
      <c r="F2781" s="2">
        <v>1.3698630136986301E-2</v>
      </c>
    </row>
    <row r="2782" spans="2:6" x14ac:dyDescent="0.25">
      <c r="B2782" s="33">
        <v>1</v>
      </c>
      <c r="C2782" t="s">
        <v>1</v>
      </c>
      <c r="D2782" t="s">
        <v>216</v>
      </c>
      <c r="E2782">
        <v>14</v>
      </c>
      <c r="F2782" s="2">
        <v>1.3698630136986301E-2</v>
      </c>
    </row>
    <row r="2783" spans="2:6" x14ac:dyDescent="0.25">
      <c r="B2783" s="33">
        <v>1</v>
      </c>
      <c r="C2783" t="s">
        <v>64</v>
      </c>
      <c r="D2783" t="s">
        <v>165</v>
      </c>
      <c r="E2783">
        <v>11</v>
      </c>
      <c r="F2783" s="2">
        <v>8.21917808219178E-3</v>
      </c>
    </row>
    <row r="2784" spans="2:6" x14ac:dyDescent="0.25">
      <c r="B2784" s="33">
        <v>1</v>
      </c>
      <c r="C2784" t="s">
        <v>66</v>
      </c>
      <c r="D2784" t="s">
        <v>235</v>
      </c>
      <c r="E2784">
        <v>9</v>
      </c>
      <c r="F2784" s="2">
        <v>1.0958904109589041E-2</v>
      </c>
    </row>
    <row r="2785" spans="2:6" x14ac:dyDescent="0.25">
      <c r="B2785" s="33">
        <v>1</v>
      </c>
      <c r="C2785" t="s">
        <v>77</v>
      </c>
      <c r="D2785" t="s">
        <v>210</v>
      </c>
      <c r="E2785">
        <v>20</v>
      </c>
      <c r="F2785" s="2">
        <v>1.0958904109589041E-2</v>
      </c>
    </row>
    <row r="2786" spans="2:6" x14ac:dyDescent="0.25">
      <c r="B2786" s="33">
        <v>1</v>
      </c>
      <c r="C2786" t="s">
        <v>66</v>
      </c>
      <c r="D2786" t="s">
        <v>227</v>
      </c>
      <c r="E2786">
        <v>18</v>
      </c>
      <c r="F2786" s="2">
        <v>1.0958904109589041E-2</v>
      </c>
    </row>
    <row r="2787" spans="2:6" x14ac:dyDescent="0.25">
      <c r="B2787" s="33">
        <v>1</v>
      </c>
      <c r="C2787" t="s">
        <v>69</v>
      </c>
      <c r="D2787" t="s">
        <v>218</v>
      </c>
      <c r="E2787">
        <v>19</v>
      </c>
      <c r="F2787" s="2">
        <v>8.21917808219178E-3</v>
      </c>
    </row>
    <row r="2788" spans="2:6" x14ac:dyDescent="0.25">
      <c r="B2788" s="33">
        <v>1</v>
      </c>
      <c r="C2788" t="s">
        <v>3</v>
      </c>
      <c r="D2788" t="s">
        <v>157</v>
      </c>
      <c r="E2788">
        <v>22</v>
      </c>
      <c r="F2788" s="2">
        <v>1.0958904109589041E-2</v>
      </c>
    </row>
    <row r="2789" spans="2:6" x14ac:dyDescent="0.25">
      <c r="B2789" s="33">
        <v>1</v>
      </c>
      <c r="C2789" t="s">
        <v>103</v>
      </c>
      <c r="D2789" t="s">
        <v>167</v>
      </c>
      <c r="E2789">
        <v>2</v>
      </c>
      <c r="F2789" s="2">
        <v>1.0958904109589041E-2</v>
      </c>
    </row>
    <row r="2790" spans="2:6" x14ac:dyDescent="0.25">
      <c r="B2790" s="33">
        <v>1</v>
      </c>
      <c r="C2790" t="s">
        <v>64</v>
      </c>
      <c r="D2790" t="s">
        <v>175</v>
      </c>
      <c r="E2790">
        <v>7</v>
      </c>
      <c r="F2790" s="2">
        <v>1.0958904109589041E-2</v>
      </c>
    </row>
    <row r="2791" spans="2:6" x14ac:dyDescent="0.25">
      <c r="B2791" s="33">
        <v>1</v>
      </c>
      <c r="C2791" t="s">
        <v>72</v>
      </c>
      <c r="D2791" t="s">
        <v>209</v>
      </c>
      <c r="E2791">
        <v>9</v>
      </c>
      <c r="F2791" s="2">
        <v>1.3698630136986301E-2</v>
      </c>
    </row>
    <row r="2792" spans="2:6" x14ac:dyDescent="0.25">
      <c r="B2792" s="33">
        <v>1</v>
      </c>
      <c r="C2792" t="s">
        <v>103</v>
      </c>
      <c r="D2792" t="s">
        <v>139</v>
      </c>
      <c r="E2792">
        <v>15</v>
      </c>
      <c r="F2792" s="2">
        <v>1.9178082191780823E-2</v>
      </c>
    </row>
    <row r="2793" spans="2:6" x14ac:dyDescent="0.25">
      <c r="B2793" s="33">
        <v>1</v>
      </c>
      <c r="C2793" t="s">
        <v>77</v>
      </c>
      <c r="D2793" t="s">
        <v>205</v>
      </c>
      <c r="E2793">
        <v>11</v>
      </c>
      <c r="F2793" s="2">
        <v>1.3698630136986301E-2</v>
      </c>
    </row>
    <row r="2794" spans="2:6" x14ac:dyDescent="0.25">
      <c r="B2794" s="33">
        <v>1</v>
      </c>
      <c r="C2794" t="s">
        <v>69</v>
      </c>
      <c r="D2794" t="s">
        <v>128</v>
      </c>
      <c r="E2794">
        <v>15</v>
      </c>
      <c r="F2794" s="2">
        <v>1.0958904109589041E-2</v>
      </c>
    </row>
    <row r="2795" spans="2:6" x14ac:dyDescent="0.25">
      <c r="B2795" s="33">
        <v>1</v>
      </c>
      <c r="C2795" t="s">
        <v>2</v>
      </c>
      <c r="D2795" t="s">
        <v>232</v>
      </c>
      <c r="E2795">
        <v>14</v>
      </c>
      <c r="F2795" s="2">
        <v>1.3698630136986301E-2</v>
      </c>
    </row>
    <row r="2796" spans="2:6" x14ac:dyDescent="0.25">
      <c r="B2796" s="33">
        <v>1</v>
      </c>
      <c r="C2796" t="s">
        <v>3</v>
      </c>
      <c r="D2796" t="s">
        <v>195</v>
      </c>
      <c r="E2796">
        <v>12</v>
      </c>
      <c r="F2796" s="2">
        <v>1.3698630136986301E-2</v>
      </c>
    </row>
    <row r="2797" spans="2:6" x14ac:dyDescent="0.25">
      <c r="B2797" s="33">
        <v>1</v>
      </c>
      <c r="C2797" t="s">
        <v>69</v>
      </c>
      <c r="D2797" t="s">
        <v>184</v>
      </c>
      <c r="E2797">
        <v>20</v>
      </c>
      <c r="F2797" s="2">
        <v>8.21917808219178E-3</v>
      </c>
    </row>
    <row r="2798" spans="2:6" x14ac:dyDescent="0.25">
      <c r="B2798" s="33">
        <v>1</v>
      </c>
      <c r="C2798" t="s">
        <v>69</v>
      </c>
      <c r="D2798" t="s">
        <v>197</v>
      </c>
      <c r="E2798">
        <v>21</v>
      </c>
      <c r="F2798" s="2">
        <v>8.21917808219178E-3</v>
      </c>
    </row>
    <row r="2799" spans="2:6" x14ac:dyDescent="0.25">
      <c r="B2799" s="33">
        <v>1</v>
      </c>
      <c r="C2799" t="s">
        <v>3</v>
      </c>
      <c r="D2799" t="s">
        <v>173</v>
      </c>
      <c r="E2799">
        <v>21</v>
      </c>
      <c r="F2799" s="2">
        <v>1.0958904109589041E-2</v>
      </c>
    </row>
    <row r="2800" spans="2:6" x14ac:dyDescent="0.25">
      <c r="B2800" s="33">
        <v>1</v>
      </c>
      <c r="C2800" t="s">
        <v>66</v>
      </c>
      <c r="D2800" t="s">
        <v>202</v>
      </c>
      <c r="E2800">
        <v>4</v>
      </c>
      <c r="F2800" s="2">
        <v>8.21917808219178E-3</v>
      </c>
    </row>
    <row r="2801" spans="2:6" x14ac:dyDescent="0.25">
      <c r="B2801" s="33">
        <v>1</v>
      </c>
      <c r="C2801" t="s">
        <v>0</v>
      </c>
      <c r="D2801" t="s">
        <v>150</v>
      </c>
      <c r="E2801">
        <v>7</v>
      </c>
      <c r="F2801" s="2">
        <v>1.3698630136986301E-2</v>
      </c>
    </row>
    <row r="2802" spans="2:6" x14ac:dyDescent="0.25">
      <c r="B2802" s="33">
        <v>1</v>
      </c>
      <c r="C2802" t="s">
        <v>66</v>
      </c>
      <c r="D2802" t="s">
        <v>235</v>
      </c>
      <c r="E2802">
        <v>0</v>
      </c>
      <c r="F2802" s="2">
        <v>8.21917808219178E-3</v>
      </c>
    </row>
    <row r="2803" spans="2:6" x14ac:dyDescent="0.25">
      <c r="B2803" s="33">
        <v>1</v>
      </c>
      <c r="C2803" t="s">
        <v>0</v>
      </c>
      <c r="D2803" t="s">
        <v>133</v>
      </c>
      <c r="E2803">
        <v>4</v>
      </c>
      <c r="F2803" s="2">
        <v>1.3698630136986301E-2</v>
      </c>
    </row>
    <row r="2804" spans="2:6" x14ac:dyDescent="0.25">
      <c r="B2804" s="33">
        <v>1</v>
      </c>
      <c r="C2804" t="s">
        <v>126</v>
      </c>
      <c r="D2804" t="s">
        <v>171</v>
      </c>
      <c r="E2804">
        <v>5</v>
      </c>
      <c r="F2804" s="2">
        <v>5.4794520547945206E-3</v>
      </c>
    </row>
    <row r="2805" spans="2:6" x14ac:dyDescent="0.25">
      <c r="B2805" s="33">
        <v>1</v>
      </c>
      <c r="C2805" t="s">
        <v>103</v>
      </c>
      <c r="D2805" t="s">
        <v>139</v>
      </c>
      <c r="E2805">
        <v>12</v>
      </c>
      <c r="F2805" s="2">
        <v>1.9178082191780823E-2</v>
      </c>
    </row>
    <row r="2806" spans="2:6" x14ac:dyDescent="0.25">
      <c r="B2806" s="33">
        <v>1</v>
      </c>
      <c r="C2806" t="s">
        <v>69</v>
      </c>
      <c r="D2806" t="s">
        <v>159</v>
      </c>
      <c r="E2806">
        <v>14</v>
      </c>
      <c r="F2806" s="2">
        <v>1.0958904109589041E-2</v>
      </c>
    </row>
    <row r="2807" spans="2:6" x14ac:dyDescent="0.25">
      <c r="B2807" s="33">
        <v>1</v>
      </c>
      <c r="C2807" t="s">
        <v>64</v>
      </c>
      <c r="D2807" t="s">
        <v>213</v>
      </c>
      <c r="E2807">
        <v>11</v>
      </c>
      <c r="F2807" s="2">
        <v>8.21917808219178E-3</v>
      </c>
    </row>
    <row r="2808" spans="2:6" x14ac:dyDescent="0.25">
      <c r="B2808" s="33">
        <v>1</v>
      </c>
      <c r="C2808" t="s">
        <v>66</v>
      </c>
      <c r="D2808" t="s">
        <v>227</v>
      </c>
      <c r="E2808">
        <v>13</v>
      </c>
      <c r="F2808" s="2">
        <v>1.0958904109589041E-2</v>
      </c>
    </row>
    <row r="2809" spans="2:6" x14ac:dyDescent="0.25">
      <c r="B2809" s="33">
        <v>1</v>
      </c>
      <c r="C2809" t="s">
        <v>77</v>
      </c>
      <c r="D2809" t="s">
        <v>205</v>
      </c>
      <c r="E2809">
        <v>9</v>
      </c>
      <c r="F2809" s="2">
        <v>1.0958904109589041E-2</v>
      </c>
    </row>
    <row r="2810" spans="2:6" x14ac:dyDescent="0.25">
      <c r="B2810" s="33">
        <v>1</v>
      </c>
      <c r="C2810" t="s">
        <v>77</v>
      </c>
      <c r="D2810" t="s">
        <v>224</v>
      </c>
      <c r="E2810">
        <v>11</v>
      </c>
      <c r="F2810" s="2">
        <v>1.0958904109589041E-2</v>
      </c>
    </row>
    <row r="2811" spans="2:6" x14ac:dyDescent="0.25">
      <c r="B2811" s="33">
        <v>1</v>
      </c>
      <c r="C2811" t="s">
        <v>69</v>
      </c>
      <c r="D2811" t="s">
        <v>228</v>
      </c>
      <c r="E2811">
        <v>21</v>
      </c>
      <c r="F2811" s="2">
        <v>8.21917808219178E-3</v>
      </c>
    </row>
    <row r="2812" spans="2:6" x14ac:dyDescent="0.25">
      <c r="B2812" s="33">
        <v>1</v>
      </c>
      <c r="C2812" t="s">
        <v>66</v>
      </c>
      <c r="D2812" t="s">
        <v>235</v>
      </c>
      <c r="E2812">
        <v>17</v>
      </c>
      <c r="F2812" s="2">
        <v>1.0958904109589041E-2</v>
      </c>
    </row>
    <row r="2813" spans="2:6" x14ac:dyDescent="0.25">
      <c r="B2813" s="33">
        <v>1</v>
      </c>
      <c r="C2813" t="s">
        <v>69</v>
      </c>
      <c r="D2813" t="s">
        <v>86</v>
      </c>
      <c r="E2813">
        <v>22</v>
      </c>
      <c r="F2813" s="2">
        <v>8.21917808219178E-3</v>
      </c>
    </row>
    <row r="2814" spans="2:6" x14ac:dyDescent="0.25">
      <c r="B2814" s="33">
        <v>1</v>
      </c>
      <c r="C2814" t="s">
        <v>64</v>
      </c>
      <c r="D2814" t="s">
        <v>165</v>
      </c>
      <c r="E2814">
        <v>19</v>
      </c>
      <c r="F2814" s="2">
        <v>1.643835616438356E-2</v>
      </c>
    </row>
    <row r="2815" spans="2:6" x14ac:dyDescent="0.25">
      <c r="B2815" s="33">
        <v>1</v>
      </c>
      <c r="C2815" t="s">
        <v>2</v>
      </c>
      <c r="D2815" t="s">
        <v>170</v>
      </c>
      <c r="E2815">
        <v>18</v>
      </c>
      <c r="F2815" s="2">
        <v>1.3698630136986301E-2</v>
      </c>
    </row>
    <row r="2816" spans="2:6" x14ac:dyDescent="0.25">
      <c r="B2816" s="33">
        <v>1</v>
      </c>
      <c r="C2816" t="s">
        <v>103</v>
      </c>
      <c r="D2816" t="s">
        <v>45</v>
      </c>
      <c r="E2816">
        <v>21</v>
      </c>
      <c r="F2816" s="2">
        <v>8.21917808219178E-3</v>
      </c>
    </row>
    <row r="2817" spans="2:6" x14ac:dyDescent="0.25">
      <c r="B2817" s="33">
        <v>1</v>
      </c>
      <c r="C2817" t="s">
        <v>3</v>
      </c>
      <c r="D2817" t="s">
        <v>188</v>
      </c>
      <c r="E2817">
        <v>22</v>
      </c>
      <c r="F2817" s="2">
        <v>1.0958904109589041E-2</v>
      </c>
    </row>
    <row r="2818" spans="2:6" x14ac:dyDescent="0.25">
      <c r="B2818" s="33">
        <v>1</v>
      </c>
      <c r="C2818" t="s">
        <v>66</v>
      </c>
      <c r="D2818" t="s">
        <v>227</v>
      </c>
      <c r="E2818">
        <v>19</v>
      </c>
      <c r="F2818" s="2">
        <v>1.0958904109589041E-2</v>
      </c>
    </row>
    <row r="2819" spans="2:6" x14ac:dyDescent="0.25">
      <c r="B2819" s="33">
        <v>1</v>
      </c>
      <c r="C2819" t="s">
        <v>69</v>
      </c>
      <c r="D2819" t="s">
        <v>223</v>
      </c>
      <c r="E2819">
        <v>19</v>
      </c>
      <c r="F2819" s="2">
        <v>8.21917808219178E-3</v>
      </c>
    </row>
    <row r="2820" spans="2:6" x14ac:dyDescent="0.25">
      <c r="B2820" s="33">
        <v>1</v>
      </c>
      <c r="C2820" t="s">
        <v>3</v>
      </c>
      <c r="D2820" t="s">
        <v>108</v>
      </c>
      <c r="E2820">
        <v>7</v>
      </c>
      <c r="F2820" s="2">
        <v>8.21917808219178E-3</v>
      </c>
    </row>
    <row r="2821" spans="2:6" x14ac:dyDescent="0.25">
      <c r="B2821" s="33">
        <v>1</v>
      </c>
      <c r="C2821" t="s">
        <v>6</v>
      </c>
      <c r="D2821" t="s">
        <v>44</v>
      </c>
      <c r="E2821">
        <v>8</v>
      </c>
      <c r="F2821" s="2">
        <v>1.0958904109589041E-2</v>
      </c>
    </row>
    <row r="2822" spans="2:6" x14ac:dyDescent="0.25">
      <c r="B2822" s="33">
        <v>1</v>
      </c>
      <c r="C2822" t="s">
        <v>64</v>
      </c>
      <c r="D2822" t="s">
        <v>99</v>
      </c>
      <c r="E2822">
        <v>4</v>
      </c>
      <c r="F2822" s="2">
        <v>1.0958904109589041E-2</v>
      </c>
    </row>
    <row r="2823" spans="2:6" x14ac:dyDescent="0.25">
      <c r="B2823" s="33">
        <v>1</v>
      </c>
      <c r="C2823" t="s">
        <v>2</v>
      </c>
      <c r="D2823" t="s">
        <v>102</v>
      </c>
      <c r="E2823">
        <v>4</v>
      </c>
      <c r="F2823" s="2">
        <v>1.643835616438356E-2</v>
      </c>
    </row>
    <row r="2824" spans="2:6" x14ac:dyDescent="0.25">
      <c r="B2824" s="33">
        <v>1</v>
      </c>
      <c r="C2824" t="s">
        <v>3</v>
      </c>
      <c r="D2824" t="s">
        <v>119</v>
      </c>
      <c r="E2824">
        <v>7</v>
      </c>
      <c r="F2824" s="2">
        <v>8.21917808219178E-3</v>
      </c>
    </row>
    <row r="2825" spans="2:6" x14ac:dyDescent="0.25">
      <c r="B2825" s="33">
        <v>1</v>
      </c>
      <c r="C2825" t="s">
        <v>88</v>
      </c>
      <c r="D2825" t="s">
        <v>134</v>
      </c>
      <c r="E2825">
        <v>3</v>
      </c>
      <c r="F2825" s="2">
        <v>1.3698630136986301E-2</v>
      </c>
    </row>
    <row r="2826" spans="2:6" x14ac:dyDescent="0.25">
      <c r="B2826" s="33">
        <v>1</v>
      </c>
      <c r="C2826" t="s">
        <v>3</v>
      </c>
      <c r="D2826" t="s">
        <v>100</v>
      </c>
      <c r="E2826">
        <v>13</v>
      </c>
      <c r="F2826" s="2">
        <v>1.3698630136986301E-2</v>
      </c>
    </row>
    <row r="2827" spans="2:6" x14ac:dyDescent="0.25">
      <c r="B2827" s="33">
        <v>1</v>
      </c>
      <c r="C2827" t="s">
        <v>6</v>
      </c>
      <c r="D2827" t="s">
        <v>23</v>
      </c>
      <c r="E2827">
        <v>5</v>
      </c>
      <c r="F2827" s="2">
        <v>1.0958904109589041E-2</v>
      </c>
    </row>
    <row r="2828" spans="2:6" x14ac:dyDescent="0.25">
      <c r="B2828" s="33">
        <v>1</v>
      </c>
      <c r="C2828" t="s">
        <v>77</v>
      </c>
      <c r="D2828" t="s">
        <v>123</v>
      </c>
      <c r="E2828">
        <v>1</v>
      </c>
      <c r="F2828" s="2">
        <v>5.4794520547945206E-3</v>
      </c>
    </row>
    <row r="2829" spans="2:6" x14ac:dyDescent="0.25">
      <c r="B2829" s="33">
        <v>1</v>
      </c>
      <c r="C2829" t="s">
        <v>103</v>
      </c>
      <c r="D2829" t="s">
        <v>139</v>
      </c>
      <c r="E2829">
        <v>6</v>
      </c>
      <c r="F2829" s="2">
        <v>2.7397260273972603E-3</v>
      </c>
    </row>
    <row r="2830" spans="2:6" x14ac:dyDescent="0.25">
      <c r="B2830" s="33">
        <v>1</v>
      </c>
      <c r="C2830" t="s">
        <v>3</v>
      </c>
      <c r="D2830" t="s">
        <v>138</v>
      </c>
      <c r="E2830">
        <v>2</v>
      </c>
      <c r="F2830" s="2">
        <v>8.21917808219178E-3</v>
      </c>
    </row>
    <row r="2831" spans="2:6" x14ac:dyDescent="0.25">
      <c r="B2831" s="33">
        <v>1</v>
      </c>
      <c r="C2831" t="s">
        <v>64</v>
      </c>
      <c r="D2831" t="s">
        <v>115</v>
      </c>
      <c r="E2831">
        <v>2</v>
      </c>
      <c r="F2831" s="2">
        <v>1.0958904109589041E-2</v>
      </c>
    </row>
    <row r="2832" spans="2:6" x14ac:dyDescent="0.25">
      <c r="B2832" s="33">
        <v>1</v>
      </c>
      <c r="C2832" t="s">
        <v>3</v>
      </c>
      <c r="D2832" t="s">
        <v>226</v>
      </c>
      <c r="E2832">
        <v>10</v>
      </c>
      <c r="F2832" s="2">
        <v>1.3698630136986301E-2</v>
      </c>
    </row>
    <row r="2833" spans="2:6" x14ac:dyDescent="0.25">
      <c r="B2833" s="33">
        <v>1</v>
      </c>
      <c r="C2833" t="s">
        <v>3</v>
      </c>
      <c r="D2833" t="s">
        <v>100</v>
      </c>
      <c r="E2833">
        <v>18</v>
      </c>
      <c r="F2833" s="2">
        <v>1.0958904109589041E-2</v>
      </c>
    </row>
    <row r="2834" spans="2:6" x14ac:dyDescent="0.25">
      <c r="B2834" s="33">
        <v>1</v>
      </c>
      <c r="C2834" t="s">
        <v>69</v>
      </c>
      <c r="D2834" t="s">
        <v>148</v>
      </c>
      <c r="E2834">
        <v>22</v>
      </c>
      <c r="F2834" s="2">
        <v>8.21917808219178E-3</v>
      </c>
    </row>
    <row r="2835" spans="2:6" x14ac:dyDescent="0.25">
      <c r="B2835" s="33">
        <v>1</v>
      </c>
      <c r="C2835" t="s">
        <v>66</v>
      </c>
      <c r="D2835" t="s">
        <v>239</v>
      </c>
      <c r="E2835">
        <v>18</v>
      </c>
      <c r="F2835" s="2">
        <v>8.21917808219178E-3</v>
      </c>
    </row>
    <row r="2836" spans="2:6" x14ac:dyDescent="0.25">
      <c r="B2836" s="33">
        <v>1</v>
      </c>
      <c r="C2836" t="s">
        <v>64</v>
      </c>
      <c r="D2836" t="s">
        <v>175</v>
      </c>
      <c r="E2836">
        <v>21</v>
      </c>
      <c r="F2836" s="2">
        <v>1.0958904109589041E-2</v>
      </c>
    </row>
    <row r="2837" spans="2:6" x14ac:dyDescent="0.25">
      <c r="B2837" s="33">
        <v>1</v>
      </c>
      <c r="C2837" t="s">
        <v>74</v>
      </c>
      <c r="D2837" t="s">
        <v>221</v>
      </c>
      <c r="E2837">
        <v>21</v>
      </c>
      <c r="F2837" s="2">
        <v>1.0958904109589041E-2</v>
      </c>
    </row>
    <row r="2838" spans="2:6" x14ac:dyDescent="0.25">
      <c r="B2838" s="33">
        <v>1</v>
      </c>
      <c r="C2838" t="s">
        <v>64</v>
      </c>
      <c r="D2838" t="s">
        <v>121</v>
      </c>
      <c r="E2838">
        <v>22</v>
      </c>
      <c r="F2838" s="2">
        <v>3.0136986301369864E-2</v>
      </c>
    </row>
    <row r="2839" spans="2:6" x14ac:dyDescent="0.25">
      <c r="B2839" s="33">
        <v>1</v>
      </c>
      <c r="C2839" t="s">
        <v>69</v>
      </c>
      <c r="D2839" t="s">
        <v>215</v>
      </c>
      <c r="E2839">
        <v>5</v>
      </c>
      <c r="F2839" s="2">
        <v>5.4794520547945206E-3</v>
      </c>
    </row>
    <row r="2840" spans="2:6" x14ac:dyDescent="0.25">
      <c r="B2840" s="33">
        <v>1</v>
      </c>
      <c r="C2840" t="s">
        <v>6</v>
      </c>
      <c r="D2840" t="s">
        <v>25</v>
      </c>
      <c r="E2840">
        <v>2</v>
      </c>
      <c r="F2840" s="2">
        <v>1.0958904109589041E-2</v>
      </c>
    </row>
    <row r="2841" spans="2:6" x14ac:dyDescent="0.25">
      <c r="B2841" s="33">
        <v>1</v>
      </c>
      <c r="C2841" t="s">
        <v>126</v>
      </c>
      <c r="D2841" t="s">
        <v>147</v>
      </c>
      <c r="E2841">
        <v>10</v>
      </c>
      <c r="F2841" s="2">
        <v>1.9178082191780823E-2</v>
      </c>
    </row>
    <row r="2842" spans="2:6" x14ac:dyDescent="0.25">
      <c r="B2842" s="33">
        <v>1</v>
      </c>
      <c r="C2842" t="s">
        <v>77</v>
      </c>
      <c r="D2842" t="s">
        <v>98</v>
      </c>
      <c r="E2842">
        <v>8</v>
      </c>
      <c r="F2842" s="2">
        <v>1.0958904109589041E-2</v>
      </c>
    </row>
    <row r="2843" spans="2:6" x14ac:dyDescent="0.25">
      <c r="B2843" s="33">
        <v>1</v>
      </c>
      <c r="C2843" t="s">
        <v>0</v>
      </c>
      <c r="D2843" t="s">
        <v>150</v>
      </c>
      <c r="E2843">
        <v>14</v>
      </c>
      <c r="F2843" s="2">
        <v>3.5616438356164383E-2</v>
      </c>
    </row>
    <row r="2844" spans="2:6" x14ac:dyDescent="0.25">
      <c r="B2844" s="33">
        <v>1</v>
      </c>
      <c r="C2844" t="s">
        <v>66</v>
      </c>
      <c r="D2844" t="s">
        <v>219</v>
      </c>
      <c r="E2844">
        <v>11</v>
      </c>
      <c r="F2844" s="2">
        <v>1.0958904109589041E-2</v>
      </c>
    </row>
    <row r="2845" spans="2:6" x14ac:dyDescent="0.25">
      <c r="B2845" s="33">
        <v>1</v>
      </c>
      <c r="C2845" t="s">
        <v>77</v>
      </c>
      <c r="D2845" t="s">
        <v>162</v>
      </c>
      <c r="E2845">
        <v>20</v>
      </c>
      <c r="F2845" s="2">
        <v>1.0958904109589041E-2</v>
      </c>
    </row>
    <row r="2846" spans="2:6" x14ac:dyDescent="0.25">
      <c r="B2846" s="33">
        <v>1</v>
      </c>
      <c r="C2846" t="s">
        <v>77</v>
      </c>
      <c r="D2846" t="s">
        <v>98</v>
      </c>
      <c r="E2846">
        <v>19</v>
      </c>
      <c r="F2846" s="2">
        <v>1.0958904109589041E-2</v>
      </c>
    </row>
    <row r="2847" spans="2:6" x14ac:dyDescent="0.25">
      <c r="B2847" s="33">
        <v>1</v>
      </c>
      <c r="C2847" t="s">
        <v>77</v>
      </c>
      <c r="D2847" t="s">
        <v>97</v>
      </c>
      <c r="E2847">
        <v>6</v>
      </c>
      <c r="F2847" s="2">
        <v>5.4794520547945206E-3</v>
      </c>
    </row>
    <row r="2848" spans="2:6" x14ac:dyDescent="0.25">
      <c r="B2848" s="33">
        <v>1</v>
      </c>
      <c r="C2848" t="s">
        <v>69</v>
      </c>
      <c r="D2848" t="s">
        <v>113</v>
      </c>
      <c r="E2848">
        <v>3</v>
      </c>
      <c r="F2848" s="2">
        <v>5.4794520547945206E-3</v>
      </c>
    </row>
    <row r="2849" spans="2:6" x14ac:dyDescent="0.25">
      <c r="B2849" s="33">
        <v>1</v>
      </c>
      <c r="C2849" t="s">
        <v>90</v>
      </c>
      <c r="D2849" t="s">
        <v>164</v>
      </c>
      <c r="E2849">
        <v>4</v>
      </c>
      <c r="F2849" s="2">
        <v>5.4794520547945206E-3</v>
      </c>
    </row>
    <row r="2850" spans="2:6" x14ac:dyDescent="0.25">
      <c r="B2850" s="33">
        <v>1</v>
      </c>
      <c r="C2850" t="s">
        <v>69</v>
      </c>
      <c r="D2850" t="s">
        <v>183</v>
      </c>
      <c r="E2850">
        <v>4</v>
      </c>
      <c r="F2850" s="2">
        <v>5.4794520547945206E-3</v>
      </c>
    </row>
    <row r="2851" spans="2:6" x14ac:dyDescent="0.25">
      <c r="B2851" s="33">
        <v>1</v>
      </c>
      <c r="C2851" t="s">
        <v>77</v>
      </c>
      <c r="D2851" t="s">
        <v>146</v>
      </c>
      <c r="E2851">
        <v>2</v>
      </c>
      <c r="F2851" s="2">
        <v>5.4794520547945206E-3</v>
      </c>
    </row>
    <row r="2852" spans="2:6" x14ac:dyDescent="0.25">
      <c r="B2852" s="33">
        <v>1</v>
      </c>
      <c r="C2852" t="s">
        <v>0</v>
      </c>
      <c r="D2852" t="s">
        <v>111</v>
      </c>
      <c r="E2852">
        <v>2</v>
      </c>
      <c r="F2852" s="2">
        <v>1.3698630136986301E-2</v>
      </c>
    </row>
    <row r="2853" spans="2:6" x14ac:dyDescent="0.25">
      <c r="B2853" s="33">
        <v>1</v>
      </c>
      <c r="C2853" t="s">
        <v>66</v>
      </c>
      <c r="D2853" t="s">
        <v>235</v>
      </c>
      <c r="E2853">
        <v>11</v>
      </c>
      <c r="F2853" s="2">
        <v>8.21917808219178E-3</v>
      </c>
    </row>
    <row r="2854" spans="2:6" x14ac:dyDescent="0.25">
      <c r="B2854" s="33">
        <v>1</v>
      </c>
      <c r="C2854" t="s">
        <v>66</v>
      </c>
      <c r="D2854" t="s">
        <v>227</v>
      </c>
      <c r="E2854">
        <v>10</v>
      </c>
      <c r="F2854" s="2">
        <v>8.21917808219178E-3</v>
      </c>
    </row>
    <row r="2855" spans="2:6" x14ac:dyDescent="0.25">
      <c r="B2855" s="33">
        <v>1</v>
      </c>
      <c r="C2855" t="s">
        <v>69</v>
      </c>
      <c r="D2855" t="s">
        <v>154</v>
      </c>
      <c r="E2855">
        <v>20</v>
      </c>
      <c r="F2855" s="2">
        <v>8.21917808219178E-3</v>
      </c>
    </row>
    <row r="2856" spans="2:6" x14ac:dyDescent="0.25">
      <c r="B2856" s="33">
        <v>1</v>
      </c>
      <c r="C2856" t="s">
        <v>103</v>
      </c>
      <c r="D2856" t="s">
        <v>194</v>
      </c>
      <c r="E2856">
        <v>21</v>
      </c>
      <c r="F2856" s="2">
        <v>8.21917808219178E-3</v>
      </c>
    </row>
    <row r="2857" spans="2:6" x14ac:dyDescent="0.25">
      <c r="B2857" s="33">
        <v>1</v>
      </c>
      <c r="C2857" t="s">
        <v>3</v>
      </c>
      <c r="D2857" t="s">
        <v>84</v>
      </c>
      <c r="E2857">
        <v>22</v>
      </c>
      <c r="F2857" s="2">
        <v>1.0958904109589041E-2</v>
      </c>
    </row>
    <row r="2858" spans="2:6" x14ac:dyDescent="0.25">
      <c r="B2858" s="33">
        <v>1</v>
      </c>
      <c r="C2858" t="s">
        <v>69</v>
      </c>
      <c r="D2858" t="s">
        <v>154</v>
      </c>
      <c r="E2858">
        <v>18</v>
      </c>
      <c r="F2858" s="2">
        <v>8.21917808219178E-3</v>
      </c>
    </row>
    <row r="2859" spans="2:6" x14ac:dyDescent="0.25">
      <c r="B2859" s="33">
        <v>1</v>
      </c>
      <c r="C2859" t="s">
        <v>0</v>
      </c>
      <c r="D2859" t="s">
        <v>133</v>
      </c>
      <c r="E2859">
        <v>20</v>
      </c>
      <c r="F2859" s="2">
        <v>5.7534246575342465E-2</v>
      </c>
    </row>
    <row r="2860" spans="2:6" x14ac:dyDescent="0.25">
      <c r="B2860" s="33">
        <v>1</v>
      </c>
      <c r="C2860" t="s">
        <v>3</v>
      </c>
      <c r="D2860" t="s">
        <v>157</v>
      </c>
      <c r="E2860">
        <v>20</v>
      </c>
      <c r="F2860" s="2">
        <v>1.0958904109589041E-2</v>
      </c>
    </row>
    <row r="2861" spans="2:6" x14ac:dyDescent="0.25">
      <c r="B2861" s="33">
        <v>1</v>
      </c>
      <c r="C2861" t="s">
        <v>77</v>
      </c>
      <c r="D2861" t="s">
        <v>146</v>
      </c>
      <c r="E2861">
        <v>23</v>
      </c>
      <c r="F2861" s="2">
        <v>1.0958904109589041E-2</v>
      </c>
    </row>
    <row r="2862" spans="2:6" x14ac:dyDescent="0.25">
      <c r="B2862" s="33">
        <v>1</v>
      </c>
      <c r="C2862" t="s">
        <v>3</v>
      </c>
      <c r="D2862" t="s">
        <v>108</v>
      </c>
      <c r="E2862">
        <v>4</v>
      </c>
      <c r="F2862" s="2">
        <v>8.21917808219178E-3</v>
      </c>
    </row>
    <row r="2863" spans="2:6" x14ac:dyDescent="0.25">
      <c r="B2863" s="33">
        <v>1</v>
      </c>
      <c r="C2863" t="s">
        <v>77</v>
      </c>
      <c r="D2863" t="s">
        <v>136</v>
      </c>
      <c r="E2863">
        <v>0</v>
      </c>
      <c r="F2863" s="2">
        <v>5.4794520547945206E-3</v>
      </c>
    </row>
    <row r="2864" spans="2:6" x14ac:dyDescent="0.25">
      <c r="B2864" s="33">
        <v>1</v>
      </c>
      <c r="C2864" t="s">
        <v>72</v>
      </c>
      <c r="D2864" t="s">
        <v>187</v>
      </c>
      <c r="E2864">
        <v>5</v>
      </c>
      <c r="F2864" s="2">
        <v>1.0958904109589041E-2</v>
      </c>
    </row>
    <row r="2865" spans="2:6" x14ac:dyDescent="0.25">
      <c r="B2865" s="33">
        <v>1</v>
      </c>
      <c r="C2865" t="s">
        <v>6</v>
      </c>
      <c r="D2865" t="s">
        <v>23</v>
      </c>
      <c r="E2865">
        <v>3</v>
      </c>
      <c r="F2865" s="2">
        <v>1.0958904109589041E-2</v>
      </c>
    </row>
    <row r="2866" spans="2:6" x14ac:dyDescent="0.25">
      <c r="B2866" s="33">
        <v>1</v>
      </c>
      <c r="C2866" t="s">
        <v>3</v>
      </c>
      <c r="D2866" t="s">
        <v>188</v>
      </c>
      <c r="E2866">
        <v>0</v>
      </c>
      <c r="F2866" s="2">
        <v>8.21917808219178E-3</v>
      </c>
    </row>
    <row r="2867" spans="2:6" x14ac:dyDescent="0.25">
      <c r="B2867" s="33">
        <v>1</v>
      </c>
      <c r="C2867" t="s">
        <v>0</v>
      </c>
      <c r="D2867" t="s">
        <v>150</v>
      </c>
      <c r="E2867">
        <v>6</v>
      </c>
      <c r="F2867" s="2">
        <v>1.0958904109589041E-2</v>
      </c>
    </row>
    <row r="2868" spans="2:6" x14ac:dyDescent="0.25">
      <c r="B2868" s="33">
        <v>1</v>
      </c>
      <c r="C2868" t="s">
        <v>1</v>
      </c>
      <c r="D2868" t="s">
        <v>216</v>
      </c>
      <c r="E2868">
        <v>12</v>
      </c>
      <c r="F2868" s="2">
        <v>1.3698630136986301E-2</v>
      </c>
    </row>
    <row r="2869" spans="2:6" x14ac:dyDescent="0.25">
      <c r="B2869" s="33">
        <v>1</v>
      </c>
      <c r="C2869" t="s">
        <v>3</v>
      </c>
      <c r="D2869" t="s">
        <v>186</v>
      </c>
      <c r="E2869">
        <v>21</v>
      </c>
      <c r="F2869" s="2">
        <v>1.0958904109589041E-2</v>
      </c>
    </row>
    <row r="2870" spans="2:6" x14ac:dyDescent="0.25">
      <c r="B2870" s="33">
        <v>1</v>
      </c>
      <c r="C2870" t="s">
        <v>3</v>
      </c>
      <c r="D2870" t="s">
        <v>191</v>
      </c>
      <c r="E2870">
        <v>1</v>
      </c>
      <c r="F2870" s="2">
        <v>8.21917808219178E-3</v>
      </c>
    </row>
    <row r="2871" spans="2:6" x14ac:dyDescent="0.25">
      <c r="B2871" s="33">
        <v>1</v>
      </c>
      <c r="C2871" t="s">
        <v>74</v>
      </c>
      <c r="D2871" t="s">
        <v>174</v>
      </c>
      <c r="E2871">
        <v>4</v>
      </c>
      <c r="F2871" s="2">
        <v>1.3698630136986301E-2</v>
      </c>
    </row>
    <row r="2872" spans="2:6" x14ac:dyDescent="0.25">
      <c r="B2872" s="33">
        <v>1</v>
      </c>
      <c r="C2872" t="s">
        <v>1</v>
      </c>
      <c r="D2872" t="s">
        <v>176</v>
      </c>
      <c r="E2872">
        <v>1</v>
      </c>
      <c r="F2872" s="2">
        <v>8.21917808219178E-3</v>
      </c>
    </row>
    <row r="2873" spans="2:6" x14ac:dyDescent="0.25">
      <c r="B2873" s="33">
        <v>1</v>
      </c>
      <c r="C2873" t="s">
        <v>77</v>
      </c>
      <c r="D2873" t="s">
        <v>210</v>
      </c>
      <c r="E2873">
        <v>10</v>
      </c>
      <c r="F2873" s="2">
        <v>1.0958904109589041E-2</v>
      </c>
    </row>
    <row r="2874" spans="2:6" x14ac:dyDescent="0.25">
      <c r="B2874" s="33">
        <v>1</v>
      </c>
      <c r="C2874" t="s">
        <v>66</v>
      </c>
      <c r="D2874" t="s">
        <v>238</v>
      </c>
      <c r="E2874">
        <v>16</v>
      </c>
      <c r="F2874" s="2">
        <v>8.21917808219178E-3</v>
      </c>
    </row>
    <row r="2875" spans="2:6" x14ac:dyDescent="0.25">
      <c r="B2875" s="33">
        <v>1</v>
      </c>
      <c r="C2875" t="s">
        <v>3</v>
      </c>
      <c r="D2875" t="s">
        <v>119</v>
      </c>
      <c r="E2875">
        <v>22</v>
      </c>
      <c r="F2875" s="2">
        <v>1.0958904109589041E-2</v>
      </c>
    </row>
    <row r="2876" spans="2:6" x14ac:dyDescent="0.25">
      <c r="B2876" s="33">
        <v>1</v>
      </c>
      <c r="C2876" t="s">
        <v>88</v>
      </c>
      <c r="D2876" t="s">
        <v>114</v>
      </c>
      <c r="E2876">
        <v>23</v>
      </c>
      <c r="F2876" s="2">
        <v>2.7397260273972601E-2</v>
      </c>
    </row>
    <row r="2877" spans="2:6" x14ac:dyDescent="0.25">
      <c r="B2877" s="33">
        <v>1</v>
      </c>
      <c r="C2877" t="s">
        <v>72</v>
      </c>
      <c r="D2877" t="s">
        <v>209</v>
      </c>
      <c r="E2877">
        <v>20</v>
      </c>
      <c r="F2877" s="2">
        <v>1.643835616438356E-2</v>
      </c>
    </row>
    <row r="2878" spans="2:6" x14ac:dyDescent="0.25">
      <c r="B2878" s="33">
        <v>1</v>
      </c>
      <c r="C2878" t="s">
        <v>1</v>
      </c>
      <c r="D2878" t="s">
        <v>214</v>
      </c>
      <c r="E2878">
        <v>1</v>
      </c>
      <c r="F2878" s="2">
        <v>8.21917808219178E-3</v>
      </c>
    </row>
    <row r="2879" spans="2:6" x14ac:dyDescent="0.25">
      <c r="B2879" s="33">
        <v>1</v>
      </c>
      <c r="C2879" t="s">
        <v>1</v>
      </c>
      <c r="D2879" t="s">
        <v>217</v>
      </c>
      <c r="E2879">
        <v>4</v>
      </c>
      <c r="F2879" s="2">
        <v>8.21917808219178E-3</v>
      </c>
    </row>
    <row r="2880" spans="2:6" x14ac:dyDescent="0.25">
      <c r="B2880" s="33">
        <v>1</v>
      </c>
      <c r="C2880" t="s">
        <v>74</v>
      </c>
      <c r="D2880" t="s">
        <v>174</v>
      </c>
      <c r="E2880">
        <v>2</v>
      </c>
      <c r="F2880" s="2">
        <v>1.3698630136986301E-2</v>
      </c>
    </row>
    <row r="2881" spans="2:6" x14ac:dyDescent="0.25">
      <c r="B2881" s="33">
        <v>1</v>
      </c>
      <c r="C2881" t="s">
        <v>3</v>
      </c>
      <c r="D2881" t="s">
        <v>229</v>
      </c>
      <c r="E2881">
        <v>3</v>
      </c>
      <c r="F2881" s="2">
        <v>5.4794520547945206E-3</v>
      </c>
    </row>
    <row r="2882" spans="2:6" x14ac:dyDescent="0.25">
      <c r="B2882" s="33">
        <v>1</v>
      </c>
      <c r="C2882" t="s">
        <v>69</v>
      </c>
      <c r="D2882" t="s">
        <v>159</v>
      </c>
      <c r="E2882">
        <v>15</v>
      </c>
      <c r="F2882" s="2">
        <v>1.0958904109589041E-2</v>
      </c>
    </row>
    <row r="2883" spans="2:6" x14ac:dyDescent="0.25">
      <c r="B2883" s="33">
        <v>1</v>
      </c>
      <c r="C2883" t="s">
        <v>69</v>
      </c>
      <c r="D2883" t="s">
        <v>223</v>
      </c>
      <c r="E2883">
        <v>11</v>
      </c>
      <c r="F2883" s="2">
        <v>8.21917808219178E-3</v>
      </c>
    </row>
    <row r="2884" spans="2:6" x14ac:dyDescent="0.25">
      <c r="B2884" s="33">
        <v>1</v>
      </c>
      <c r="C2884" t="s">
        <v>69</v>
      </c>
      <c r="D2884" t="s">
        <v>124</v>
      </c>
      <c r="E2884">
        <v>12</v>
      </c>
      <c r="F2884" s="2">
        <v>8.21917808219178E-3</v>
      </c>
    </row>
    <row r="2885" spans="2:6" x14ac:dyDescent="0.25">
      <c r="B2885" s="33">
        <v>1</v>
      </c>
      <c r="C2885" t="s">
        <v>69</v>
      </c>
      <c r="D2885" t="s">
        <v>181</v>
      </c>
      <c r="E2885">
        <v>12</v>
      </c>
      <c r="F2885" s="2">
        <v>8.21917808219178E-3</v>
      </c>
    </row>
    <row r="2886" spans="2:6" x14ac:dyDescent="0.25">
      <c r="B2886" s="33">
        <v>1</v>
      </c>
      <c r="C2886" t="s">
        <v>69</v>
      </c>
      <c r="D2886" t="s">
        <v>223</v>
      </c>
      <c r="E2886">
        <v>12</v>
      </c>
      <c r="F2886" s="2">
        <v>8.21917808219178E-3</v>
      </c>
    </row>
    <row r="2887" spans="2:6" x14ac:dyDescent="0.25">
      <c r="B2887" s="33">
        <v>1</v>
      </c>
      <c r="C2887" t="s">
        <v>126</v>
      </c>
      <c r="D2887" t="s">
        <v>171</v>
      </c>
      <c r="E2887">
        <v>19</v>
      </c>
      <c r="F2887" s="2">
        <v>1.0958904109589041E-2</v>
      </c>
    </row>
    <row r="2888" spans="2:6" x14ac:dyDescent="0.25">
      <c r="B2888" s="33">
        <v>1</v>
      </c>
      <c r="C2888" t="s">
        <v>69</v>
      </c>
      <c r="D2888" t="s">
        <v>183</v>
      </c>
      <c r="E2888">
        <v>18</v>
      </c>
      <c r="F2888" s="2">
        <v>8.21917808219178E-3</v>
      </c>
    </row>
    <row r="2889" spans="2:6" x14ac:dyDescent="0.25">
      <c r="B2889" s="33">
        <v>1</v>
      </c>
      <c r="C2889" t="s">
        <v>1</v>
      </c>
      <c r="D2889" t="s">
        <v>214</v>
      </c>
      <c r="E2889">
        <v>22</v>
      </c>
      <c r="F2889" s="2">
        <v>1.0958904109589041E-2</v>
      </c>
    </row>
    <row r="2890" spans="2:6" x14ac:dyDescent="0.25">
      <c r="B2890" s="33">
        <v>1</v>
      </c>
      <c r="C2890" t="s">
        <v>72</v>
      </c>
      <c r="D2890" t="s">
        <v>240</v>
      </c>
      <c r="E2890">
        <v>19</v>
      </c>
      <c r="F2890" s="2">
        <v>1.3698630136986301E-2</v>
      </c>
    </row>
    <row r="2891" spans="2:6" x14ac:dyDescent="0.25">
      <c r="B2891" s="33">
        <v>1</v>
      </c>
      <c r="C2891" t="s">
        <v>126</v>
      </c>
      <c r="D2891" t="s">
        <v>169</v>
      </c>
      <c r="E2891">
        <v>21</v>
      </c>
      <c r="F2891" s="2">
        <v>1.0958904109589041E-2</v>
      </c>
    </row>
    <row r="2892" spans="2:6" x14ac:dyDescent="0.25">
      <c r="B2892" s="33">
        <v>1</v>
      </c>
      <c r="C2892" t="s">
        <v>88</v>
      </c>
      <c r="D2892" t="s">
        <v>156</v>
      </c>
      <c r="E2892">
        <v>23</v>
      </c>
      <c r="F2892" s="2">
        <v>2.1917808219178082E-2</v>
      </c>
    </row>
    <row r="2893" spans="2:6" x14ac:dyDescent="0.25">
      <c r="B2893" s="33">
        <v>1</v>
      </c>
      <c r="C2893" t="s">
        <v>66</v>
      </c>
      <c r="D2893" t="s">
        <v>202</v>
      </c>
      <c r="E2893">
        <v>1</v>
      </c>
      <c r="F2893" s="2">
        <v>8.21917808219178E-3</v>
      </c>
    </row>
    <row r="2894" spans="2:6" x14ac:dyDescent="0.25">
      <c r="B2894" s="33">
        <v>1</v>
      </c>
      <c r="C2894" t="s">
        <v>103</v>
      </c>
      <c r="D2894" t="s">
        <v>137</v>
      </c>
      <c r="E2894">
        <v>0</v>
      </c>
      <c r="F2894" s="2">
        <v>8.21917808219178E-3</v>
      </c>
    </row>
    <row r="2895" spans="2:6" x14ac:dyDescent="0.25">
      <c r="B2895" s="33">
        <v>1</v>
      </c>
      <c r="C2895" t="s">
        <v>126</v>
      </c>
      <c r="D2895" t="s">
        <v>171</v>
      </c>
      <c r="E2895">
        <v>1</v>
      </c>
      <c r="F2895" s="2">
        <v>2.7397260273972603E-3</v>
      </c>
    </row>
    <row r="2896" spans="2:6" x14ac:dyDescent="0.25">
      <c r="B2896" s="33">
        <v>1</v>
      </c>
      <c r="C2896" t="s">
        <v>2</v>
      </c>
      <c r="D2896" t="s">
        <v>185</v>
      </c>
      <c r="E2896">
        <v>1</v>
      </c>
      <c r="F2896" s="2">
        <v>1.0958904109589041E-2</v>
      </c>
    </row>
    <row r="2897" spans="2:6" x14ac:dyDescent="0.25">
      <c r="B2897" s="33">
        <v>1</v>
      </c>
      <c r="C2897" t="s">
        <v>4</v>
      </c>
      <c r="D2897" t="s">
        <v>106</v>
      </c>
      <c r="E2897">
        <v>1</v>
      </c>
      <c r="F2897" s="2">
        <v>2.4657534246575342E-2</v>
      </c>
    </row>
    <row r="2898" spans="2:6" x14ac:dyDescent="0.25">
      <c r="B2898" s="33">
        <v>1</v>
      </c>
      <c r="C2898" t="s">
        <v>72</v>
      </c>
      <c r="D2898" t="s">
        <v>163</v>
      </c>
      <c r="E2898">
        <v>1</v>
      </c>
      <c r="F2898" s="2">
        <v>1.0958904109589041E-2</v>
      </c>
    </row>
    <row r="2899" spans="2:6" x14ac:dyDescent="0.25">
      <c r="B2899" s="33">
        <v>1</v>
      </c>
      <c r="C2899" t="s">
        <v>6</v>
      </c>
      <c r="D2899" t="s">
        <v>23</v>
      </c>
      <c r="E2899">
        <v>6</v>
      </c>
      <c r="F2899" s="2">
        <v>1.0958904109589041E-2</v>
      </c>
    </row>
    <row r="2900" spans="2:6" x14ac:dyDescent="0.25">
      <c r="B2900" s="33">
        <v>1</v>
      </c>
      <c r="C2900" t="s">
        <v>88</v>
      </c>
      <c r="D2900" t="s">
        <v>160</v>
      </c>
      <c r="E2900">
        <v>5</v>
      </c>
      <c r="F2900" s="2">
        <v>1.0958904109589041E-2</v>
      </c>
    </row>
    <row r="2901" spans="2:6" x14ac:dyDescent="0.25">
      <c r="B2901" s="33">
        <v>1</v>
      </c>
      <c r="C2901" t="s">
        <v>6</v>
      </c>
      <c r="D2901" t="s">
        <v>44</v>
      </c>
      <c r="E2901">
        <v>16</v>
      </c>
      <c r="F2901" s="2">
        <v>8.21917808219178E-3</v>
      </c>
    </row>
    <row r="2902" spans="2:6" x14ac:dyDescent="0.25">
      <c r="B2902" s="33">
        <v>1</v>
      </c>
      <c r="C2902" t="s">
        <v>1</v>
      </c>
      <c r="D2902" t="s">
        <v>144</v>
      </c>
      <c r="E2902">
        <v>5</v>
      </c>
      <c r="F2902" s="2">
        <v>8.21917808219178E-3</v>
      </c>
    </row>
    <row r="2903" spans="2:6" x14ac:dyDescent="0.25">
      <c r="B2903" s="33">
        <v>1</v>
      </c>
      <c r="C2903" t="s">
        <v>3</v>
      </c>
      <c r="D2903" t="s">
        <v>79</v>
      </c>
      <c r="E2903">
        <v>3</v>
      </c>
      <c r="F2903" s="2">
        <v>5.4794520547945206E-3</v>
      </c>
    </row>
    <row r="2904" spans="2:6" x14ac:dyDescent="0.25">
      <c r="B2904" s="33">
        <v>1</v>
      </c>
      <c r="C2904" t="s">
        <v>69</v>
      </c>
      <c r="D2904" t="s">
        <v>233</v>
      </c>
      <c r="E2904">
        <v>8</v>
      </c>
      <c r="F2904" s="2">
        <v>8.21917808219178E-3</v>
      </c>
    </row>
    <row r="2905" spans="2:6" x14ac:dyDescent="0.25">
      <c r="B2905" s="33">
        <v>1</v>
      </c>
      <c r="C2905" t="s">
        <v>69</v>
      </c>
      <c r="D2905" t="s">
        <v>218</v>
      </c>
      <c r="E2905">
        <v>10</v>
      </c>
      <c r="F2905" s="2">
        <v>8.21917808219178E-3</v>
      </c>
    </row>
    <row r="2906" spans="2:6" x14ac:dyDescent="0.25">
      <c r="B2906" s="33">
        <v>1</v>
      </c>
      <c r="C2906" t="s">
        <v>4</v>
      </c>
      <c r="D2906" t="s">
        <v>166</v>
      </c>
      <c r="E2906">
        <v>12</v>
      </c>
      <c r="F2906" s="2">
        <v>1.0958904109589041E-2</v>
      </c>
    </row>
    <row r="2907" spans="2:6" x14ac:dyDescent="0.25">
      <c r="B2907" s="33">
        <v>1</v>
      </c>
      <c r="C2907" t="s">
        <v>77</v>
      </c>
      <c r="D2907" t="s">
        <v>210</v>
      </c>
      <c r="E2907">
        <v>13</v>
      </c>
      <c r="F2907" s="2">
        <v>1.0958904109589041E-2</v>
      </c>
    </row>
    <row r="2908" spans="2:6" x14ac:dyDescent="0.25">
      <c r="B2908" s="33">
        <v>1</v>
      </c>
      <c r="C2908" t="s">
        <v>66</v>
      </c>
      <c r="D2908" t="s">
        <v>227</v>
      </c>
      <c r="E2908">
        <v>14</v>
      </c>
      <c r="F2908" s="2">
        <v>8.21917808219178E-3</v>
      </c>
    </row>
    <row r="2909" spans="2:6" x14ac:dyDescent="0.25">
      <c r="B2909" s="33">
        <v>1</v>
      </c>
      <c r="C2909" t="s">
        <v>69</v>
      </c>
      <c r="D2909" t="s">
        <v>215</v>
      </c>
      <c r="E2909">
        <v>22</v>
      </c>
      <c r="F2909" s="2">
        <v>8.21917808219178E-3</v>
      </c>
    </row>
    <row r="2910" spans="2:6" x14ac:dyDescent="0.25">
      <c r="B2910" s="33">
        <v>1</v>
      </c>
      <c r="C2910" t="s">
        <v>3</v>
      </c>
      <c r="D2910" t="s">
        <v>229</v>
      </c>
      <c r="E2910">
        <v>22</v>
      </c>
      <c r="F2910" s="2">
        <v>8.21917808219178E-3</v>
      </c>
    </row>
    <row r="2911" spans="2:6" x14ac:dyDescent="0.25">
      <c r="B2911" s="33">
        <v>1</v>
      </c>
      <c r="C2911" t="s">
        <v>66</v>
      </c>
      <c r="D2911" t="s">
        <v>235</v>
      </c>
      <c r="E2911">
        <v>19</v>
      </c>
      <c r="F2911" s="2">
        <v>8.21917808219178E-3</v>
      </c>
    </row>
    <row r="2912" spans="2:6" x14ac:dyDescent="0.25">
      <c r="B2912" s="33">
        <v>1</v>
      </c>
      <c r="C2912" t="s">
        <v>66</v>
      </c>
      <c r="D2912" t="s">
        <v>151</v>
      </c>
      <c r="E2912">
        <v>4</v>
      </c>
      <c r="F2912" s="2">
        <v>8.21917808219178E-3</v>
      </c>
    </row>
    <row r="2913" spans="2:6" x14ac:dyDescent="0.25">
      <c r="B2913" s="33">
        <v>1</v>
      </c>
      <c r="C2913" t="s">
        <v>72</v>
      </c>
      <c r="D2913" t="s">
        <v>163</v>
      </c>
      <c r="E2913">
        <v>6</v>
      </c>
      <c r="F2913" s="2">
        <v>1.0958904109589041E-2</v>
      </c>
    </row>
    <row r="2914" spans="2:6" x14ac:dyDescent="0.25">
      <c r="B2914" s="33">
        <v>1</v>
      </c>
      <c r="C2914" t="s">
        <v>72</v>
      </c>
      <c r="D2914" t="s">
        <v>163</v>
      </c>
      <c r="E2914">
        <v>5</v>
      </c>
      <c r="F2914" s="2">
        <v>1.0958904109589041E-2</v>
      </c>
    </row>
    <row r="2915" spans="2:6" x14ac:dyDescent="0.25">
      <c r="B2915" s="33">
        <v>1</v>
      </c>
      <c r="C2915" t="s">
        <v>64</v>
      </c>
      <c r="D2915" t="s">
        <v>71</v>
      </c>
      <c r="E2915">
        <v>2</v>
      </c>
      <c r="F2915" s="2">
        <v>8.21917808219178E-3</v>
      </c>
    </row>
    <row r="2916" spans="2:6" x14ac:dyDescent="0.25">
      <c r="B2916" s="33">
        <v>1</v>
      </c>
      <c r="C2916" t="s">
        <v>74</v>
      </c>
      <c r="D2916" t="s">
        <v>221</v>
      </c>
      <c r="E2916">
        <v>8</v>
      </c>
      <c r="F2916" s="2">
        <v>1.0958904109589041E-2</v>
      </c>
    </row>
    <row r="2917" spans="2:6" x14ac:dyDescent="0.25">
      <c r="B2917" s="33">
        <v>1</v>
      </c>
      <c r="C2917" t="s">
        <v>3</v>
      </c>
      <c r="D2917" t="s">
        <v>226</v>
      </c>
      <c r="E2917">
        <v>15</v>
      </c>
      <c r="F2917" s="2">
        <v>1.3698630136986301E-2</v>
      </c>
    </row>
    <row r="2918" spans="2:6" x14ac:dyDescent="0.25">
      <c r="B2918" s="33">
        <v>1</v>
      </c>
      <c r="C2918" t="s">
        <v>66</v>
      </c>
      <c r="D2918" t="s">
        <v>212</v>
      </c>
      <c r="E2918">
        <v>10</v>
      </c>
      <c r="F2918" s="2">
        <v>8.21917808219178E-3</v>
      </c>
    </row>
    <row r="2919" spans="2:6" x14ac:dyDescent="0.25">
      <c r="B2919" s="33">
        <v>1</v>
      </c>
      <c r="C2919" t="s">
        <v>77</v>
      </c>
      <c r="D2919" t="s">
        <v>142</v>
      </c>
      <c r="E2919">
        <v>20</v>
      </c>
      <c r="F2919" s="2">
        <v>1.0958904109589041E-2</v>
      </c>
    </row>
    <row r="2920" spans="2:6" x14ac:dyDescent="0.25">
      <c r="B2920" s="33">
        <v>1</v>
      </c>
      <c r="C2920" t="s">
        <v>3</v>
      </c>
      <c r="D2920" t="s">
        <v>173</v>
      </c>
      <c r="E2920">
        <v>22</v>
      </c>
      <c r="F2920" s="2">
        <v>8.21917808219178E-3</v>
      </c>
    </row>
    <row r="2921" spans="2:6" x14ac:dyDescent="0.25">
      <c r="B2921" s="33">
        <v>1</v>
      </c>
      <c r="C2921" t="s">
        <v>66</v>
      </c>
      <c r="D2921" t="s">
        <v>238</v>
      </c>
      <c r="E2921">
        <v>21</v>
      </c>
      <c r="F2921" s="2">
        <v>8.21917808219178E-3</v>
      </c>
    </row>
    <row r="2922" spans="2:6" x14ac:dyDescent="0.25">
      <c r="B2922" s="33">
        <v>1</v>
      </c>
      <c r="C2922" t="s">
        <v>3</v>
      </c>
      <c r="D2922" t="s">
        <v>203</v>
      </c>
      <c r="E2922">
        <v>6</v>
      </c>
      <c r="F2922" s="2">
        <v>5.4794520547945206E-3</v>
      </c>
    </row>
    <row r="2923" spans="2:6" x14ac:dyDescent="0.25">
      <c r="B2923" s="33">
        <v>1</v>
      </c>
      <c r="C2923" t="s">
        <v>103</v>
      </c>
      <c r="D2923" t="s">
        <v>167</v>
      </c>
      <c r="E2923">
        <v>1</v>
      </c>
      <c r="F2923" s="2">
        <v>8.21917808219178E-3</v>
      </c>
    </row>
    <row r="2924" spans="2:6" x14ac:dyDescent="0.25">
      <c r="B2924" s="33">
        <v>1</v>
      </c>
      <c r="C2924" t="s">
        <v>77</v>
      </c>
      <c r="D2924" t="s">
        <v>101</v>
      </c>
      <c r="E2924">
        <v>1</v>
      </c>
      <c r="F2924" s="2">
        <v>5.4794520547945206E-3</v>
      </c>
    </row>
    <row r="2925" spans="2:6" x14ac:dyDescent="0.25">
      <c r="B2925" s="33">
        <v>1</v>
      </c>
      <c r="C2925" t="s">
        <v>69</v>
      </c>
      <c r="D2925" t="s">
        <v>230</v>
      </c>
      <c r="E2925">
        <v>15</v>
      </c>
      <c r="F2925" s="2">
        <v>8.21917808219178E-3</v>
      </c>
    </row>
    <row r="2926" spans="2:6" x14ac:dyDescent="0.25">
      <c r="B2926" s="33">
        <v>1</v>
      </c>
      <c r="C2926" t="s">
        <v>77</v>
      </c>
      <c r="D2926" t="s">
        <v>204</v>
      </c>
      <c r="E2926">
        <v>11</v>
      </c>
      <c r="F2926" s="2">
        <v>1.0958904109589041E-2</v>
      </c>
    </row>
    <row r="2927" spans="2:6" x14ac:dyDescent="0.25">
      <c r="B2927" s="33">
        <v>1</v>
      </c>
      <c r="C2927" t="s">
        <v>77</v>
      </c>
      <c r="D2927" t="s">
        <v>193</v>
      </c>
      <c r="E2927">
        <v>15</v>
      </c>
      <c r="F2927" s="2">
        <v>1.0958904109589041E-2</v>
      </c>
    </row>
    <row r="2928" spans="2:6" x14ac:dyDescent="0.25">
      <c r="B2928" s="33">
        <v>1</v>
      </c>
      <c r="C2928" t="s">
        <v>64</v>
      </c>
      <c r="D2928" t="s">
        <v>165</v>
      </c>
      <c r="E2928">
        <v>20</v>
      </c>
      <c r="F2928" s="2">
        <v>2.7397260273972603E-3</v>
      </c>
    </row>
    <row r="2929" spans="2:6" x14ac:dyDescent="0.25">
      <c r="B2929" s="33">
        <v>1</v>
      </c>
      <c r="C2929" t="s">
        <v>103</v>
      </c>
      <c r="D2929" t="s">
        <v>158</v>
      </c>
      <c r="E2929">
        <v>21</v>
      </c>
      <c r="F2929" s="2">
        <v>8.21917808219178E-3</v>
      </c>
    </row>
    <row r="2930" spans="2:6" x14ac:dyDescent="0.25">
      <c r="B2930" s="33">
        <v>1</v>
      </c>
      <c r="C2930" t="s">
        <v>77</v>
      </c>
      <c r="D2930" t="s">
        <v>85</v>
      </c>
      <c r="E2930">
        <v>20</v>
      </c>
      <c r="F2930" s="2">
        <v>8.21917808219178E-3</v>
      </c>
    </row>
    <row r="2931" spans="2:6" x14ac:dyDescent="0.25">
      <c r="B2931" s="33">
        <v>1</v>
      </c>
      <c r="C2931" t="s">
        <v>74</v>
      </c>
      <c r="D2931" t="s">
        <v>221</v>
      </c>
      <c r="E2931">
        <v>20</v>
      </c>
      <c r="F2931" s="2">
        <v>1.0958904109589041E-2</v>
      </c>
    </row>
    <row r="2932" spans="2:6" x14ac:dyDescent="0.25">
      <c r="B2932" s="33">
        <v>1</v>
      </c>
      <c r="C2932" t="s">
        <v>6</v>
      </c>
      <c r="D2932" t="s">
        <v>44</v>
      </c>
      <c r="E2932">
        <v>14</v>
      </c>
      <c r="F2932" s="2">
        <v>8.21917808219178E-3</v>
      </c>
    </row>
    <row r="2933" spans="2:6" x14ac:dyDescent="0.25">
      <c r="B2933" s="33">
        <v>1</v>
      </c>
      <c r="C2933" t="s">
        <v>74</v>
      </c>
      <c r="D2933" t="s">
        <v>75</v>
      </c>
      <c r="E2933">
        <v>4</v>
      </c>
      <c r="F2933" s="2">
        <v>1.3698630136986301E-2</v>
      </c>
    </row>
    <row r="2934" spans="2:6" x14ac:dyDescent="0.25">
      <c r="B2934" s="33">
        <v>1</v>
      </c>
      <c r="C2934" t="s">
        <v>6</v>
      </c>
      <c r="D2934" t="s">
        <v>38</v>
      </c>
      <c r="E2934">
        <v>19</v>
      </c>
      <c r="F2934" s="2">
        <v>8.21917808219178E-3</v>
      </c>
    </row>
    <row r="2935" spans="2:6" x14ac:dyDescent="0.25">
      <c r="B2935" s="33">
        <v>1</v>
      </c>
      <c r="C2935" t="s">
        <v>3</v>
      </c>
      <c r="D2935" t="s">
        <v>173</v>
      </c>
      <c r="E2935">
        <v>10</v>
      </c>
      <c r="F2935" s="2">
        <v>1.3698630136986301E-2</v>
      </c>
    </row>
    <row r="2936" spans="2:6" x14ac:dyDescent="0.25">
      <c r="B2936" s="33">
        <v>1</v>
      </c>
      <c r="C2936" t="s">
        <v>77</v>
      </c>
      <c r="D2936" t="s">
        <v>204</v>
      </c>
      <c r="E2936">
        <v>9</v>
      </c>
      <c r="F2936" s="2">
        <v>1.0958904109589041E-2</v>
      </c>
    </row>
    <row r="2937" spans="2:6" x14ac:dyDescent="0.25">
      <c r="B2937" s="33">
        <v>1</v>
      </c>
      <c r="C2937" t="s">
        <v>64</v>
      </c>
      <c r="D2937" t="s">
        <v>165</v>
      </c>
      <c r="E2937">
        <v>17</v>
      </c>
      <c r="F2937" s="2">
        <v>1.0958904109589041E-2</v>
      </c>
    </row>
    <row r="2938" spans="2:6" x14ac:dyDescent="0.25">
      <c r="B2938" s="33">
        <v>1</v>
      </c>
      <c r="C2938" t="s">
        <v>77</v>
      </c>
      <c r="D2938" t="s">
        <v>224</v>
      </c>
      <c r="E2938">
        <v>18</v>
      </c>
      <c r="F2938" s="2">
        <v>8.21917808219178E-3</v>
      </c>
    </row>
    <row r="2939" spans="2:6" x14ac:dyDescent="0.25">
      <c r="B2939" s="33">
        <v>1</v>
      </c>
      <c r="C2939" t="s">
        <v>77</v>
      </c>
      <c r="D2939" t="s">
        <v>146</v>
      </c>
      <c r="E2939">
        <v>22</v>
      </c>
      <c r="F2939" s="2">
        <v>8.21917808219178E-3</v>
      </c>
    </row>
    <row r="2940" spans="2:6" x14ac:dyDescent="0.25">
      <c r="B2940" s="33">
        <v>1</v>
      </c>
      <c r="C2940" t="s">
        <v>69</v>
      </c>
      <c r="D2940" t="s">
        <v>197</v>
      </c>
      <c r="E2940">
        <v>23</v>
      </c>
      <c r="F2940" s="2">
        <v>8.21917808219178E-3</v>
      </c>
    </row>
    <row r="2941" spans="2:6" x14ac:dyDescent="0.25">
      <c r="B2941" s="33">
        <v>1</v>
      </c>
      <c r="C2941" t="s">
        <v>69</v>
      </c>
      <c r="D2941" t="s">
        <v>241</v>
      </c>
      <c r="E2941">
        <v>17</v>
      </c>
      <c r="F2941" s="2">
        <v>8.21917808219178E-3</v>
      </c>
    </row>
    <row r="2942" spans="2:6" x14ac:dyDescent="0.25">
      <c r="B2942" s="33">
        <v>1</v>
      </c>
      <c r="C2942" t="s">
        <v>69</v>
      </c>
      <c r="D2942" t="s">
        <v>148</v>
      </c>
      <c r="E2942">
        <v>0</v>
      </c>
      <c r="F2942" s="2">
        <v>5.4794520547945206E-3</v>
      </c>
    </row>
    <row r="2943" spans="2:6" x14ac:dyDescent="0.25">
      <c r="B2943" s="33">
        <v>1</v>
      </c>
      <c r="C2943" t="s">
        <v>103</v>
      </c>
      <c r="D2943" t="s">
        <v>139</v>
      </c>
      <c r="E2943">
        <v>7</v>
      </c>
      <c r="F2943" s="2">
        <v>1.3698630136986301E-2</v>
      </c>
    </row>
    <row r="2944" spans="2:6" x14ac:dyDescent="0.25">
      <c r="B2944" s="33">
        <v>1</v>
      </c>
      <c r="C2944" t="s">
        <v>69</v>
      </c>
      <c r="D2944" t="s">
        <v>215</v>
      </c>
      <c r="E2944">
        <v>10</v>
      </c>
      <c r="F2944" s="2">
        <v>8.21917808219178E-3</v>
      </c>
    </row>
    <row r="2945" spans="2:6" x14ac:dyDescent="0.25">
      <c r="B2945" s="33">
        <v>1</v>
      </c>
      <c r="C2945" t="s">
        <v>4</v>
      </c>
      <c r="D2945" t="s">
        <v>178</v>
      </c>
      <c r="E2945">
        <v>9</v>
      </c>
      <c r="F2945" s="2">
        <v>1.0958904109589041E-2</v>
      </c>
    </row>
    <row r="2946" spans="2:6" x14ac:dyDescent="0.25">
      <c r="B2946" s="33">
        <v>1</v>
      </c>
      <c r="C2946" t="s">
        <v>77</v>
      </c>
      <c r="D2946" t="s">
        <v>146</v>
      </c>
      <c r="E2946">
        <v>11</v>
      </c>
      <c r="F2946" s="2">
        <v>1.0958904109589041E-2</v>
      </c>
    </row>
    <row r="2947" spans="2:6" x14ac:dyDescent="0.25">
      <c r="B2947" s="33">
        <v>1</v>
      </c>
      <c r="C2947" t="s">
        <v>66</v>
      </c>
      <c r="D2947" t="s">
        <v>239</v>
      </c>
      <c r="E2947">
        <v>9</v>
      </c>
      <c r="F2947" s="2">
        <v>8.21917808219178E-3</v>
      </c>
    </row>
    <row r="2948" spans="2:6" x14ac:dyDescent="0.25">
      <c r="B2948" s="33">
        <v>1</v>
      </c>
      <c r="C2948" t="s">
        <v>4</v>
      </c>
      <c r="D2948" t="s">
        <v>178</v>
      </c>
      <c r="E2948">
        <v>19</v>
      </c>
      <c r="F2948" s="2">
        <v>1.643835616438356E-2</v>
      </c>
    </row>
    <row r="2949" spans="2:6" x14ac:dyDescent="0.25">
      <c r="B2949" s="33">
        <v>1</v>
      </c>
      <c r="C2949" t="s">
        <v>6</v>
      </c>
      <c r="D2949" t="s">
        <v>44</v>
      </c>
      <c r="E2949">
        <v>9</v>
      </c>
      <c r="F2949" s="2">
        <v>8.21917808219178E-3</v>
      </c>
    </row>
    <row r="2950" spans="2:6" x14ac:dyDescent="0.25">
      <c r="B2950" s="33">
        <v>1</v>
      </c>
      <c r="C2950" t="s">
        <v>69</v>
      </c>
      <c r="D2950" t="s">
        <v>181</v>
      </c>
      <c r="E2950">
        <v>23</v>
      </c>
      <c r="F2950" s="2">
        <v>8.21917808219178E-3</v>
      </c>
    </row>
    <row r="2951" spans="2:6" x14ac:dyDescent="0.25">
      <c r="B2951" s="33">
        <v>1</v>
      </c>
      <c r="C2951" t="s">
        <v>4</v>
      </c>
      <c r="D2951" t="s">
        <v>153</v>
      </c>
      <c r="E2951">
        <v>23</v>
      </c>
      <c r="F2951" s="2">
        <v>1.643835616438356E-2</v>
      </c>
    </row>
    <row r="2952" spans="2:6" x14ac:dyDescent="0.25">
      <c r="B2952" s="33">
        <v>1</v>
      </c>
      <c r="C2952" t="s">
        <v>3</v>
      </c>
      <c r="D2952" t="s">
        <v>208</v>
      </c>
      <c r="E2952">
        <v>7</v>
      </c>
      <c r="F2952" s="2">
        <v>5.4794520547945206E-3</v>
      </c>
    </row>
    <row r="2953" spans="2:6" x14ac:dyDescent="0.25">
      <c r="B2953" s="33">
        <v>1</v>
      </c>
      <c r="C2953" t="s">
        <v>64</v>
      </c>
      <c r="D2953" t="s">
        <v>165</v>
      </c>
      <c r="E2953">
        <v>0</v>
      </c>
      <c r="F2953" s="2">
        <v>8.21917808219178E-3</v>
      </c>
    </row>
    <row r="2954" spans="2:6" x14ac:dyDescent="0.25">
      <c r="B2954" s="33">
        <v>1</v>
      </c>
      <c r="C2954" t="s">
        <v>77</v>
      </c>
      <c r="D2954" t="s">
        <v>192</v>
      </c>
      <c r="E2954">
        <v>0</v>
      </c>
      <c r="F2954" s="2">
        <v>5.4794520547945206E-3</v>
      </c>
    </row>
    <row r="2955" spans="2:6" x14ac:dyDescent="0.25">
      <c r="B2955" s="33">
        <v>1</v>
      </c>
      <c r="C2955" t="s">
        <v>2</v>
      </c>
      <c r="D2955" t="s">
        <v>172</v>
      </c>
      <c r="E2955">
        <v>7</v>
      </c>
      <c r="F2955" s="2">
        <v>1.0958904109589041E-2</v>
      </c>
    </row>
    <row r="2956" spans="2:6" x14ac:dyDescent="0.25">
      <c r="B2956" s="33">
        <v>1</v>
      </c>
      <c r="C2956" t="s">
        <v>0</v>
      </c>
      <c r="D2956" t="s">
        <v>150</v>
      </c>
      <c r="E2956">
        <v>12</v>
      </c>
      <c r="F2956" s="2">
        <v>3.5616438356164383E-2</v>
      </c>
    </row>
    <row r="2957" spans="2:6" x14ac:dyDescent="0.25">
      <c r="B2957" s="33">
        <v>1</v>
      </c>
      <c r="C2957" t="s">
        <v>3</v>
      </c>
      <c r="D2957" t="s">
        <v>203</v>
      </c>
      <c r="E2957">
        <v>12</v>
      </c>
      <c r="F2957" s="2">
        <v>1.0958904109589041E-2</v>
      </c>
    </row>
    <row r="2958" spans="2:6" x14ac:dyDescent="0.25">
      <c r="B2958" s="33">
        <v>1</v>
      </c>
      <c r="C2958" t="s">
        <v>69</v>
      </c>
      <c r="D2958" t="s">
        <v>154</v>
      </c>
      <c r="E2958">
        <v>15</v>
      </c>
      <c r="F2958" s="2">
        <v>8.21917808219178E-3</v>
      </c>
    </row>
    <row r="2959" spans="2:6" x14ac:dyDescent="0.25">
      <c r="B2959" s="33">
        <v>1</v>
      </c>
      <c r="C2959" t="s">
        <v>69</v>
      </c>
      <c r="D2959" t="s">
        <v>197</v>
      </c>
      <c r="E2959">
        <v>22</v>
      </c>
      <c r="F2959" s="2">
        <v>8.21917808219178E-3</v>
      </c>
    </row>
    <row r="2960" spans="2:6" x14ac:dyDescent="0.25">
      <c r="B2960" s="33">
        <v>1</v>
      </c>
      <c r="C2960" t="s">
        <v>1</v>
      </c>
      <c r="D2960" t="s">
        <v>189</v>
      </c>
      <c r="E2960">
        <v>22</v>
      </c>
      <c r="F2960" s="2">
        <v>8.21917808219178E-3</v>
      </c>
    </row>
    <row r="2961" spans="2:6" x14ac:dyDescent="0.25">
      <c r="B2961" s="33">
        <v>1</v>
      </c>
      <c r="C2961" t="s">
        <v>2</v>
      </c>
      <c r="D2961" t="s">
        <v>198</v>
      </c>
      <c r="E2961">
        <v>23</v>
      </c>
      <c r="F2961" s="2">
        <v>1.3698630136986301E-2</v>
      </c>
    </row>
    <row r="2962" spans="2:6" x14ac:dyDescent="0.25">
      <c r="B2962" s="33">
        <v>1</v>
      </c>
      <c r="C2962" t="s">
        <v>3</v>
      </c>
      <c r="D2962" t="s">
        <v>188</v>
      </c>
      <c r="E2962">
        <v>20</v>
      </c>
      <c r="F2962" s="2">
        <v>8.21917808219178E-3</v>
      </c>
    </row>
    <row r="2963" spans="2:6" x14ac:dyDescent="0.25">
      <c r="B2963" s="33">
        <v>1</v>
      </c>
      <c r="C2963" t="s">
        <v>66</v>
      </c>
      <c r="D2963" t="s">
        <v>202</v>
      </c>
      <c r="E2963">
        <v>0</v>
      </c>
      <c r="F2963" s="2">
        <v>8.21917808219178E-3</v>
      </c>
    </row>
    <row r="2964" spans="2:6" x14ac:dyDescent="0.25">
      <c r="B2964" s="33">
        <v>1</v>
      </c>
      <c r="C2964" t="s">
        <v>126</v>
      </c>
      <c r="D2964" t="s">
        <v>127</v>
      </c>
      <c r="E2964">
        <v>2</v>
      </c>
      <c r="F2964" s="2">
        <v>1.0958904109589041E-2</v>
      </c>
    </row>
    <row r="2965" spans="2:6" x14ac:dyDescent="0.25">
      <c r="B2965" s="33">
        <v>1</v>
      </c>
      <c r="C2965" t="s">
        <v>126</v>
      </c>
      <c r="D2965" t="s">
        <v>127</v>
      </c>
      <c r="E2965">
        <v>22</v>
      </c>
      <c r="F2965" s="2">
        <v>1.0958904109589041E-2</v>
      </c>
    </row>
    <row r="2966" spans="2:6" x14ac:dyDescent="0.25">
      <c r="B2966" s="33">
        <v>1</v>
      </c>
      <c r="C2966" t="s">
        <v>69</v>
      </c>
      <c r="D2966" t="s">
        <v>181</v>
      </c>
      <c r="E2966">
        <v>18</v>
      </c>
      <c r="F2966" s="2">
        <v>8.21917808219178E-3</v>
      </c>
    </row>
    <row r="2967" spans="2:6" x14ac:dyDescent="0.25">
      <c r="B2967" s="33">
        <v>1</v>
      </c>
      <c r="C2967" t="s">
        <v>2</v>
      </c>
      <c r="D2967" t="s">
        <v>170</v>
      </c>
      <c r="E2967">
        <v>20</v>
      </c>
      <c r="F2967" s="2">
        <v>1.0958904109589041E-2</v>
      </c>
    </row>
    <row r="2968" spans="2:6" x14ac:dyDescent="0.25">
      <c r="B2968" s="33">
        <v>1</v>
      </c>
      <c r="C2968" t="s">
        <v>3</v>
      </c>
      <c r="D2968" t="s">
        <v>161</v>
      </c>
      <c r="E2968">
        <v>22</v>
      </c>
      <c r="F2968" s="2">
        <v>8.21917808219178E-3</v>
      </c>
    </row>
    <row r="2969" spans="2:6" x14ac:dyDescent="0.25">
      <c r="B2969" s="33">
        <v>1</v>
      </c>
      <c r="C2969" t="s">
        <v>103</v>
      </c>
      <c r="D2969" t="s">
        <v>141</v>
      </c>
      <c r="E2969">
        <v>0</v>
      </c>
      <c r="F2969" s="2">
        <v>1.3698630136986301E-2</v>
      </c>
    </row>
    <row r="2970" spans="2:6" x14ac:dyDescent="0.25">
      <c r="B2970" s="33">
        <v>1</v>
      </c>
      <c r="C2970" t="s">
        <v>3</v>
      </c>
      <c r="D2970" t="s">
        <v>180</v>
      </c>
      <c r="E2970">
        <v>6</v>
      </c>
      <c r="F2970" s="2">
        <v>5.4794520547945206E-3</v>
      </c>
    </row>
    <row r="2971" spans="2:6" x14ac:dyDescent="0.25">
      <c r="B2971" s="33">
        <v>1</v>
      </c>
      <c r="C2971" t="s">
        <v>64</v>
      </c>
      <c r="D2971" t="s">
        <v>175</v>
      </c>
      <c r="E2971">
        <v>5</v>
      </c>
      <c r="F2971" s="2">
        <v>8.21917808219178E-3</v>
      </c>
    </row>
    <row r="2972" spans="2:6" x14ac:dyDescent="0.25">
      <c r="B2972" s="33">
        <v>1</v>
      </c>
      <c r="C2972" t="s">
        <v>66</v>
      </c>
      <c r="D2972" t="s">
        <v>219</v>
      </c>
      <c r="E2972">
        <v>8</v>
      </c>
      <c r="F2972" s="2">
        <v>8.21917808219178E-3</v>
      </c>
    </row>
    <row r="2973" spans="2:6" x14ac:dyDescent="0.25">
      <c r="B2973" s="33">
        <v>1</v>
      </c>
      <c r="C2973" t="s">
        <v>3</v>
      </c>
      <c r="D2973" t="s">
        <v>207</v>
      </c>
      <c r="E2973">
        <v>15</v>
      </c>
      <c r="F2973" s="2">
        <v>1.0958904109589041E-2</v>
      </c>
    </row>
    <row r="2974" spans="2:6" x14ac:dyDescent="0.25">
      <c r="B2974" s="33">
        <v>1</v>
      </c>
      <c r="C2974" t="s">
        <v>69</v>
      </c>
      <c r="D2974" t="s">
        <v>220</v>
      </c>
      <c r="E2974">
        <v>12</v>
      </c>
      <c r="F2974" s="2">
        <v>8.21917808219178E-3</v>
      </c>
    </row>
    <row r="2975" spans="2:6" x14ac:dyDescent="0.25">
      <c r="B2975" s="33">
        <v>1</v>
      </c>
      <c r="C2975" t="s">
        <v>77</v>
      </c>
      <c r="D2975" t="s">
        <v>204</v>
      </c>
      <c r="E2975">
        <v>15</v>
      </c>
      <c r="F2975" s="2">
        <v>1.0958904109589041E-2</v>
      </c>
    </row>
    <row r="2976" spans="2:6" x14ac:dyDescent="0.25">
      <c r="B2976" s="33">
        <v>1</v>
      </c>
      <c r="C2976" t="s">
        <v>77</v>
      </c>
      <c r="D2976" t="s">
        <v>196</v>
      </c>
      <c r="E2976">
        <v>11</v>
      </c>
      <c r="F2976" s="2">
        <v>1.0958904109589041E-2</v>
      </c>
    </row>
    <row r="2977" spans="2:6" x14ac:dyDescent="0.25">
      <c r="B2977" s="33">
        <v>1</v>
      </c>
      <c r="C2977" t="s">
        <v>77</v>
      </c>
      <c r="D2977" t="s">
        <v>177</v>
      </c>
      <c r="E2977">
        <v>11</v>
      </c>
      <c r="F2977" s="2">
        <v>1.0958904109589041E-2</v>
      </c>
    </row>
    <row r="2978" spans="2:6" x14ac:dyDescent="0.25">
      <c r="B2978" s="33">
        <v>1</v>
      </c>
      <c r="C2978" t="s">
        <v>1</v>
      </c>
      <c r="D2978" t="s">
        <v>216</v>
      </c>
      <c r="E2978">
        <v>9</v>
      </c>
      <c r="F2978" s="2">
        <v>1.3698630136986301E-2</v>
      </c>
    </row>
    <row r="2979" spans="2:6" x14ac:dyDescent="0.25">
      <c r="B2979" s="33">
        <v>1</v>
      </c>
      <c r="C2979" t="s">
        <v>103</v>
      </c>
      <c r="D2979" t="s">
        <v>194</v>
      </c>
      <c r="E2979">
        <v>11</v>
      </c>
      <c r="F2979" s="2">
        <v>1.3698630136986301E-2</v>
      </c>
    </row>
    <row r="2980" spans="2:6" x14ac:dyDescent="0.25">
      <c r="B2980" s="33">
        <v>1</v>
      </c>
      <c r="C2980" t="s">
        <v>126</v>
      </c>
      <c r="D2980" t="s">
        <v>147</v>
      </c>
      <c r="E2980">
        <v>14</v>
      </c>
      <c r="F2980" s="2">
        <v>2.4657534246575342E-2</v>
      </c>
    </row>
    <row r="2981" spans="2:6" x14ac:dyDescent="0.25">
      <c r="B2981" s="33">
        <v>1</v>
      </c>
      <c r="C2981" t="s">
        <v>77</v>
      </c>
      <c r="D2981" t="s">
        <v>85</v>
      </c>
      <c r="E2981">
        <v>18</v>
      </c>
      <c r="F2981" s="2">
        <v>8.21917808219178E-3</v>
      </c>
    </row>
    <row r="2982" spans="2:6" x14ac:dyDescent="0.25">
      <c r="B2982" s="33">
        <v>1</v>
      </c>
      <c r="C2982" t="s">
        <v>64</v>
      </c>
      <c r="D2982" t="s">
        <v>179</v>
      </c>
      <c r="E2982">
        <v>19</v>
      </c>
      <c r="F2982" s="2">
        <v>3.5616438356164383E-2</v>
      </c>
    </row>
    <row r="2983" spans="2:6" x14ac:dyDescent="0.25">
      <c r="B2983" s="33">
        <v>1</v>
      </c>
      <c r="C2983" t="s">
        <v>1</v>
      </c>
      <c r="D2983" t="s">
        <v>217</v>
      </c>
      <c r="E2983">
        <v>22</v>
      </c>
      <c r="F2983" s="2">
        <v>8.21917808219178E-3</v>
      </c>
    </row>
    <row r="2984" spans="2:6" x14ac:dyDescent="0.25">
      <c r="B2984" s="33">
        <v>1</v>
      </c>
      <c r="C2984" t="s">
        <v>103</v>
      </c>
      <c r="D2984" t="s">
        <v>45</v>
      </c>
      <c r="E2984">
        <v>1</v>
      </c>
      <c r="F2984" s="2">
        <v>2.7397260273972603E-3</v>
      </c>
    </row>
    <row r="2985" spans="2:6" x14ac:dyDescent="0.25">
      <c r="B2985" s="33">
        <v>1</v>
      </c>
      <c r="C2985" t="s">
        <v>126</v>
      </c>
      <c r="D2985" t="s">
        <v>147</v>
      </c>
      <c r="E2985">
        <v>1</v>
      </c>
      <c r="F2985" s="2">
        <v>8.21917808219178E-3</v>
      </c>
    </row>
    <row r="2986" spans="2:6" x14ac:dyDescent="0.25">
      <c r="B2986" s="33">
        <v>1</v>
      </c>
      <c r="C2986" t="s">
        <v>64</v>
      </c>
      <c r="D2986" t="s">
        <v>116</v>
      </c>
      <c r="E2986">
        <v>6</v>
      </c>
      <c r="F2986" s="2">
        <v>8.21917808219178E-3</v>
      </c>
    </row>
    <row r="2987" spans="2:6" x14ac:dyDescent="0.25">
      <c r="B2987" s="33">
        <v>1</v>
      </c>
      <c r="C2987" t="s">
        <v>3</v>
      </c>
      <c r="D2987" t="s">
        <v>100</v>
      </c>
      <c r="E2987">
        <v>3</v>
      </c>
      <c r="F2987" s="2">
        <v>5.4794520547945206E-3</v>
      </c>
    </row>
    <row r="2988" spans="2:6" x14ac:dyDescent="0.25">
      <c r="B2988" s="33">
        <v>1</v>
      </c>
      <c r="C2988" t="s">
        <v>77</v>
      </c>
      <c r="D2988" t="s">
        <v>224</v>
      </c>
      <c r="E2988">
        <v>13</v>
      </c>
      <c r="F2988" s="2">
        <v>1.0958904109589041E-2</v>
      </c>
    </row>
    <row r="2989" spans="2:6" x14ac:dyDescent="0.25">
      <c r="B2989" s="33">
        <v>1</v>
      </c>
      <c r="C2989" t="s">
        <v>72</v>
      </c>
      <c r="D2989" t="s">
        <v>209</v>
      </c>
      <c r="E2989">
        <v>16</v>
      </c>
      <c r="F2989" s="2">
        <v>1.3698630136986301E-2</v>
      </c>
    </row>
    <row r="2990" spans="2:6" x14ac:dyDescent="0.25">
      <c r="B2990" s="33">
        <v>1</v>
      </c>
      <c r="C2990" t="s">
        <v>90</v>
      </c>
      <c r="D2990" t="s">
        <v>164</v>
      </c>
      <c r="E2990">
        <v>3</v>
      </c>
      <c r="F2990" s="2">
        <v>2.7397260273972603E-3</v>
      </c>
    </row>
    <row r="2991" spans="2:6" x14ac:dyDescent="0.25">
      <c r="B2991" s="33">
        <v>1</v>
      </c>
      <c r="C2991" t="s">
        <v>72</v>
      </c>
      <c r="D2991" t="s">
        <v>187</v>
      </c>
      <c r="E2991">
        <v>2</v>
      </c>
      <c r="F2991" s="2">
        <v>8.21917808219178E-3</v>
      </c>
    </row>
    <row r="2992" spans="2:6" x14ac:dyDescent="0.25">
      <c r="B2992" s="33">
        <v>1</v>
      </c>
      <c r="C2992" t="s">
        <v>2</v>
      </c>
      <c r="D2992" t="s">
        <v>172</v>
      </c>
      <c r="E2992">
        <v>8</v>
      </c>
      <c r="F2992" s="2">
        <v>1.3698630136986301E-2</v>
      </c>
    </row>
    <row r="2993" spans="2:6" x14ac:dyDescent="0.25">
      <c r="B2993" s="33">
        <v>1</v>
      </c>
      <c r="C2993" t="s">
        <v>69</v>
      </c>
      <c r="D2993" t="s">
        <v>154</v>
      </c>
      <c r="E2993">
        <v>19</v>
      </c>
      <c r="F2993" s="2">
        <v>5.4794520547945206E-3</v>
      </c>
    </row>
    <row r="2994" spans="2:6" x14ac:dyDescent="0.25">
      <c r="B2994" s="33">
        <v>1</v>
      </c>
      <c r="C2994" t="s">
        <v>2</v>
      </c>
      <c r="D2994" t="s">
        <v>172</v>
      </c>
      <c r="E2994">
        <v>19</v>
      </c>
      <c r="F2994" s="2">
        <v>1.0958904109589041E-2</v>
      </c>
    </row>
    <row r="2995" spans="2:6" x14ac:dyDescent="0.25">
      <c r="B2995" s="33">
        <v>1</v>
      </c>
      <c r="C2995" t="s">
        <v>3</v>
      </c>
      <c r="D2995" t="s">
        <v>226</v>
      </c>
      <c r="E2995">
        <v>21</v>
      </c>
      <c r="F2995" s="2">
        <v>8.21917808219178E-3</v>
      </c>
    </row>
    <row r="2996" spans="2:6" x14ac:dyDescent="0.25">
      <c r="B2996" s="33">
        <v>1</v>
      </c>
      <c r="C2996" t="s">
        <v>3</v>
      </c>
      <c r="D2996" t="s">
        <v>108</v>
      </c>
      <c r="E2996">
        <v>0</v>
      </c>
      <c r="F2996" s="2">
        <v>5.4794520547945206E-3</v>
      </c>
    </row>
    <row r="2997" spans="2:6" x14ac:dyDescent="0.25">
      <c r="B2997" s="33">
        <v>1</v>
      </c>
      <c r="C2997" t="s">
        <v>72</v>
      </c>
      <c r="D2997" t="s">
        <v>125</v>
      </c>
      <c r="E2997">
        <v>5</v>
      </c>
      <c r="F2997" s="2">
        <v>8.21917808219178E-3</v>
      </c>
    </row>
    <row r="2998" spans="2:6" x14ac:dyDescent="0.25">
      <c r="B2998" s="33">
        <v>1</v>
      </c>
      <c r="C2998" t="s">
        <v>66</v>
      </c>
      <c r="D2998" t="s">
        <v>212</v>
      </c>
      <c r="E2998">
        <v>3</v>
      </c>
      <c r="F2998" s="2">
        <v>8.21917808219178E-3</v>
      </c>
    </row>
    <row r="2999" spans="2:6" x14ac:dyDescent="0.25">
      <c r="B2999" s="33">
        <v>1</v>
      </c>
      <c r="C2999" t="s">
        <v>74</v>
      </c>
      <c r="D2999" t="s">
        <v>174</v>
      </c>
      <c r="E2999">
        <v>3</v>
      </c>
      <c r="F2999" s="2">
        <v>1.3698630136986301E-2</v>
      </c>
    </row>
    <row r="3000" spans="2:6" x14ac:dyDescent="0.25">
      <c r="B3000" s="33">
        <v>1</v>
      </c>
      <c r="C3000" t="s">
        <v>4</v>
      </c>
      <c r="D3000" t="s">
        <v>178</v>
      </c>
      <c r="E3000">
        <v>8</v>
      </c>
      <c r="F3000" s="2">
        <v>1.0958904109589041E-2</v>
      </c>
    </row>
    <row r="3001" spans="2:6" x14ac:dyDescent="0.25">
      <c r="B3001" s="33">
        <v>1</v>
      </c>
      <c r="C3001" t="s">
        <v>77</v>
      </c>
      <c r="D3001" t="s">
        <v>224</v>
      </c>
      <c r="E3001">
        <v>20</v>
      </c>
      <c r="F3001" s="2">
        <v>8.21917808219178E-3</v>
      </c>
    </row>
    <row r="3002" spans="2:6" x14ac:dyDescent="0.25">
      <c r="B3002" s="33">
        <v>1</v>
      </c>
      <c r="C3002" t="s">
        <v>103</v>
      </c>
      <c r="D3002" t="s">
        <v>167</v>
      </c>
      <c r="E3002">
        <v>22</v>
      </c>
      <c r="F3002" s="2">
        <v>8.21917808219178E-3</v>
      </c>
    </row>
    <row r="3003" spans="2:6" x14ac:dyDescent="0.25">
      <c r="B3003" s="33">
        <v>1</v>
      </c>
      <c r="C3003" t="s">
        <v>1</v>
      </c>
      <c r="D3003" t="s">
        <v>176</v>
      </c>
      <c r="E3003">
        <v>22</v>
      </c>
      <c r="F3003" s="2">
        <v>8.21917808219178E-3</v>
      </c>
    </row>
    <row r="3004" spans="2:6" x14ac:dyDescent="0.25">
      <c r="B3004" s="33">
        <v>1</v>
      </c>
      <c r="C3004" t="s">
        <v>66</v>
      </c>
      <c r="D3004" t="s">
        <v>212</v>
      </c>
      <c r="E3004">
        <v>17</v>
      </c>
      <c r="F3004" s="2">
        <v>8.21917808219178E-3</v>
      </c>
    </row>
    <row r="3005" spans="2:6" x14ac:dyDescent="0.25">
      <c r="B3005" s="33">
        <v>1</v>
      </c>
      <c r="C3005" t="s">
        <v>77</v>
      </c>
      <c r="D3005" t="s">
        <v>192</v>
      </c>
      <c r="E3005">
        <v>1</v>
      </c>
      <c r="F3005" s="2">
        <v>5.4794520547945206E-3</v>
      </c>
    </row>
    <row r="3006" spans="2:6" x14ac:dyDescent="0.25">
      <c r="B3006" s="33">
        <v>1</v>
      </c>
      <c r="C3006" t="s">
        <v>1</v>
      </c>
      <c r="D3006" t="s">
        <v>143</v>
      </c>
      <c r="E3006">
        <v>5</v>
      </c>
      <c r="F3006" s="2">
        <v>8.21917808219178E-3</v>
      </c>
    </row>
    <row r="3007" spans="2:6" x14ac:dyDescent="0.25">
      <c r="B3007" s="33">
        <v>1</v>
      </c>
      <c r="C3007" t="s">
        <v>103</v>
      </c>
      <c r="D3007" t="s">
        <v>141</v>
      </c>
      <c r="E3007">
        <v>7</v>
      </c>
      <c r="F3007" s="2">
        <v>1.0958904109589041E-2</v>
      </c>
    </row>
    <row r="3008" spans="2:6" x14ac:dyDescent="0.25">
      <c r="B3008" s="33">
        <v>1</v>
      </c>
      <c r="C3008" t="s">
        <v>66</v>
      </c>
      <c r="D3008" t="s">
        <v>211</v>
      </c>
      <c r="E3008">
        <v>0</v>
      </c>
      <c r="F3008" s="2">
        <v>8.21917808219178E-3</v>
      </c>
    </row>
    <row r="3009" spans="2:6" x14ac:dyDescent="0.25">
      <c r="B3009" s="33">
        <v>1</v>
      </c>
      <c r="C3009" t="s">
        <v>69</v>
      </c>
      <c r="D3009" t="s">
        <v>181</v>
      </c>
      <c r="E3009">
        <v>15</v>
      </c>
      <c r="F3009" s="2">
        <v>8.21917808219178E-3</v>
      </c>
    </row>
    <row r="3010" spans="2:6" x14ac:dyDescent="0.25">
      <c r="B3010" s="33">
        <v>1</v>
      </c>
      <c r="C3010" t="s">
        <v>2</v>
      </c>
      <c r="D3010" t="s">
        <v>172</v>
      </c>
      <c r="E3010">
        <v>22</v>
      </c>
      <c r="F3010" s="2">
        <v>8.21917808219178E-3</v>
      </c>
    </row>
    <row r="3011" spans="2:6" x14ac:dyDescent="0.25">
      <c r="B3011" s="33">
        <v>1</v>
      </c>
      <c r="C3011" t="s">
        <v>2</v>
      </c>
      <c r="D3011" t="s">
        <v>232</v>
      </c>
      <c r="E3011">
        <v>11</v>
      </c>
      <c r="F3011" s="2">
        <v>1.3698630136986301E-2</v>
      </c>
    </row>
    <row r="3012" spans="2:6" x14ac:dyDescent="0.25">
      <c r="B3012" s="33">
        <v>1</v>
      </c>
      <c r="C3012" t="s">
        <v>77</v>
      </c>
      <c r="D3012" t="s">
        <v>204</v>
      </c>
      <c r="E3012">
        <v>10</v>
      </c>
      <c r="F3012" s="2">
        <v>1.0958904109589041E-2</v>
      </c>
    </row>
    <row r="3013" spans="2:6" x14ac:dyDescent="0.25">
      <c r="B3013" s="33">
        <v>1</v>
      </c>
      <c r="C3013" t="s">
        <v>64</v>
      </c>
      <c r="D3013" t="s">
        <v>222</v>
      </c>
      <c r="E3013">
        <v>13</v>
      </c>
      <c r="F3013" s="2">
        <v>8.21917808219178E-3</v>
      </c>
    </row>
    <row r="3014" spans="2:6" x14ac:dyDescent="0.25">
      <c r="B3014" s="33">
        <v>1</v>
      </c>
      <c r="C3014" t="s">
        <v>77</v>
      </c>
      <c r="D3014" t="s">
        <v>193</v>
      </c>
      <c r="E3014">
        <v>11</v>
      </c>
      <c r="F3014" s="2">
        <v>1.0958904109589041E-2</v>
      </c>
    </row>
    <row r="3015" spans="2:6" x14ac:dyDescent="0.25">
      <c r="B3015" s="33">
        <v>1</v>
      </c>
      <c r="C3015" t="s">
        <v>77</v>
      </c>
      <c r="D3015" t="s">
        <v>196</v>
      </c>
      <c r="E3015">
        <v>17</v>
      </c>
      <c r="F3015" s="2">
        <v>8.21917808219178E-3</v>
      </c>
    </row>
    <row r="3016" spans="2:6" x14ac:dyDescent="0.25">
      <c r="B3016" s="33">
        <v>1</v>
      </c>
      <c r="C3016" t="s">
        <v>66</v>
      </c>
      <c r="D3016" t="s">
        <v>211</v>
      </c>
      <c r="E3016">
        <v>21</v>
      </c>
      <c r="F3016" s="2">
        <v>8.21917808219178E-3</v>
      </c>
    </row>
    <row r="3017" spans="2:6" x14ac:dyDescent="0.25">
      <c r="B3017" s="33">
        <v>1</v>
      </c>
      <c r="C3017" t="s">
        <v>69</v>
      </c>
      <c r="D3017" t="s">
        <v>148</v>
      </c>
      <c r="E3017">
        <v>15</v>
      </c>
      <c r="F3017" s="2">
        <v>8.21917808219178E-3</v>
      </c>
    </row>
    <row r="3018" spans="2:6" x14ac:dyDescent="0.25">
      <c r="B3018" s="33">
        <v>1</v>
      </c>
      <c r="C3018" t="s">
        <v>69</v>
      </c>
      <c r="D3018" t="s">
        <v>132</v>
      </c>
      <c r="E3018">
        <v>12</v>
      </c>
      <c r="F3018" s="2">
        <v>8.21917808219178E-3</v>
      </c>
    </row>
    <row r="3019" spans="2:6" x14ac:dyDescent="0.25">
      <c r="B3019" s="33">
        <v>1</v>
      </c>
      <c r="C3019" t="s">
        <v>77</v>
      </c>
      <c r="D3019" t="s">
        <v>146</v>
      </c>
      <c r="E3019">
        <v>10</v>
      </c>
      <c r="F3019" s="2">
        <v>1.0958904109589041E-2</v>
      </c>
    </row>
    <row r="3020" spans="2:6" x14ac:dyDescent="0.25">
      <c r="B3020" s="33">
        <v>1</v>
      </c>
      <c r="C3020" t="s">
        <v>0</v>
      </c>
      <c r="D3020" t="s">
        <v>150</v>
      </c>
      <c r="E3020">
        <v>15</v>
      </c>
      <c r="F3020" s="2">
        <v>3.0136986301369864E-2</v>
      </c>
    </row>
    <row r="3021" spans="2:6" x14ac:dyDescent="0.25">
      <c r="B3021" s="33">
        <v>1</v>
      </c>
      <c r="C3021" t="s">
        <v>77</v>
      </c>
      <c r="D3021" t="s">
        <v>146</v>
      </c>
      <c r="E3021">
        <v>14</v>
      </c>
      <c r="F3021" s="2">
        <v>8.21917808219178E-3</v>
      </c>
    </row>
    <row r="3022" spans="2:6" x14ac:dyDescent="0.25">
      <c r="B3022" s="33">
        <v>1</v>
      </c>
      <c r="C3022" t="s">
        <v>69</v>
      </c>
      <c r="D3022" t="s">
        <v>234</v>
      </c>
      <c r="E3022">
        <v>21</v>
      </c>
      <c r="F3022" s="2">
        <v>5.4794520547945206E-3</v>
      </c>
    </row>
    <row r="3023" spans="2:6" x14ac:dyDescent="0.25">
      <c r="B3023" s="33">
        <v>1</v>
      </c>
      <c r="C3023" t="s">
        <v>69</v>
      </c>
      <c r="D3023" t="s">
        <v>183</v>
      </c>
      <c r="E3023">
        <v>21</v>
      </c>
      <c r="F3023" s="2">
        <v>5.4794520547945206E-3</v>
      </c>
    </row>
    <row r="3024" spans="2:6" x14ac:dyDescent="0.25">
      <c r="B3024" s="33">
        <v>1</v>
      </c>
      <c r="C3024" t="s">
        <v>103</v>
      </c>
      <c r="D3024" t="s">
        <v>137</v>
      </c>
      <c r="E3024">
        <v>22</v>
      </c>
      <c r="F3024" s="2">
        <v>5.4794520547945206E-3</v>
      </c>
    </row>
    <row r="3025" spans="2:6" x14ac:dyDescent="0.25">
      <c r="B3025" s="33">
        <v>1</v>
      </c>
      <c r="C3025" t="s">
        <v>3</v>
      </c>
      <c r="D3025" t="s">
        <v>195</v>
      </c>
      <c r="E3025">
        <v>7</v>
      </c>
      <c r="F3025" s="2">
        <v>5.4794520547945206E-3</v>
      </c>
    </row>
    <row r="3026" spans="2:6" x14ac:dyDescent="0.25">
      <c r="B3026" s="33">
        <v>1</v>
      </c>
      <c r="C3026" t="s">
        <v>77</v>
      </c>
      <c r="D3026" t="s">
        <v>78</v>
      </c>
      <c r="E3026">
        <v>3</v>
      </c>
      <c r="F3026" s="2">
        <v>5.4794520547945206E-3</v>
      </c>
    </row>
    <row r="3027" spans="2:6" x14ac:dyDescent="0.25">
      <c r="B3027" s="33">
        <v>1</v>
      </c>
      <c r="C3027" t="s">
        <v>66</v>
      </c>
      <c r="D3027" t="s">
        <v>93</v>
      </c>
      <c r="E3027">
        <v>6</v>
      </c>
      <c r="F3027" s="2">
        <v>8.21917808219178E-3</v>
      </c>
    </row>
    <row r="3028" spans="2:6" x14ac:dyDescent="0.25">
      <c r="B3028" s="33">
        <v>1</v>
      </c>
      <c r="C3028" t="s">
        <v>6</v>
      </c>
      <c r="D3028" t="s">
        <v>38</v>
      </c>
      <c r="E3028">
        <v>1</v>
      </c>
      <c r="F3028" s="2">
        <v>8.21917808219178E-3</v>
      </c>
    </row>
    <row r="3029" spans="2:6" x14ac:dyDescent="0.25">
      <c r="B3029" s="33">
        <v>1</v>
      </c>
      <c r="C3029" t="s">
        <v>2</v>
      </c>
      <c r="D3029" t="s">
        <v>118</v>
      </c>
      <c r="E3029">
        <v>14</v>
      </c>
      <c r="F3029" s="2">
        <v>1.3698630136986301E-2</v>
      </c>
    </row>
    <row r="3030" spans="2:6" x14ac:dyDescent="0.25">
      <c r="B3030" s="33">
        <v>1</v>
      </c>
      <c r="C3030" t="s">
        <v>2</v>
      </c>
      <c r="D3030" t="s">
        <v>185</v>
      </c>
      <c r="E3030">
        <v>15</v>
      </c>
      <c r="F3030" s="2">
        <v>1.3698630136986301E-2</v>
      </c>
    </row>
    <row r="3031" spans="2:6" x14ac:dyDescent="0.25">
      <c r="B3031" s="33">
        <v>1</v>
      </c>
      <c r="C3031" t="s">
        <v>77</v>
      </c>
      <c r="D3031" t="s">
        <v>87</v>
      </c>
      <c r="E3031">
        <v>23</v>
      </c>
      <c r="F3031" s="2">
        <v>8.21917808219178E-3</v>
      </c>
    </row>
    <row r="3032" spans="2:6" x14ac:dyDescent="0.25">
      <c r="B3032" s="33">
        <v>1</v>
      </c>
      <c r="C3032" t="s">
        <v>66</v>
      </c>
      <c r="D3032" t="s">
        <v>202</v>
      </c>
      <c r="E3032">
        <v>18</v>
      </c>
      <c r="F3032" s="2">
        <v>8.21917808219178E-3</v>
      </c>
    </row>
    <row r="3033" spans="2:6" x14ac:dyDescent="0.25">
      <c r="B3033" s="33">
        <v>1</v>
      </c>
      <c r="C3033" t="s">
        <v>4</v>
      </c>
      <c r="D3033" t="s">
        <v>178</v>
      </c>
      <c r="E3033">
        <v>0</v>
      </c>
      <c r="F3033" s="2">
        <v>5.4794520547945206E-3</v>
      </c>
    </row>
    <row r="3034" spans="2:6" x14ac:dyDescent="0.25">
      <c r="B3034" s="33">
        <v>1</v>
      </c>
      <c r="C3034" t="s">
        <v>3</v>
      </c>
      <c r="D3034" t="s">
        <v>173</v>
      </c>
      <c r="E3034">
        <v>4</v>
      </c>
      <c r="F3034" s="2">
        <v>5.4794520547945206E-3</v>
      </c>
    </row>
    <row r="3035" spans="2:6" x14ac:dyDescent="0.25">
      <c r="B3035" s="33">
        <v>1</v>
      </c>
      <c r="C3035" t="s">
        <v>1</v>
      </c>
      <c r="D3035" t="s">
        <v>216</v>
      </c>
      <c r="E3035">
        <v>7</v>
      </c>
      <c r="F3035" s="2">
        <v>8.21917808219178E-3</v>
      </c>
    </row>
    <row r="3036" spans="2:6" x14ac:dyDescent="0.25">
      <c r="B3036" s="33">
        <v>1</v>
      </c>
      <c r="C3036" t="s">
        <v>69</v>
      </c>
      <c r="D3036" t="s">
        <v>140</v>
      </c>
      <c r="E3036">
        <v>2</v>
      </c>
      <c r="F3036" s="2">
        <v>5.4794520547945206E-3</v>
      </c>
    </row>
    <row r="3037" spans="2:6" x14ac:dyDescent="0.25">
      <c r="B3037" s="33">
        <v>1</v>
      </c>
      <c r="C3037" t="s">
        <v>69</v>
      </c>
      <c r="D3037" t="s">
        <v>199</v>
      </c>
      <c r="E3037">
        <v>7</v>
      </c>
      <c r="F3037" s="2">
        <v>5.4794520547945206E-3</v>
      </c>
    </row>
    <row r="3038" spans="2:6" x14ac:dyDescent="0.25">
      <c r="B3038" s="33">
        <v>1</v>
      </c>
      <c r="C3038" t="s">
        <v>3</v>
      </c>
      <c r="D3038" t="s">
        <v>208</v>
      </c>
      <c r="E3038">
        <v>6</v>
      </c>
      <c r="F3038" s="2">
        <v>5.4794520547945206E-3</v>
      </c>
    </row>
    <row r="3039" spans="2:6" x14ac:dyDescent="0.25">
      <c r="B3039" s="33">
        <v>1</v>
      </c>
      <c r="C3039" t="s">
        <v>66</v>
      </c>
      <c r="D3039" t="s">
        <v>235</v>
      </c>
      <c r="E3039">
        <v>10</v>
      </c>
      <c r="F3039" s="2">
        <v>8.21917808219178E-3</v>
      </c>
    </row>
    <row r="3040" spans="2:6" x14ac:dyDescent="0.25">
      <c r="B3040" s="33">
        <v>1</v>
      </c>
      <c r="C3040" t="s">
        <v>77</v>
      </c>
      <c r="D3040" t="s">
        <v>193</v>
      </c>
      <c r="E3040">
        <v>10</v>
      </c>
      <c r="F3040" s="2">
        <v>8.21917808219178E-3</v>
      </c>
    </row>
    <row r="3041" spans="2:6" x14ac:dyDescent="0.25">
      <c r="B3041" s="33">
        <v>1</v>
      </c>
      <c r="C3041" t="s">
        <v>69</v>
      </c>
      <c r="D3041" t="s">
        <v>183</v>
      </c>
      <c r="E3041">
        <v>22</v>
      </c>
      <c r="F3041" s="2">
        <v>5.4794520547945206E-3</v>
      </c>
    </row>
    <row r="3042" spans="2:6" x14ac:dyDescent="0.25">
      <c r="B3042" s="33">
        <v>1</v>
      </c>
      <c r="C3042" t="s">
        <v>2</v>
      </c>
      <c r="D3042" t="s">
        <v>170</v>
      </c>
      <c r="E3042">
        <v>6</v>
      </c>
      <c r="F3042" s="2">
        <v>8.21917808219178E-3</v>
      </c>
    </row>
    <row r="3043" spans="2:6" x14ac:dyDescent="0.25">
      <c r="B3043" s="33">
        <v>1</v>
      </c>
      <c r="C3043" t="s">
        <v>126</v>
      </c>
      <c r="D3043" t="s">
        <v>169</v>
      </c>
      <c r="E3043">
        <v>6</v>
      </c>
      <c r="F3043" s="2">
        <v>1.0958904109589041E-2</v>
      </c>
    </row>
    <row r="3044" spans="2:6" x14ac:dyDescent="0.25">
      <c r="B3044" s="33">
        <v>1</v>
      </c>
      <c r="C3044" t="s">
        <v>72</v>
      </c>
      <c r="D3044" t="s">
        <v>76</v>
      </c>
      <c r="E3044">
        <v>0</v>
      </c>
      <c r="F3044" s="2">
        <v>8.21917808219178E-3</v>
      </c>
    </row>
    <row r="3045" spans="2:6" x14ac:dyDescent="0.25">
      <c r="B3045" s="33">
        <v>1</v>
      </c>
      <c r="C3045" t="s">
        <v>126</v>
      </c>
      <c r="D3045" t="s">
        <v>131</v>
      </c>
      <c r="E3045">
        <v>7</v>
      </c>
      <c r="F3045" s="2">
        <v>2.7397260273972603E-3</v>
      </c>
    </row>
    <row r="3046" spans="2:6" x14ac:dyDescent="0.25">
      <c r="B3046" s="33">
        <v>1</v>
      </c>
      <c r="C3046" t="s">
        <v>2</v>
      </c>
      <c r="D3046" t="s">
        <v>170</v>
      </c>
      <c r="E3046">
        <v>10</v>
      </c>
      <c r="F3046" s="2">
        <v>1.0958904109589041E-2</v>
      </c>
    </row>
    <row r="3047" spans="2:6" x14ac:dyDescent="0.25">
      <c r="B3047" s="33">
        <v>1</v>
      </c>
      <c r="C3047" t="s">
        <v>2</v>
      </c>
      <c r="D3047" t="s">
        <v>172</v>
      </c>
      <c r="E3047">
        <v>9</v>
      </c>
      <c r="F3047" s="2">
        <v>1.0958904109589041E-2</v>
      </c>
    </row>
    <row r="3048" spans="2:6" x14ac:dyDescent="0.25">
      <c r="B3048" s="33">
        <v>1</v>
      </c>
      <c r="C3048" t="s">
        <v>66</v>
      </c>
      <c r="D3048" t="s">
        <v>202</v>
      </c>
      <c r="E3048">
        <v>21</v>
      </c>
      <c r="F3048" s="2">
        <v>8.21917808219178E-3</v>
      </c>
    </row>
    <row r="3049" spans="2:6" x14ac:dyDescent="0.25">
      <c r="B3049" s="33">
        <v>1</v>
      </c>
      <c r="C3049" t="s">
        <v>126</v>
      </c>
      <c r="D3049" t="s">
        <v>147</v>
      </c>
      <c r="E3049">
        <v>22</v>
      </c>
      <c r="F3049" s="2">
        <v>1.0958904109589041E-2</v>
      </c>
    </row>
    <row r="3050" spans="2:6" x14ac:dyDescent="0.25">
      <c r="B3050" s="33">
        <v>1</v>
      </c>
      <c r="C3050" t="s">
        <v>3</v>
      </c>
      <c r="D3050" t="s">
        <v>84</v>
      </c>
      <c r="E3050">
        <v>1</v>
      </c>
      <c r="F3050" s="2">
        <v>5.4794520547945206E-3</v>
      </c>
    </row>
    <row r="3051" spans="2:6" x14ac:dyDescent="0.25">
      <c r="B3051" s="33">
        <v>1</v>
      </c>
      <c r="C3051" t="s">
        <v>1</v>
      </c>
      <c r="D3051" t="s">
        <v>217</v>
      </c>
      <c r="E3051">
        <v>6</v>
      </c>
      <c r="F3051" s="2">
        <v>8.21917808219178E-3</v>
      </c>
    </row>
    <row r="3052" spans="2:6" x14ac:dyDescent="0.25">
      <c r="B3052" s="33">
        <v>1</v>
      </c>
      <c r="C3052" t="s">
        <v>77</v>
      </c>
      <c r="D3052" t="s">
        <v>204</v>
      </c>
      <c r="E3052">
        <v>4</v>
      </c>
      <c r="F3052" s="2">
        <v>5.4794520547945206E-3</v>
      </c>
    </row>
    <row r="3053" spans="2:6" x14ac:dyDescent="0.25">
      <c r="B3053" s="33">
        <v>1</v>
      </c>
      <c r="C3053" t="s">
        <v>72</v>
      </c>
      <c r="D3053" t="s">
        <v>76</v>
      </c>
      <c r="E3053">
        <v>6</v>
      </c>
      <c r="F3053" s="2">
        <v>8.21917808219178E-3</v>
      </c>
    </row>
    <row r="3054" spans="2:6" x14ac:dyDescent="0.25">
      <c r="B3054" s="33">
        <v>1</v>
      </c>
      <c r="C3054" t="s">
        <v>3</v>
      </c>
      <c r="D3054" t="s">
        <v>203</v>
      </c>
      <c r="E3054">
        <v>8</v>
      </c>
      <c r="F3054" s="2">
        <v>1.0958904109589041E-2</v>
      </c>
    </row>
    <row r="3055" spans="2:6" x14ac:dyDescent="0.25">
      <c r="B3055" s="33">
        <v>1</v>
      </c>
      <c r="C3055" t="s">
        <v>3</v>
      </c>
      <c r="D3055" t="s">
        <v>195</v>
      </c>
      <c r="E3055">
        <v>9</v>
      </c>
      <c r="F3055" s="2">
        <v>1.0958904109589041E-2</v>
      </c>
    </row>
    <row r="3056" spans="2:6" x14ac:dyDescent="0.25">
      <c r="B3056" s="33">
        <v>1</v>
      </c>
      <c r="C3056" t="s">
        <v>77</v>
      </c>
      <c r="D3056" t="s">
        <v>225</v>
      </c>
      <c r="E3056">
        <v>20</v>
      </c>
      <c r="F3056" s="2">
        <v>8.21917808219178E-3</v>
      </c>
    </row>
    <row r="3057" spans="2:6" x14ac:dyDescent="0.25">
      <c r="B3057" s="33">
        <v>1</v>
      </c>
      <c r="C3057" t="s">
        <v>3</v>
      </c>
      <c r="D3057" t="s">
        <v>203</v>
      </c>
      <c r="E3057">
        <v>20</v>
      </c>
      <c r="F3057" s="2">
        <v>8.21917808219178E-3</v>
      </c>
    </row>
    <row r="3058" spans="2:6" x14ac:dyDescent="0.25">
      <c r="B3058" s="33">
        <v>1</v>
      </c>
      <c r="C3058" t="s">
        <v>69</v>
      </c>
      <c r="D3058" t="s">
        <v>184</v>
      </c>
      <c r="E3058">
        <v>2</v>
      </c>
      <c r="F3058" s="2">
        <v>5.4794520547945206E-3</v>
      </c>
    </row>
    <row r="3059" spans="2:6" x14ac:dyDescent="0.25">
      <c r="B3059" s="33">
        <v>1</v>
      </c>
      <c r="C3059" t="s">
        <v>3</v>
      </c>
      <c r="D3059" t="s">
        <v>157</v>
      </c>
      <c r="E3059">
        <v>3</v>
      </c>
      <c r="F3059" s="2">
        <v>5.4794520547945206E-3</v>
      </c>
    </row>
    <row r="3060" spans="2:6" x14ac:dyDescent="0.25">
      <c r="B3060" s="33">
        <v>1</v>
      </c>
      <c r="C3060" t="s">
        <v>69</v>
      </c>
      <c r="D3060" t="s">
        <v>231</v>
      </c>
      <c r="E3060">
        <v>9</v>
      </c>
      <c r="F3060" s="2">
        <v>8.21917808219178E-3</v>
      </c>
    </row>
    <row r="3061" spans="2:6" x14ac:dyDescent="0.25">
      <c r="B3061" s="33">
        <v>1</v>
      </c>
      <c r="C3061" t="s">
        <v>66</v>
      </c>
      <c r="D3061" t="s">
        <v>212</v>
      </c>
      <c r="E3061">
        <v>18</v>
      </c>
      <c r="F3061" s="2">
        <v>8.21917808219178E-3</v>
      </c>
    </row>
    <row r="3062" spans="2:6" x14ac:dyDescent="0.25">
      <c r="B3062" s="33">
        <v>1</v>
      </c>
      <c r="C3062" t="s">
        <v>74</v>
      </c>
      <c r="D3062" t="s">
        <v>174</v>
      </c>
      <c r="E3062">
        <v>1</v>
      </c>
      <c r="F3062" s="2">
        <v>1.3698630136986301E-2</v>
      </c>
    </row>
    <row r="3063" spans="2:6" x14ac:dyDescent="0.25">
      <c r="B3063" s="33">
        <v>1</v>
      </c>
      <c r="C3063" t="s">
        <v>72</v>
      </c>
      <c r="D3063" t="s">
        <v>163</v>
      </c>
      <c r="E3063">
        <v>4</v>
      </c>
      <c r="F3063" s="2">
        <v>8.21917808219178E-3</v>
      </c>
    </row>
    <row r="3064" spans="2:6" x14ac:dyDescent="0.25">
      <c r="B3064" s="33">
        <v>1</v>
      </c>
      <c r="C3064" t="s">
        <v>77</v>
      </c>
      <c r="D3064" t="s">
        <v>204</v>
      </c>
      <c r="E3064">
        <v>12</v>
      </c>
      <c r="F3064" s="2">
        <v>8.21917808219178E-3</v>
      </c>
    </row>
    <row r="3065" spans="2:6" x14ac:dyDescent="0.25">
      <c r="B3065" s="33">
        <v>1</v>
      </c>
      <c r="C3065" t="s">
        <v>2</v>
      </c>
      <c r="D3065" t="s">
        <v>118</v>
      </c>
      <c r="E3065">
        <v>9</v>
      </c>
      <c r="F3065" s="2">
        <v>1.0958904109589041E-2</v>
      </c>
    </row>
    <row r="3066" spans="2:6" x14ac:dyDescent="0.25">
      <c r="B3066" s="33">
        <v>1</v>
      </c>
      <c r="C3066" t="s">
        <v>6</v>
      </c>
      <c r="D3066" t="s">
        <v>25</v>
      </c>
      <c r="E3066">
        <v>4</v>
      </c>
      <c r="F3066" s="2">
        <v>8.21917808219178E-3</v>
      </c>
    </row>
    <row r="3067" spans="2:6" x14ac:dyDescent="0.25">
      <c r="B3067" s="33">
        <v>1</v>
      </c>
      <c r="C3067" t="s">
        <v>3</v>
      </c>
      <c r="D3067" t="s">
        <v>207</v>
      </c>
      <c r="E3067">
        <v>20</v>
      </c>
      <c r="F3067" s="2">
        <v>8.21917808219178E-3</v>
      </c>
    </row>
    <row r="3068" spans="2:6" x14ac:dyDescent="0.25">
      <c r="B3068" s="33">
        <v>1</v>
      </c>
      <c r="C3068" t="s">
        <v>74</v>
      </c>
      <c r="D3068" t="s">
        <v>221</v>
      </c>
      <c r="E3068">
        <v>23</v>
      </c>
      <c r="F3068" s="2">
        <v>5.4794520547945206E-3</v>
      </c>
    </row>
    <row r="3069" spans="2:6" x14ac:dyDescent="0.25">
      <c r="B3069" s="33">
        <v>1</v>
      </c>
      <c r="C3069" t="s">
        <v>1</v>
      </c>
      <c r="D3069" t="s">
        <v>216</v>
      </c>
      <c r="E3069">
        <v>19</v>
      </c>
      <c r="F3069" s="2">
        <v>8.21917808219178E-3</v>
      </c>
    </row>
    <row r="3070" spans="2:6" x14ac:dyDescent="0.25">
      <c r="B3070" s="33">
        <v>1</v>
      </c>
      <c r="C3070" t="s">
        <v>64</v>
      </c>
      <c r="D3070" t="s">
        <v>175</v>
      </c>
      <c r="E3070">
        <v>22</v>
      </c>
      <c r="F3070" s="2">
        <v>1.3698630136986301E-2</v>
      </c>
    </row>
    <row r="3071" spans="2:6" x14ac:dyDescent="0.25">
      <c r="B3071" s="33">
        <v>1</v>
      </c>
      <c r="C3071" t="s">
        <v>88</v>
      </c>
      <c r="D3071" t="s">
        <v>201</v>
      </c>
      <c r="E3071">
        <v>21</v>
      </c>
      <c r="F3071" s="2">
        <v>1.9178082191780823E-2</v>
      </c>
    </row>
    <row r="3072" spans="2:6" x14ac:dyDescent="0.25">
      <c r="B3072" s="33">
        <v>1</v>
      </c>
      <c r="C3072" t="s">
        <v>6</v>
      </c>
      <c r="D3072" t="s">
        <v>28</v>
      </c>
      <c r="E3072">
        <v>3</v>
      </c>
      <c r="F3072" s="2">
        <v>8.21917808219178E-3</v>
      </c>
    </row>
    <row r="3073" spans="2:6" x14ac:dyDescent="0.25">
      <c r="B3073" s="33">
        <v>1</v>
      </c>
      <c r="C3073" t="s">
        <v>3</v>
      </c>
      <c r="D3073" t="s">
        <v>208</v>
      </c>
      <c r="E3073">
        <v>9</v>
      </c>
      <c r="F3073" s="2">
        <v>1.0958904109589041E-2</v>
      </c>
    </row>
    <row r="3074" spans="2:6" x14ac:dyDescent="0.25">
      <c r="B3074" s="33">
        <v>1</v>
      </c>
      <c r="C3074" t="s">
        <v>69</v>
      </c>
      <c r="D3074" t="s">
        <v>183</v>
      </c>
      <c r="E3074">
        <v>10</v>
      </c>
      <c r="F3074" s="2">
        <v>8.21917808219178E-3</v>
      </c>
    </row>
    <row r="3075" spans="2:6" x14ac:dyDescent="0.25">
      <c r="B3075" s="33">
        <v>1</v>
      </c>
      <c r="C3075" t="s">
        <v>77</v>
      </c>
      <c r="D3075" t="s">
        <v>85</v>
      </c>
      <c r="E3075">
        <v>14</v>
      </c>
      <c r="F3075" s="2">
        <v>8.21917808219178E-3</v>
      </c>
    </row>
    <row r="3076" spans="2:6" x14ac:dyDescent="0.25">
      <c r="B3076" s="33">
        <v>1</v>
      </c>
      <c r="C3076" t="s">
        <v>69</v>
      </c>
      <c r="D3076" t="s">
        <v>197</v>
      </c>
      <c r="E3076">
        <v>1</v>
      </c>
      <c r="F3076" s="2">
        <v>5.4794520547945206E-3</v>
      </c>
    </row>
    <row r="3077" spans="2:6" x14ac:dyDescent="0.25">
      <c r="B3077" s="33">
        <v>1</v>
      </c>
      <c r="C3077" t="s">
        <v>6</v>
      </c>
      <c r="D3077" t="s">
        <v>34</v>
      </c>
      <c r="E3077">
        <v>5</v>
      </c>
      <c r="F3077" s="2">
        <v>8.21917808219178E-3</v>
      </c>
    </row>
    <row r="3078" spans="2:6" x14ac:dyDescent="0.25">
      <c r="B3078" s="33">
        <v>1</v>
      </c>
      <c r="C3078" t="s">
        <v>126</v>
      </c>
      <c r="D3078" t="s">
        <v>171</v>
      </c>
      <c r="E3078">
        <v>15</v>
      </c>
      <c r="F3078" s="2">
        <v>2.1917808219178082E-2</v>
      </c>
    </row>
    <row r="3079" spans="2:6" x14ac:dyDescent="0.25">
      <c r="B3079" s="33">
        <v>1</v>
      </c>
      <c r="C3079" t="s">
        <v>66</v>
      </c>
      <c r="D3079" t="s">
        <v>122</v>
      </c>
      <c r="E3079">
        <v>22</v>
      </c>
      <c r="F3079" s="2">
        <v>8.21917808219178E-3</v>
      </c>
    </row>
    <row r="3080" spans="2:6" x14ac:dyDescent="0.25">
      <c r="B3080" s="33">
        <v>1</v>
      </c>
      <c r="C3080" t="s">
        <v>69</v>
      </c>
      <c r="D3080" t="s">
        <v>218</v>
      </c>
      <c r="E3080">
        <v>18</v>
      </c>
      <c r="F3080" s="2">
        <v>5.4794520547945206E-3</v>
      </c>
    </row>
    <row r="3081" spans="2:6" x14ac:dyDescent="0.25">
      <c r="B3081" s="33">
        <v>1</v>
      </c>
      <c r="C3081" t="s">
        <v>3</v>
      </c>
      <c r="D3081" t="s">
        <v>195</v>
      </c>
      <c r="E3081">
        <v>20</v>
      </c>
      <c r="F3081" s="2">
        <v>8.21917808219178E-3</v>
      </c>
    </row>
    <row r="3082" spans="2:6" x14ac:dyDescent="0.25">
      <c r="B3082" s="33">
        <v>1</v>
      </c>
      <c r="C3082" t="s">
        <v>1</v>
      </c>
      <c r="D3082" t="s">
        <v>214</v>
      </c>
      <c r="E3082">
        <v>2</v>
      </c>
      <c r="F3082" s="2">
        <v>5.4794520547945206E-3</v>
      </c>
    </row>
    <row r="3083" spans="2:6" x14ac:dyDescent="0.25">
      <c r="B3083" s="33">
        <v>1</v>
      </c>
      <c r="C3083" t="s">
        <v>69</v>
      </c>
      <c r="D3083" t="s">
        <v>184</v>
      </c>
      <c r="E3083">
        <v>0</v>
      </c>
      <c r="F3083" s="2">
        <v>5.4794520547945206E-3</v>
      </c>
    </row>
    <row r="3084" spans="2:6" x14ac:dyDescent="0.25">
      <c r="B3084" s="33">
        <v>1</v>
      </c>
      <c r="C3084" t="s">
        <v>74</v>
      </c>
      <c r="D3084" t="s">
        <v>130</v>
      </c>
      <c r="E3084">
        <v>4</v>
      </c>
      <c r="F3084" s="2">
        <v>1.3698630136986301E-2</v>
      </c>
    </row>
    <row r="3085" spans="2:6" x14ac:dyDescent="0.25">
      <c r="B3085" s="33">
        <v>1</v>
      </c>
      <c r="C3085" t="s">
        <v>77</v>
      </c>
      <c r="D3085" t="s">
        <v>177</v>
      </c>
      <c r="E3085">
        <v>5</v>
      </c>
      <c r="F3085" s="2">
        <v>5.4794520547945206E-3</v>
      </c>
    </row>
    <row r="3086" spans="2:6" x14ac:dyDescent="0.25">
      <c r="B3086" s="33">
        <v>1</v>
      </c>
      <c r="C3086" t="s">
        <v>77</v>
      </c>
      <c r="D3086" t="s">
        <v>205</v>
      </c>
      <c r="E3086">
        <v>12</v>
      </c>
      <c r="F3086" s="2">
        <v>8.21917808219178E-3</v>
      </c>
    </row>
    <row r="3087" spans="2:6" x14ac:dyDescent="0.25">
      <c r="B3087" s="33">
        <v>1</v>
      </c>
      <c r="C3087" t="s">
        <v>103</v>
      </c>
      <c r="D3087" t="s">
        <v>194</v>
      </c>
      <c r="E3087">
        <v>8</v>
      </c>
      <c r="F3087" s="2">
        <v>1.3698630136986301E-2</v>
      </c>
    </row>
    <row r="3088" spans="2:6" x14ac:dyDescent="0.25">
      <c r="B3088" s="33">
        <v>1</v>
      </c>
      <c r="C3088" t="s">
        <v>4</v>
      </c>
      <c r="D3088" t="s">
        <v>178</v>
      </c>
      <c r="E3088">
        <v>20</v>
      </c>
      <c r="F3088" s="2">
        <v>1.0958904109589041E-2</v>
      </c>
    </row>
    <row r="3089" spans="2:6" x14ac:dyDescent="0.25">
      <c r="B3089" s="33">
        <v>1</v>
      </c>
      <c r="C3089" t="s">
        <v>3</v>
      </c>
      <c r="D3089" t="s">
        <v>208</v>
      </c>
      <c r="E3089">
        <v>22</v>
      </c>
      <c r="F3089" s="2">
        <v>8.21917808219178E-3</v>
      </c>
    </row>
    <row r="3090" spans="2:6" x14ac:dyDescent="0.25">
      <c r="B3090" s="33">
        <v>1</v>
      </c>
      <c r="C3090" t="s">
        <v>3</v>
      </c>
      <c r="D3090" t="s">
        <v>186</v>
      </c>
      <c r="E3090">
        <v>17</v>
      </c>
      <c r="F3090" s="2">
        <v>8.21917808219178E-3</v>
      </c>
    </row>
    <row r="3091" spans="2:6" x14ac:dyDescent="0.25">
      <c r="B3091" s="33">
        <v>1</v>
      </c>
      <c r="C3091" t="s">
        <v>2</v>
      </c>
      <c r="D3091" t="s">
        <v>242</v>
      </c>
      <c r="E3091">
        <v>14</v>
      </c>
      <c r="F3091" s="2">
        <v>8.21917808219178E-3</v>
      </c>
    </row>
    <row r="3092" spans="2:6" x14ac:dyDescent="0.25">
      <c r="B3092" s="33">
        <v>1</v>
      </c>
      <c r="C3092" t="s">
        <v>69</v>
      </c>
      <c r="D3092" t="s">
        <v>231</v>
      </c>
      <c r="E3092">
        <v>11</v>
      </c>
      <c r="F3092" s="2">
        <v>8.21917808219178E-3</v>
      </c>
    </row>
    <row r="3093" spans="2:6" x14ac:dyDescent="0.25">
      <c r="B3093" s="33">
        <v>1</v>
      </c>
      <c r="C3093" t="s">
        <v>69</v>
      </c>
      <c r="D3093" t="s">
        <v>124</v>
      </c>
      <c r="E3093">
        <v>20</v>
      </c>
      <c r="F3093" s="2">
        <v>5.4794520547945206E-3</v>
      </c>
    </row>
    <row r="3094" spans="2:6" x14ac:dyDescent="0.25">
      <c r="B3094" s="33">
        <v>1</v>
      </c>
      <c r="C3094" t="s">
        <v>103</v>
      </c>
      <c r="D3094" t="s">
        <v>141</v>
      </c>
      <c r="E3094">
        <v>23</v>
      </c>
      <c r="F3094" s="2">
        <v>5.4794520547945206E-3</v>
      </c>
    </row>
    <row r="3095" spans="2:6" x14ac:dyDescent="0.25">
      <c r="B3095" s="33">
        <v>1</v>
      </c>
      <c r="C3095" t="s">
        <v>88</v>
      </c>
      <c r="D3095" t="s">
        <v>114</v>
      </c>
      <c r="E3095">
        <v>4</v>
      </c>
      <c r="F3095" s="2">
        <v>1.0958904109589041E-2</v>
      </c>
    </row>
    <row r="3096" spans="2:6" x14ac:dyDescent="0.25">
      <c r="B3096" s="33">
        <v>1</v>
      </c>
      <c r="C3096" t="s">
        <v>1</v>
      </c>
      <c r="D3096" t="s">
        <v>200</v>
      </c>
      <c r="E3096">
        <v>12</v>
      </c>
      <c r="F3096" s="2">
        <v>1.3698630136986301E-2</v>
      </c>
    </row>
    <row r="3097" spans="2:6" x14ac:dyDescent="0.25">
      <c r="B3097" s="33">
        <v>1</v>
      </c>
      <c r="C3097" t="s">
        <v>3</v>
      </c>
      <c r="D3097" t="s">
        <v>108</v>
      </c>
      <c r="E3097">
        <v>13</v>
      </c>
      <c r="F3097" s="2">
        <v>1.0958904109589041E-2</v>
      </c>
    </row>
    <row r="3098" spans="2:6" x14ac:dyDescent="0.25">
      <c r="B3098" s="33">
        <v>1</v>
      </c>
      <c r="C3098" t="s">
        <v>69</v>
      </c>
      <c r="D3098" t="s">
        <v>223</v>
      </c>
      <c r="E3098">
        <v>18</v>
      </c>
      <c r="F3098" s="2">
        <v>5.4794520547945206E-3</v>
      </c>
    </row>
    <row r="3099" spans="2:6" x14ac:dyDescent="0.25">
      <c r="B3099" s="33">
        <v>1</v>
      </c>
      <c r="C3099" t="s">
        <v>0</v>
      </c>
      <c r="D3099" t="s">
        <v>111</v>
      </c>
      <c r="E3099">
        <v>20</v>
      </c>
      <c r="F3099" s="2">
        <v>4.1095890410958902E-2</v>
      </c>
    </row>
    <row r="3100" spans="2:6" x14ac:dyDescent="0.25">
      <c r="B3100" s="33">
        <v>1</v>
      </c>
      <c r="C3100" t="s">
        <v>2</v>
      </c>
      <c r="D3100" t="s">
        <v>170</v>
      </c>
      <c r="E3100">
        <v>23</v>
      </c>
      <c r="F3100" s="2">
        <v>8.21917808219178E-3</v>
      </c>
    </row>
    <row r="3101" spans="2:6" x14ac:dyDescent="0.25">
      <c r="B3101" s="33">
        <v>1</v>
      </c>
      <c r="C3101" t="s">
        <v>66</v>
      </c>
      <c r="D3101" t="s">
        <v>151</v>
      </c>
      <c r="E3101">
        <v>1</v>
      </c>
      <c r="F3101" s="2">
        <v>5.4794520547945206E-3</v>
      </c>
    </row>
    <row r="3102" spans="2:6" x14ac:dyDescent="0.25">
      <c r="B3102" s="33">
        <v>1</v>
      </c>
      <c r="C3102" t="s">
        <v>126</v>
      </c>
      <c r="D3102" t="s">
        <v>131</v>
      </c>
      <c r="E3102">
        <v>1</v>
      </c>
      <c r="F3102" s="2">
        <v>2.4657534246575342E-2</v>
      </c>
    </row>
    <row r="3103" spans="2:6" x14ac:dyDescent="0.25">
      <c r="B3103" s="33">
        <v>1</v>
      </c>
      <c r="C3103" t="s">
        <v>74</v>
      </c>
      <c r="D3103" t="s">
        <v>105</v>
      </c>
      <c r="E3103">
        <v>5</v>
      </c>
      <c r="F3103" s="2">
        <v>1.0958904109589041E-2</v>
      </c>
    </row>
    <row r="3104" spans="2:6" x14ac:dyDescent="0.25">
      <c r="B3104" s="33">
        <v>1</v>
      </c>
      <c r="C3104" t="s">
        <v>69</v>
      </c>
      <c r="D3104" t="s">
        <v>199</v>
      </c>
      <c r="E3104">
        <v>6</v>
      </c>
      <c r="F3104" s="2">
        <v>5.4794520547945206E-3</v>
      </c>
    </row>
    <row r="3105" spans="2:6" x14ac:dyDescent="0.25">
      <c r="B3105" s="33">
        <v>1</v>
      </c>
      <c r="C3105" t="s">
        <v>1</v>
      </c>
      <c r="D3105" t="s">
        <v>112</v>
      </c>
      <c r="E3105">
        <v>4</v>
      </c>
      <c r="F3105" s="2">
        <v>5.4794520547945206E-3</v>
      </c>
    </row>
    <row r="3106" spans="2:6" x14ac:dyDescent="0.25">
      <c r="B3106" s="33">
        <v>1</v>
      </c>
      <c r="C3106" t="s">
        <v>77</v>
      </c>
      <c r="D3106" t="s">
        <v>177</v>
      </c>
      <c r="E3106">
        <v>10</v>
      </c>
      <c r="F3106" s="2">
        <v>8.21917808219178E-3</v>
      </c>
    </row>
    <row r="3107" spans="2:6" x14ac:dyDescent="0.25">
      <c r="B3107" s="33">
        <v>1</v>
      </c>
      <c r="C3107" t="s">
        <v>126</v>
      </c>
      <c r="D3107" t="s">
        <v>127</v>
      </c>
      <c r="E3107">
        <v>11</v>
      </c>
      <c r="F3107" s="2">
        <v>4.3835616438356165E-2</v>
      </c>
    </row>
    <row r="3108" spans="2:6" x14ac:dyDescent="0.25">
      <c r="B3108" s="33">
        <v>1</v>
      </c>
      <c r="C3108" t="s">
        <v>3</v>
      </c>
      <c r="D3108" t="s">
        <v>203</v>
      </c>
      <c r="E3108">
        <v>23</v>
      </c>
      <c r="F3108" s="2">
        <v>8.21917808219178E-3</v>
      </c>
    </row>
    <row r="3109" spans="2:6" x14ac:dyDescent="0.25">
      <c r="B3109" s="33">
        <v>1</v>
      </c>
      <c r="C3109" t="s">
        <v>69</v>
      </c>
      <c r="D3109" t="s">
        <v>154</v>
      </c>
      <c r="E3109">
        <v>22</v>
      </c>
      <c r="F3109" s="2">
        <v>5.4794520547945206E-3</v>
      </c>
    </row>
    <row r="3110" spans="2:6" x14ac:dyDescent="0.25">
      <c r="B3110" s="33">
        <v>1</v>
      </c>
      <c r="C3110" t="s">
        <v>3</v>
      </c>
      <c r="D3110" t="s">
        <v>161</v>
      </c>
      <c r="E3110">
        <v>7</v>
      </c>
      <c r="F3110" s="2">
        <v>5.4794520547945206E-3</v>
      </c>
    </row>
    <row r="3111" spans="2:6" x14ac:dyDescent="0.25">
      <c r="B3111" s="33">
        <v>1</v>
      </c>
      <c r="C3111" t="s">
        <v>77</v>
      </c>
      <c r="D3111" t="s">
        <v>87</v>
      </c>
      <c r="E3111">
        <v>0</v>
      </c>
      <c r="F3111" s="2">
        <v>5.4794520547945206E-3</v>
      </c>
    </row>
    <row r="3112" spans="2:6" x14ac:dyDescent="0.25">
      <c r="B3112" s="33">
        <v>1</v>
      </c>
      <c r="C3112" t="s">
        <v>3</v>
      </c>
      <c r="D3112" t="s">
        <v>195</v>
      </c>
      <c r="E3112">
        <v>15</v>
      </c>
      <c r="F3112" s="2">
        <v>1.0958904109589041E-2</v>
      </c>
    </row>
    <row r="3113" spans="2:6" x14ac:dyDescent="0.25">
      <c r="B3113" s="33">
        <v>1</v>
      </c>
      <c r="C3113" t="s">
        <v>69</v>
      </c>
      <c r="D3113" t="s">
        <v>206</v>
      </c>
      <c r="E3113">
        <v>13</v>
      </c>
      <c r="F3113" s="2">
        <v>8.21917808219178E-3</v>
      </c>
    </row>
    <row r="3114" spans="2:6" x14ac:dyDescent="0.25">
      <c r="B3114" s="33">
        <v>1</v>
      </c>
      <c r="C3114" t="s">
        <v>69</v>
      </c>
      <c r="D3114" t="s">
        <v>234</v>
      </c>
      <c r="E3114">
        <v>16</v>
      </c>
      <c r="F3114" s="2">
        <v>5.4794520547945206E-3</v>
      </c>
    </row>
    <row r="3115" spans="2:6" x14ac:dyDescent="0.25">
      <c r="B3115" s="33">
        <v>1</v>
      </c>
      <c r="C3115" t="s">
        <v>126</v>
      </c>
      <c r="D3115" t="s">
        <v>169</v>
      </c>
      <c r="E3115">
        <v>18</v>
      </c>
      <c r="F3115" s="2">
        <v>1.0958904109589041E-2</v>
      </c>
    </row>
    <row r="3116" spans="2:6" x14ac:dyDescent="0.25">
      <c r="B3116" s="33">
        <v>1</v>
      </c>
      <c r="C3116" t="s">
        <v>69</v>
      </c>
      <c r="D3116" t="s">
        <v>243</v>
      </c>
      <c r="E3116">
        <v>17</v>
      </c>
      <c r="F3116" s="2">
        <v>5.4794520547945206E-3</v>
      </c>
    </row>
    <row r="3117" spans="2:6" x14ac:dyDescent="0.25">
      <c r="B3117" s="33">
        <v>1</v>
      </c>
      <c r="C3117" t="s">
        <v>103</v>
      </c>
      <c r="D3117" t="s">
        <v>139</v>
      </c>
      <c r="E3117">
        <v>2</v>
      </c>
      <c r="F3117" s="2">
        <v>8.21917808219178E-3</v>
      </c>
    </row>
    <row r="3118" spans="2:6" x14ac:dyDescent="0.25">
      <c r="B3118" s="33">
        <v>1</v>
      </c>
      <c r="C3118" t="s">
        <v>0</v>
      </c>
      <c r="D3118" t="s">
        <v>133</v>
      </c>
      <c r="E3118">
        <v>2</v>
      </c>
      <c r="F3118" s="2">
        <v>1.0958904109589041E-2</v>
      </c>
    </row>
    <row r="3119" spans="2:6" x14ac:dyDescent="0.25">
      <c r="B3119" s="33">
        <v>1</v>
      </c>
      <c r="C3119" t="s">
        <v>64</v>
      </c>
      <c r="D3119" t="s">
        <v>165</v>
      </c>
      <c r="E3119">
        <v>15</v>
      </c>
      <c r="F3119" s="2">
        <v>8.21917808219178E-3</v>
      </c>
    </row>
    <row r="3120" spans="2:6" x14ac:dyDescent="0.25">
      <c r="B3120" s="33">
        <v>1</v>
      </c>
      <c r="C3120" t="s">
        <v>64</v>
      </c>
      <c r="D3120" t="s">
        <v>222</v>
      </c>
      <c r="E3120">
        <v>10</v>
      </c>
      <c r="F3120" s="2">
        <v>5.4794520547945206E-3</v>
      </c>
    </row>
    <row r="3121" spans="2:6" x14ac:dyDescent="0.25">
      <c r="B3121" s="33">
        <v>1</v>
      </c>
      <c r="C3121" t="s">
        <v>69</v>
      </c>
      <c r="D3121" t="s">
        <v>220</v>
      </c>
      <c r="E3121">
        <v>9</v>
      </c>
      <c r="F3121" s="2">
        <v>8.21917808219178E-3</v>
      </c>
    </row>
    <row r="3122" spans="2:6" x14ac:dyDescent="0.25">
      <c r="B3122" s="33">
        <v>1</v>
      </c>
      <c r="C3122" t="s">
        <v>3</v>
      </c>
      <c r="D3122" t="s">
        <v>186</v>
      </c>
      <c r="E3122">
        <v>11</v>
      </c>
      <c r="F3122" s="2">
        <v>1.0958904109589041E-2</v>
      </c>
    </row>
    <row r="3123" spans="2:6" x14ac:dyDescent="0.25">
      <c r="B3123" s="33">
        <v>1</v>
      </c>
      <c r="C3123" t="s">
        <v>69</v>
      </c>
      <c r="D3123" t="s">
        <v>199</v>
      </c>
      <c r="E3123">
        <v>22</v>
      </c>
      <c r="F3123" s="2">
        <v>5.4794520547945206E-3</v>
      </c>
    </row>
    <row r="3124" spans="2:6" x14ac:dyDescent="0.25">
      <c r="B3124" s="33">
        <v>1</v>
      </c>
      <c r="C3124" t="s">
        <v>74</v>
      </c>
      <c r="D3124" t="s">
        <v>221</v>
      </c>
      <c r="E3124">
        <v>7</v>
      </c>
      <c r="F3124" s="2">
        <v>1.0958904109589041E-2</v>
      </c>
    </row>
    <row r="3125" spans="2:6" x14ac:dyDescent="0.25">
      <c r="B3125" s="33">
        <v>1</v>
      </c>
      <c r="C3125" t="s">
        <v>1</v>
      </c>
      <c r="D3125" t="s">
        <v>200</v>
      </c>
      <c r="E3125">
        <v>1</v>
      </c>
      <c r="F3125" s="2">
        <v>5.4794520547945206E-3</v>
      </c>
    </row>
    <row r="3126" spans="2:6" x14ac:dyDescent="0.25">
      <c r="B3126" s="33">
        <v>1</v>
      </c>
      <c r="C3126" t="s">
        <v>6</v>
      </c>
      <c r="D3126" t="s">
        <v>38</v>
      </c>
      <c r="E3126">
        <v>20</v>
      </c>
      <c r="F3126" s="2">
        <v>8.21917808219178E-3</v>
      </c>
    </row>
    <row r="3127" spans="2:6" x14ac:dyDescent="0.25">
      <c r="B3127" s="33">
        <v>1</v>
      </c>
      <c r="C3127" t="s">
        <v>77</v>
      </c>
      <c r="D3127" t="s">
        <v>196</v>
      </c>
      <c r="E3127">
        <v>4</v>
      </c>
      <c r="F3127" s="2">
        <v>5.4794520547945206E-3</v>
      </c>
    </row>
    <row r="3128" spans="2:6" x14ac:dyDescent="0.25">
      <c r="B3128" s="33">
        <v>1</v>
      </c>
      <c r="C3128" t="s">
        <v>77</v>
      </c>
      <c r="D3128" t="s">
        <v>177</v>
      </c>
      <c r="E3128">
        <v>0</v>
      </c>
      <c r="F3128" s="2">
        <v>5.4794520547945206E-3</v>
      </c>
    </row>
    <row r="3129" spans="2:6" x14ac:dyDescent="0.25">
      <c r="B3129" s="33">
        <v>1</v>
      </c>
      <c r="C3129" t="s">
        <v>4</v>
      </c>
      <c r="D3129" t="s">
        <v>106</v>
      </c>
      <c r="E3129">
        <v>7</v>
      </c>
      <c r="F3129" s="2">
        <v>4.9315068493150684E-2</v>
      </c>
    </row>
    <row r="3130" spans="2:6" x14ac:dyDescent="0.25">
      <c r="B3130" s="33">
        <v>1</v>
      </c>
      <c r="C3130" t="s">
        <v>2</v>
      </c>
      <c r="D3130" t="s">
        <v>232</v>
      </c>
      <c r="E3130">
        <v>22</v>
      </c>
      <c r="F3130" s="2">
        <v>8.21917808219178E-3</v>
      </c>
    </row>
    <row r="3131" spans="2:6" x14ac:dyDescent="0.25">
      <c r="B3131" s="33">
        <v>1</v>
      </c>
      <c r="C3131" t="s">
        <v>77</v>
      </c>
      <c r="D3131" t="s">
        <v>87</v>
      </c>
      <c r="E3131">
        <v>22</v>
      </c>
      <c r="F3131" s="2">
        <v>8.21917808219178E-3</v>
      </c>
    </row>
    <row r="3132" spans="2:6" x14ac:dyDescent="0.25">
      <c r="B3132" s="33">
        <v>1</v>
      </c>
      <c r="C3132" t="s">
        <v>77</v>
      </c>
      <c r="D3132" t="s">
        <v>205</v>
      </c>
      <c r="E3132">
        <v>21</v>
      </c>
      <c r="F3132" s="2">
        <v>8.21917808219178E-3</v>
      </c>
    </row>
    <row r="3133" spans="2:6" x14ac:dyDescent="0.25">
      <c r="B3133" s="33">
        <v>1</v>
      </c>
      <c r="C3133" t="s">
        <v>77</v>
      </c>
      <c r="D3133" t="s">
        <v>142</v>
      </c>
      <c r="E3133">
        <v>22</v>
      </c>
      <c r="F3133" s="2">
        <v>8.21917808219178E-3</v>
      </c>
    </row>
    <row r="3134" spans="2:6" x14ac:dyDescent="0.25">
      <c r="B3134" s="33">
        <v>1</v>
      </c>
      <c r="C3134" t="s">
        <v>66</v>
      </c>
      <c r="D3134" t="s">
        <v>227</v>
      </c>
      <c r="E3134">
        <v>16</v>
      </c>
      <c r="F3134" s="2">
        <v>8.21917808219178E-3</v>
      </c>
    </row>
    <row r="3135" spans="2:6" x14ac:dyDescent="0.25">
      <c r="B3135" s="33">
        <v>1</v>
      </c>
      <c r="C3135" t="s">
        <v>69</v>
      </c>
      <c r="D3135" t="s">
        <v>148</v>
      </c>
      <c r="E3135">
        <v>20</v>
      </c>
      <c r="F3135" s="2">
        <v>5.4794520547945206E-3</v>
      </c>
    </row>
    <row r="3136" spans="2:6" x14ac:dyDescent="0.25">
      <c r="B3136" s="33">
        <v>1</v>
      </c>
      <c r="C3136" t="s">
        <v>77</v>
      </c>
      <c r="D3136" t="s">
        <v>224</v>
      </c>
      <c r="E3136">
        <v>16</v>
      </c>
      <c r="F3136" s="2">
        <v>8.21917808219178E-3</v>
      </c>
    </row>
    <row r="3137" spans="2:6" x14ac:dyDescent="0.25">
      <c r="B3137" s="33">
        <v>1</v>
      </c>
      <c r="C3137" t="s">
        <v>6</v>
      </c>
      <c r="D3137" t="s">
        <v>42</v>
      </c>
      <c r="E3137">
        <v>4</v>
      </c>
      <c r="F3137" s="2">
        <v>8.21917808219178E-3</v>
      </c>
    </row>
    <row r="3138" spans="2:6" x14ac:dyDescent="0.25">
      <c r="B3138" s="33">
        <v>1</v>
      </c>
      <c r="C3138" t="s">
        <v>77</v>
      </c>
      <c r="D3138" t="s">
        <v>192</v>
      </c>
      <c r="E3138">
        <v>18</v>
      </c>
      <c r="F3138" s="2">
        <v>8.21917808219178E-3</v>
      </c>
    </row>
    <row r="3139" spans="2:6" x14ac:dyDescent="0.25">
      <c r="B3139" s="33">
        <v>1</v>
      </c>
      <c r="C3139" t="s">
        <v>66</v>
      </c>
      <c r="D3139" t="s">
        <v>219</v>
      </c>
      <c r="E3139">
        <v>22</v>
      </c>
      <c r="F3139" s="2">
        <v>8.21917808219178E-3</v>
      </c>
    </row>
    <row r="3140" spans="2:6" x14ac:dyDescent="0.25">
      <c r="B3140" s="33">
        <v>1</v>
      </c>
      <c r="C3140" t="s">
        <v>2</v>
      </c>
      <c r="D3140" t="s">
        <v>118</v>
      </c>
      <c r="E3140">
        <v>20</v>
      </c>
      <c r="F3140" s="2">
        <v>8.21917808219178E-3</v>
      </c>
    </row>
    <row r="3141" spans="2:6" x14ac:dyDescent="0.25">
      <c r="B3141" s="33">
        <v>1</v>
      </c>
      <c r="C3141" t="s">
        <v>77</v>
      </c>
      <c r="D3141" t="s">
        <v>146</v>
      </c>
      <c r="E3141">
        <v>1</v>
      </c>
      <c r="F3141" s="2">
        <v>5.4794520547945206E-3</v>
      </c>
    </row>
    <row r="3142" spans="2:6" x14ac:dyDescent="0.25">
      <c r="B3142" s="33">
        <v>1</v>
      </c>
      <c r="C3142" t="s">
        <v>69</v>
      </c>
      <c r="D3142" t="s">
        <v>223</v>
      </c>
      <c r="E3142">
        <v>8</v>
      </c>
      <c r="F3142" s="2">
        <v>8.21917808219178E-3</v>
      </c>
    </row>
    <row r="3143" spans="2:6" x14ac:dyDescent="0.25">
      <c r="B3143" s="33">
        <v>1</v>
      </c>
      <c r="C3143" t="s">
        <v>77</v>
      </c>
      <c r="D3143" t="s">
        <v>98</v>
      </c>
      <c r="E3143">
        <v>15</v>
      </c>
      <c r="F3143" s="2">
        <v>8.21917808219178E-3</v>
      </c>
    </row>
    <row r="3144" spans="2:6" x14ac:dyDescent="0.25">
      <c r="B3144" s="33">
        <v>1</v>
      </c>
      <c r="C3144" t="s">
        <v>3</v>
      </c>
      <c r="D3144" t="s">
        <v>226</v>
      </c>
      <c r="E3144">
        <v>8</v>
      </c>
      <c r="F3144" s="2">
        <v>1.0958904109589041E-2</v>
      </c>
    </row>
    <row r="3145" spans="2:6" x14ac:dyDescent="0.25">
      <c r="B3145" s="33">
        <v>1</v>
      </c>
      <c r="C3145" t="s">
        <v>0</v>
      </c>
      <c r="D3145" t="s">
        <v>150</v>
      </c>
      <c r="E3145">
        <v>9</v>
      </c>
      <c r="F3145" s="2">
        <v>2.4657534246575342E-2</v>
      </c>
    </row>
    <row r="3146" spans="2:6" x14ac:dyDescent="0.25">
      <c r="B3146" s="33">
        <v>1</v>
      </c>
      <c r="C3146" t="s">
        <v>77</v>
      </c>
      <c r="D3146" t="s">
        <v>142</v>
      </c>
      <c r="E3146">
        <v>11</v>
      </c>
      <c r="F3146" s="2">
        <v>8.21917808219178E-3</v>
      </c>
    </row>
    <row r="3147" spans="2:6" x14ac:dyDescent="0.25">
      <c r="B3147" s="33">
        <v>1</v>
      </c>
      <c r="C3147" t="s">
        <v>88</v>
      </c>
      <c r="D3147" t="s">
        <v>160</v>
      </c>
      <c r="E3147">
        <v>23</v>
      </c>
      <c r="F3147" s="2">
        <v>1.643835616438356E-2</v>
      </c>
    </row>
    <row r="3148" spans="2:6" x14ac:dyDescent="0.25">
      <c r="B3148" s="33">
        <v>1</v>
      </c>
      <c r="C3148" t="s">
        <v>6</v>
      </c>
      <c r="D3148" t="s">
        <v>38</v>
      </c>
      <c r="E3148">
        <v>11</v>
      </c>
      <c r="F3148" s="2">
        <v>5.4794520547945206E-3</v>
      </c>
    </row>
    <row r="3149" spans="2:6" x14ac:dyDescent="0.25">
      <c r="B3149" s="33">
        <v>1</v>
      </c>
      <c r="C3149" t="s">
        <v>74</v>
      </c>
      <c r="D3149" t="s">
        <v>174</v>
      </c>
      <c r="E3149">
        <v>6</v>
      </c>
      <c r="F3149" s="2">
        <v>1.0958904109589041E-2</v>
      </c>
    </row>
    <row r="3150" spans="2:6" x14ac:dyDescent="0.25">
      <c r="B3150" s="33">
        <v>1</v>
      </c>
      <c r="C3150" t="s">
        <v>69</v>
      </c>
      <c r="D3150" t="s">
        <v>113</v>
      </c>
      <c r="E3150">
        <v>2</v>
      </c>
      <c r="F3150" s="2">
        <v>5.4794520547945206E-3</v>
      </c>
    </row>
    <row r="3151" spans="2:6" x14ac:dyDescent="0.25">
      <c r="B3151" s="33">
        <v>1</v>
      </c>
      <c r="C3151" t="s">
        <v>69</v>
      </c>
      <c r="D3151" t="s">
        <v>231</v>
      </c>
      <c r="E3151">
        <v>14</v>
      </c>
      <c r="F3151" s="2">
        <v>8.21917808219178E-3</v>
      </c>
    </row>
    <row r="3152" spans="2:6" x14ac:dyDescent="0.25">
      <c r="B3152" s="33">
        <v>1</v>
      </c>
      <c r="C3152" t="s">
        <v>1</v>
      </c>
      <c r="D3152" t="s">
        <v>217</v>
      </c>
      <c r="E3152">
        <v>15</v>
      </c>
      <c r="F3152" s="2">
        <v>1.3698630136986301E-2</v>
      </c>
    </row>
    <row r="3153" spans="2:6" x14ac:dyDescent="0.25">
      <c r="B3153" s="33">
        <v>1</v>
      </c>
      <c r="C3153" t="s">
        <v>69</v>
      </c>
      <c r="D3153" t="s">
        <v>241</v>
      </c>
      <c r="E3153">
        <v>9</v>
      </c>
      <c r="F3153" s="2">
        <v>8.21917808219178E-3</v>
      </c>
    </row>
    <row r="3154" spans="2:6" x14ac:dyDescent="0.25">
      <c r="B3154" s="33">
        <v>1</v>
      </c>
      <c r="C3154" t="s">
        <v>77</v>
      </c>
      <c r="D3154" t="s">
        <v>97</v>
      </c>
      <c r="E3154">
        <v>12</v>
      </c>
      <c r="F3154" s="2">
        <v>8.21917808219178E-3</v>
      </c>
    </row>
    <row r="3155" spans="2:6" x14ac:dyDescent="0.25">
      <c r="B3155" s="33">
        <v>1</v>
      </c>
      <c r="C3155" t="s">
        <v>74</v>
      </c>
      <c r="D3155" t="s">
        <v>221</v>
      </c>
      <c r="E3155">
        <v>9</v>
      </c>
      <c r="F3155" s="2">
        <v>1.0958904109589041E-2</v>
      </c>
    </row>
    <row r="3156" spans="2:6" x14ac:dyDescent="0.25">
      <c r="B3156" s="33">
        <v>1</v>
      </c>
      <c r="C3156" t="s">
        <v>69</v>
      </c>
      <c r="D3156" t="s">
        <v>231</v>
      </c>
      <c r="E3156">
        <v>18</v>
      </c>
      <c r="F3156" s="2">
        <v>5.4794520547945206E-3</v>
      </c>
    </row>
    <row r="3157" spans="2:6" x14ac:dyDescent="0.25">
      <c r="B3157" s="33">
        <v>1</v>
      </c>
      <c r="C3157" t="s">
        <v>64</v>
      </c>
      <c r="D3157" t="s">
        <v>179</v>
      </c>
      <c r="E3157">
        <v>18</v>
      </c>
      <c r="F3157" s="2">
        <v>1.643835616438356E-2</v>
      </c>
    </row>
    <row r="3158" spans="2:6" x14ac:dyDescent="0.25">
      <c r="B3158" s="33">
        <v>1</v>
      </c>
      <c r="C3158" t="s">
        <v>66</v>
      </c>
      <c r="D3158" t="s">
        <v>235</v>
      </c>
      <c r="E3158">
        <v>22</v>
      </c>
      <c r="F3158" s="2">
        <v>8.21917808219178E-3</v>
      </c>
    </row>
    <row r="3159" spans="2:6" x14ac:dyDescent="0.25">
      <c r="B3159" s="33">
        <v>1</v>
      </c>
      <c r="C3159" t="s">
        <v>66</v>
      </c>
      <c r="D3159" t="s">
        <v>239</v>
      </c>
      <c r="E3159">
        <v>22</v>
      </c>
      <c r="F3159" s="2">
        <v>8.21917808219178E-3</v>
      </c>
    </row>
    <row r="3160" spans="2:6" x14ac:dyDescent="0.25">
      <c r="B3160" s="33">
        <v>1</v>
      </c>
      <c r="C3160" t="s">
        <v>126</v>
      </c>
      <c r="D3160" t="s">
        <v>169</v>
      </c>
      <c r="E3160">
        <v>23</v>
      </c>
      <c r="F3160" s="2">
        <v>8.21917808219178E-3</v>
      </c>
    </row>
    <row r="3161" spans="2:6" x14ac:dyDescent="0.25">
      <c r="B3161" s="33">
        <v>1</v>
      </c>
      <c r="C3161" t="s">
        <v>6</v>
      </c>
      <c r="D3161" t="s">
        <v>43</v>
      </c>
      <c r="E3161">
        <v>6</v>
      </c>
      <c r="F3161" s="2">
        <v>5.4794520547945206E-3</v>
      </c>
    </row>
    <row r="3162" spans="2:6" x14ac:dyDescent="0.25">
      <c r="B3162" s="33">
        <v>1</v>
      </c>
      <c r="C3162" t="s">
        <v>1</v>
      </c>
      <c r="D3162" t="s">
        <v>217</v>
      </c>
      <c r="E3162">
        <v>1</v>
      </c>
      <c r="F3162" s="2">
        <v>5.4794520547945206E-3</v>
      </c>
    </row>
    <row r="3163" spans="2:6" x14ac:dyDescent="0.25">
      <c r="B3163" s="33">
        <v>1</v>
      </c>
      <c r="C3163" t="s">
        <v>1</v>
      </c>
      <c r="D3163" t="s">
        <v>217</v>
      </c>
      <c r="E3163">
        <v>5</v>
      </c>
      <c r="F3163" s="2">
        <v>5.4794520547945206E-3</v>
      </c>
    </row>
    <row r="3164" spans="2:6" x14ac:dyDescent="0.25">
      <c r="B3164" s="33">
        <v>1</v>
      </c>
      <c r="C3164" t="s">
        <v>3</v>
      </c>
      <c r="D3164" t="s">
        <v>186</v>
      </c>
      <c r="E3164">
        <v>22</v>
      </c>
      <c r="F3164" s="2">
        <v>8.21917808219178E-3</v>
      </c>
    </row>
    <row r="3165" spans="2:6" x14ac:dyDescent="0.25">
      <c r="B3165" s="33">
        <v>1</v>
      </c>
      <c r="C3165" t="s">
        <v>2</v>
      </c>
      <c r="D3165" t="s">
        <v>242</v>
      </c>
      <c r="E3165">
        <v>17</v>
      </c>
      <c r="F3165" s="2">
        <v>5.4794520547945206E-3</v>
      </c>
    </row>
    <row r="3166" spans="2:6" x14ac:dyDescent="0.25">
      <c r="B3166" s="33">
        <v>1</v>
      </c>
      <c r="C3166" t="s">
        <v>1</v>
      </c>
      <c r="D3166" t="s">
        <v>189</v>
      </c>
      <c r="E3166">
        <v>23</v>
      </c>
      <c r="F3166" s="2">
        <v>5.4794520547945206E-3</v>
      </c>
    </row>
    <row r="3167" spans="2:6" x14ac:dyDescent="0.25">
      <c r="B3167" s="33">
        <v>1</v>
      </c>
      <c r="C3167" t="s">
        <v>1</v>
      </c>
      <c r="D3167" t="s">
        <v>189</v>
      </c>
      <c r="E3167">
        <v>7</v>
      </c>
      <c r="F3167" s="2">
        <v>5.4794520547945206E-3</v>
      </c>
    </row>
    <row r="3168" spans="2:6" x14ac:dyDescent="0.25">
      <c r="B3168" s="33">
        <v>1</v>
      </c>
      <c r="C3168" t="s">
        <v>2</v>
      </c>
      <c r="D3168" t="s">
        <v>96</v>
      </c>
      <c r="E3168">
        <v>1</v>
      </c>
      <c r="F3168" s="2">
        <v>1.0958904109589041E-2</v>
      </c>
    </row>
    <row r="3169" spans="2:6" x14ac:dyDescent="0.25">
      <c r="B3169" s="33">
        <v>1</v>
      </c>
      <c r="C3169" t="s">
        <v>1</v>
      </c>
      <c r="D3169" t="s">
        <v>216</v>
      </c>
      <c r="E3169">
        <v>2</v>
      </c>
      <c r="F3169" s="2">
        <v>5.4794520547945206E-3</v>
      </c>
    </row>
    <row r="3170" spans="2:6" x14ac:dyDescent="0.25">
      <c r="B3170" s="33">
        <v>1</v>
      </c>
      <c r="C3170" t="s">
        <v>69</v>
      </c>
      <c r="D3170" t="s">
        <v>206</v>
      </c>
      <c r="E3170">
        <v>0</v>
      </c>
      <c r="F3170" s="2">
        <v>5.4794520547945206E-3</v>
      </c>
    </row>
    <row r="3171" spans="2:6" x14ac:dyDescent="0.25">
      <c r="B3171" s="33">
        <v>1</v>
      </c>
      <c r="C3171" t="s">
        <v>64</v>
      </c>
      <c r="D3171" t="s">
        <v>68</v>
      </c>
      <c r="E3171">
        <v>3</v>
      </c>
      <c r="F3171" s="2">
        <v>8.21917808219178E-3</v>
      </c>
    </row>
    <row r="3172" spans="2:6" x14ac:dyDescent="0.25">
      <c r="B3172" s="33">
        <v>1</v>
      </c>
      <c r="C3172" t="s">
        <v>3</v>
      </c>
      <c r="D3172" t="s">
        <v>180</v>
      </c>
      <c r="E3172">
        <v>0</v>
      </c>
      <c r="F3172" s="2">
        <v>5.4794520547945206E-3</v>
      </c>
    </row>
    <row r="3173" spans="2:6" x14ac:dyDescent="0.25">
      <c r="B3173" s="33">
        <v>1</v>
      </c>
      <c r="C3173" t="s">
        <v>2</v>
      </c>
      <c r="D3173" t="s">
        <v>198</v>
      </c>
      <c r="E3173">
        <v>15</v>
      </c>
      <c r="F3173" s="2">
        <v>8.21917808219178E-3</v>
      </c>
    </row>
    <row r="3174" spans="2:6" x14ac:dyDescent="0.25">
      <c r="B3174" s="33">
        <v>1</v>
      </c>
      <c r="C3174" t="s">
        <v>77</v>
      </c>
      <c r="D3174" t="s">
        <v>224</v>
      </c>
      <c r="E3174">
        <v>10</v>
      </c>
      <c r="F3174" s="2">
        <v>8.21917808219178E-3</v>
      </c>
    </row>
    <row r="3175" spans="2:6" x14ac:dyDescent="0.25">
      <c r="B3175" s="33">
        <v>1</v>
      </c>
      <c r="C3175" t="s">
        <v>66</v>
      </c>
      <c r="D3175" t="s">
        <v>212</v>
      </c>
      <c r="E3175">
        <v>22</v>
      </c>
      <c r="F3175" s="2">
        <v>8.21917808219178E-3</v>
      </c>
    </row>
    <row r="3176" spans="2:6" x14ac:dyDescent="0.25">
      <c r="B3176" s="33">
        <v>1</v>
      </c>
      <c r="C3176" t="s">
        <v>69</v>
      </c>
      <c r="D3176" t="s">
        <v>206</v>
      </c>
      <c r="E3176">
        <v>17</v>
      </c>
      <c r="F3176" s="2">
        <v>5.4794520547945206E-3</v>
      </c>
    </row>
    <row r="3177" spans="2:6" x14ac:dyDescent="0.25">
      <c r="B3177" s="33">
        <v>1</v>
      </c>
      <c r="C3177" t="s">
        <v>69</v>
      </c>
      <c r="D3177" t="s">
        <v>206</v>
      </c>
      <c r="E3177">
        <v>18</v>
      </c>
      <c r="F3177" s="2">
        <v>5.4794520547945206E-3</v>
      </c>
    </row>
    <row r="3178" spans="2:6" x14ac:dyDescent="0.25">
      <c r="B3178" s="33">
        <v>1</v>
      </c>
      <c r="C3178" t="s">
        <v>90</v>
      </c>
      <c r="D3178" t="s">
        <v>164</v>
      </c>
      <c r="E3178">
        <v>23</v>
      </c>
      <c r="F3178" s="2">
        <v>2.1917808219178082E-2</v>
      </c>
    </row>
    <row r="3179" spans="2:6" x14ac:dyDescent="0.25">
      <c r="B3179" s="33">
        <v>1</v>
      </c>
      <c r="C3179" t="s">
        <v>69</v>
      </c>
      <c r="D3179" t="s">
        <v>234</v>
      </c>
      <c r="E3179">
        <v>1</v>
      </c>
      <c r="F3179" s="2">
        <v>5.4794520547945206E-3</v>
      </c>
    </row>
    <row r="3180" spans="2:6" x14ac:dyDescent="0.25">
      <c r="B3180" s="33">
        <v>1</v>
      </c>
      <c r="C3180" t="s">
        <v>77</v>
      </c>
      <c r="D3180" t="s">
        <v>142</v>
      </c>
      <c r="E3180">
        <v>5</v>
      </c>
      <c r="F3180" s="2">
        <v>5.4794520547945206E-3</v>
      </c>
    </row>
    <row r="3181" spans="2:6" x14ac:dyDescent="0.25">
      <c r="B3181" s="33">
        <v>1</v>
      </c>
      <c r="C3181" t="s">
        <v>2</v>
      </c>
      <c r="D3181" t="s">
        <v>96</v>
      </c>
      <c r="E3181">
        <v>3</v>
      </c>
      <c r="F3181" s="2">
        <v>1.3698630136986301E-2</v>
      </c>
    </row>
    <row r="3182" spans="2:6" x14ac:dyDescent="0.25">
      <c r="B3182" s="33">
        <v>1</v>
      </c>
      <c r="C3182" t="s">
        <v>103</v>
      </c>
      <c r="D3182" t="s">
        <v>194</v>
      </c>
      <c r="E3182">
        <v>3</v>
      </c>
      <c r="F3182" s="2">
        <v>2.7397260273972603E-3</v>
      </c>
    </row>
    <row r="3183" spans="2:6" x14ac:dyDescent="0.25">
      <c r="B3183" s="33">
        <v>1</v>
      </c>
      <c r="C3183" t="s">
        <v>77</v>
      </c>
      <c r="D3183" t="s">
        <v>142</v>
      </c>
      <c r="E3183">
        <v>2</v>
      </c>
      <c r="F3183" s="2">
        <v>5.4794520547945206E-3</v>
      </c>
    </row>
    <row r="3184" spans="2:6" x14ac:dyDescent="0.25">
      <c r="B3184" s="33">
        <v>1</v>
      </c>
      <c r="C3184" t="s">
        <v>6</v>
      </c>
      <c r="D3184" t="s">
        <v>21</v>
      </c>
      <c r="E3184">
        <v>5</v>
      </c>
      <c r="F3184" s="2">
        <v>5.4794520547945206E-3</v>
      </c>
    </row>
    <row r="3185" spans="2:6" x14ac:dyDescent="0.25">
      <c r="B3185" s="33">
        <v>1</v>
      </c>
      <c r="C3185" t="s">
        <v>2</v>
      </c>
      <c r="D3185" t="s">
        <v>185</v>
      </c>
      <c r="E3185">
        <v>21</v>
      </c>
      <c r="F3185" s="2">
        <v>5.4794520547945206E-3</v>
      </c>
    </row>
    <row r="3186" spans="2:6" x14ac:dyDescent="0.25">
      <c r="B3186" s="33">
        <v>1</v>
      </c>
      <c r="C3186" t="s">
        <v>3</v>
      </c>
      <c r="D3186" t="s">
        <v>161</v>
      </c>
      <c r="E3186">
        <v>18</v>
      </c>
      <c r="F3186" s="2">
        <v>8.21917808219178E-3</v>
      </c>
    </row>
    <row r="3187" spans="2:6" x14ac:dyDescent="0.25">
      <c r="B3187" s="33">
        <v>1</v>
      </c>
      <c r="C3187" t="s">
        <v>103</v>
      </c>
      <c r="D3187" t="s">
        <v>194</v>
      </c>
      <c r="E3187">
        <v>19</v>
      </c>
      <c r="F3187" s="2">
        <v>2.7397260273972603E-3</v>
      </c>
    </row>
    <row r="3188" spans="2:6" x14ac:dyDescent="0.25">
      <c r="B3188" s="33">
        <v>1</v>
      </c>
      <c r="C3188" t="s">
        <v>3</v>
      </c>
      <c r="D3188" t="s">
        <v>119</v>
      </c>
      <c r="E3188">
        <v>5</v>
      </c>
      <c r="F3188" s="2">
        <v>5.4794520547945206E-3</v>
      </c>
    </row>
    <row r="3189" spans="2:6" x14ac:dyDescent="0.25">
      <c r="B3189" s="33">
        <v>1</v>
      </c>
      <c r="C3189" t="s">
        <v>2</v>
      </c>
      <c r="D3189" t="s">
        <v>198</v>
      </c>
      <c r="E3189">
        <v>7</v>
      </c>
      <c r="F3189" s="2">
        <v>8.21917808219178E-3</v>
      </c>
    </row>
    <row r="3190" spans="2:6" x14ac:dyDescent="0.25">
      <c r="B3190" s="33">
        <v>1</v>
      </c>
      <c r="C3190" t="s">
        <v>69</v>
      </c>
      <c r="D3190" t="s">
        <v>218</v>
      </c>
      <c r="E3190">
        <v>11</v>
      </c>
      <c r="F3190" s="2">
        <v>8.21917808219178E-3</v>
      </c>
    </row>
    <row r="3191" spans="2:6" x14ac:dyDescent="0.25">
      <c r="B3191" s="33">
        <v>1</v>
      </c>
      <c r="C3191" t="s">
        <v>69</v>
      </c>
      <c r="D3191" t="s">
        <v>199</v>
      </c>
      <c r="E3191">
        <v>15</v>
      </c>
      <c r="F3191" s="2">
        <v>8.21917808219178E-3</v>
      </c>
    </row>
    <row r="3192" spans="2:6" x14ac:dyDescent="0.25">
      <c r="B3192" s="33">
        <v>1</v>
      </c>
      <c r="C3192" t="s">
        <v>66</v>
      </c>
      <c r="D3192" t="s">
        <v>239</v>
      </c>
      <c r="E3192">
        <v>19</v>
      </c>
      <c r="F3192" s="2">
        <v>8.21917808219178E-3</v>
      </c>
    </row>
    <row r="3193" spans="2:6" x14ac:dyDescent="0.25">
      <c r="B3193" s="33">
        <v>1</v>
      </c>
      <c r="C3193" t="s">
        <v>72</v>
      </c>
      <c r="D3193" t="s">
        <v>187</v>
      </c>
      <c r="E3193">
        <v>1</v>
      </c>
      <c r="F3193" s="2">
        <v>5.4794520547945206E-3</v>
      </c>
    </row>
    <row r="3194" spans="2:6" x14ac:dyDescent="0.25">
      <c r="B3194" s="33">
        <v>1</v>
      </c>
      <c r="C3194" t="s">
        <v>3</v>
      </c>
      <c r="D3194" t="s">
        <v>180</v>
      </c>
      <c r="E3194">
        <v>4</v>
      </c>
      <c r="F3194" s="2">
        <v>5.4794520547945206E-3</v>
      </c>
    </row>
    <row r="3195" spans="2:6" x14ac:dyDescent="0.25">
      <c r="B3195" s="33">
        <v>1</v>
      </c>
      <c r="C3195" t="s">
        <v>3</v>
      </c>
      <c r="D3195" t="s">
        <v>188</v>
      </c>
      <c r="E3195">
        <v>6</v>
      </c>
      <c r="F3195" s="2">
        <v>5.4794520547945206E-3</v>
      </c>
    </row>
    <row r="3196" spans="2:6" x14ac:dyDescent="0.25">
      <c r="B3196" s="33">
        <v>1</v>
      </c>
      <c r="C3196" t="s">
        <v>126</v>
      </c>
      <c r="D3196" t="s">
        <v>131</v>
      </c>
      <c r="E3196">
        <v>3</v>
      </c>
      <c r="F3196" s="2">
        <v>1.9178082191780823E-2</v>
      </c>
    </row>
    <row r="3197" spans="2:6" x14ac:dyDescent="0.25">
      <c r="B3197" s="33">
        <v>1</v>
      </c>
      <c r="C3197" t="s">
        <v>69</v>
      </c>
      <c r="D3197" t="s">
        <v>244</v>
      </c>
      <c r="E3197">
        <v>9</v>
      </c>
      <c r="F3197" s="2">
        <v>5.4794520547945206E-3</v>
      </c>
    </row>
    <row r="3198" spans="2:6" x14ac:dyDescent="0.25">
      <c r="B3198" s="33">
        <v>1</v>
      </c>
      <c r="C3198" t="s">
        <v>69</v>
      </c>
      <c r="D3198" t="s">
        <v>70</v>
      </c>
      <c r="E3198">
        <v>4</v>
      </c>
      <c r="F3198" s="2">
        <v>5.4794520547945206E-3</v>
      </c>
    </row>
    <row r="3199" spans="2:6" x14ac:dyDescent="0.25">
      <c r="B3199" s="33">
        <v>1</v>
      </c>
      <c r="C3199" t="s">
        <v>3</v>
      </c>
      <c r="D3199" t="s">
        <v>157</v>
      </c>
      <c r="E3199">
        <v>5</v>
      </c>
      <c r="F3199" s="2">
        <v>5.4794520547945206E-3</v>
      </c>
    </row>
    <row r="3200" spans="2:6" x14ac:dyDescent="0.25">
      <c r="B3200" s="33">
        <v>1</v>
      </c>
      <c r="C3200" t="s">
        <v>3</v>
      </c>
      <c r="D3200" t="s">
        <v>157</v>
      </c>
      <c r="E3200">
        <v>6</v>
      </c>
      <c r="F3200" s="2">
        <v>5.4794520547945206E-3</v>
      </c>
    </row>
    <row r="3201" spans="2:6" x14ac:dyDescent="0.25">
      <c r="B3201" s="33">
        <v>1</v>
      </c>
      <c r="C3201" t="s">
        <v>3</v>
      </c>
      <c r="D3201" t="s">
        <v>207</v>
      </c>
      <c r="E3201">
        <v>14</v>
      </c>
      <c r="F3201" s="2">
        <v>1.0958904109589041E-2</v>
      </c>
    </row>
    <row r="3202" spans="2:6" x14ac:dyDescent="0.25">
      <c r="B3202" s="33">
        <v>1</v>
      </c>
      <c r="C3202" t="s">
        <v>66</v>
      </c>
      <c r="D3202" t="s">
        <v>212</v>
      </c>
      <c r="E3202">
        <v>8</v>
      </c>
      <c r="F3202" s="2">
        <v>8.21917808219178E-3</v>
      </c>
    </row>
    <row r="3203" spans="2:6" x14ac:dyDescent="0.25">
      <c r="B3203" s="33">
        <v>1</v>
      </c>
      <c r="C3203" t="s">
        <v>2</v>
      </c>
      <c r="D3203" t="s">
        <v>232</v>
      </c>
      <c r="E3203">
        <v>10</v>
      </c>
      <c r="F3203" s="2">
        <v>8.21917808219178E-3</v>
      </c>
    </row>
    <row r="3204" spans="2:6" x14ac:dyDescent="0.25">
      <c r="B3204" s="33">
        <v>1</v>
      </c>
      <c r="C3204" t="s">
        <v>3</v>
      </c>
      <c r="D3204" t="s">
        <v>207</v>
      </c>
      <c r="E3204">
        <v>13</v>
      </c>
      <c r="F3204" s="2">
        <v>8.21917808219178E-3</v>
      </c>
    </row>
    <row r="3205" spans="2:6" x14ac:dyDescent="0.25">
      <c r="B3205" s="33">
        <v>1</v>
      </c>
      <c r="C3205" t="s">
        <v>64</v>
      </c>
      <c r="D3205" t="s">
        <v>165</v>
      </c>
      <c r="E3205">
        <v>16</v>
      </c>
      <c r="F3205" s="2">
        <v>2.1917808219178082E-2</v>
      </c>
    </row>
    <row r="3206" spans="2:6" x14ac:dyDescent="0.25">
      <c r="B3206" s="33">
        <v>1</v>
      </c>
      <c r="C3206" t="s">
        <v>69</v>
      </c>
      <c r="D3206" t="s">
        <v>206</v>
      </c>
      <c r="E3206">
        <v>19</v>
      </c>
      <c r="F3206" s="2">
        <v>5.4794520547945206E-3</v>
      </c>
    </row>
    <row r="3207" spans="2:6" x14ac:dyDescent="0.25">
      <c r="B3207" s="33">
        <v>1</v>
      </c>
      <c r="C3207" t="s">
        <v>3</v>
      </c>
      <c r="D3207" t="s">
        <v>173</v>
      </c>
      <c r="E3207">
        <v>6</v>
      </c>
      <c r="F3207" s="2">
        <v>5.4794520547945206E-3</v>
      </c>
    </row>
    <row r="3208" spans="2:6" x14ac:dyDescent="0.25">
      <c r="B3208" s="33">
        <v>1</v>
      </c>
      <c r="C3208" t="s">
        <v>2</v>
      </c>
      <c r="D3208" t="s">
        <v>102</v>
      </c>
      <c r="E3208">
        <v>7</v>
      </c>
      <c r="F3208" s="2">
        <v>1.643835616438356E-2</v>
      </c>
    </row>
    <row r="3209" spans="2:6" x14ac:dyDescent="0.25">
      <c r="B3209" s="33">
        <v>1</v>
      </c>
      <c r="C3209" t="s">
        <v>69</v>
      </c>
      <c r="D3209" t="s">
        <v>233</v>
      </c>
      <c r="E3209">
        <v>11</v>
      </c>
      <c r="F3209" s="2">
        <v>5.4794520547945206E-3</v>
      </c>
    </row>
    <row r="3210" spans="2:6" x14ac:dyDescent="0.25">
      <c r="B3210" s="33">
        <v>1</v>
      </c>
      <c r="C3210" t="s">
        <v>69</v>
      </c>
      <c r="D3210" t="s">
        <v>154</v>
      </c>
      <c r="E3210">
        <v>14</v>
      </c>
      <c r="F3210" s="2">
        <v>5.4794520547945206E-3</v>
      </c>
    </row>
    <row r="3211" spans="2:6" x14ac:dyDescent="0.25">
      <c r="B3211" s="33">
        <v>1</v>
      </c>
      <c r="C3211" t="s">
        <v>2</v>
      </c>
      <c r="D3211" t="s">
        <v>170</v>
      </c>
      <c r="E3211">
        <v>13</v>
      </c>
      <c r="F3211" s="2">
        <v>8.21917808219178E-3</v>
      </c>
    </row>
    <row r="3212" spans="2:6" x14ac:dyDescent="0.25">
      <c r="B3212" s="33">
        <v>1</v>
      </c>
      <c r="C3212" t="s">
        <v>66</v>
      </c>
      <c r="D3212" t="s">
        <v>219</v>
      </c>
      <c r="E3212">
        <v>18</v>
      </c>
      <c r="F3212" s="2">
        <v>8.21917808219178E-3</v>
      </c>
    </row>
    <row r="3213" spans="2:6" x14ac:dyDescent="0.25">
      <c r="B3213" s="33">
        <v>1</v>
      </c>
      <c r="C3213" t="s">
        <v>66</v>
      </c>
      <c r="D3213" t="s">
        <v>202</v>
      </c>
      <c r="E3213">
        <v>23</v>
      </c>
      <c r="F3213" s="2">
        <v>5.4794520547945206E-3</v>
      </c>
    </row>
    <row r="3214" spans="2:6" x14ac:dyDescent="0.25">
      <c r="B3214" s="33">
        <v>1</v>
      </c>
      <c r="C3214" t="s">
        <v>69</v>
      </c>
      <c r="D3214" t="s">
        <v>218</v>
      </c>
      <c r="E3214">
        <v>22</v>
      </c>
      <c r="F3214" s="2">
        <v>5.4794520547945206E-3</v>
      </c>
    </row>
    <row r="3215" spans="2:6" x14ac:dyDescent="0.25">
      <c r="B3215" s="33">
        <v>1</v>
      </c>
      <c r="C3215" t="s">
        <v>69</v>
      </c>
      <c r="D3215" t="s">
        <v>159</v>
      </c>
      <c r="E3215">
        <v>20</v>
      </c>
      <c r="F3215" s="2">
        <v>5.4794520547945206E-3</v>
      </c>
    </row>
    <row r="3216" spans="2:6" x14ac:dyDescent="0.25">
      <c r="B3216" s="33">
        <v>1</v>
      </c>
      <c r="C3216" t="s">
        <v>72</v>
      </c>
      <c r="D3216" t="s">
        <v>187</v>
      </c>
      <c r="E3216">
        <v>4</v>
      </c>
      <c r="F3216" s="2">
        <v>2.7397260273972603E-3</v>
      </c>
    </row>
    <row r="3217" spans="2:6" x14ac:dyDescent="0.25">
      <c r="B3217" s="33">
        <v>1</v>
      </c>
      <c r="C3217" t="s">
        <v>77</v>
      </c>
      <c r="D3217" t="s">
        <v>78</v>
      </c>
      <c r="E3217">
        <v>2</v>
      </c>
      <c r="F3217" s="2">
        <v>5.4794520547945206E-3</v>
      </c>
    </row>
    <row r="3218" spans="2:6" x14ac:dyDescent="0.25">
      <c r="B3218" s="33">
        <v>1</v>
      </c>
      <c r="C3218" t="s">
        <v>126</v>
      </c>
      <c r="D3218" t="s">
        <v>147</v>
      </c>
      <c r="E3218">
        <v>8</v>
      </c>
      <c r="F3218" s="2">
        <v>5.4794520547945206E-3</v>
      </c>
    </row>
    <row r="3219" spans="2:6" x14ac:dyDescent="0.25">
      <c r="B3219" s="33">
        <v>1</v>
      </c>
      <c r="C3219" t="s">
        <v>3</v>
      </c>
      <c r="D3219" t="s">
        <v>203</v>
      </c>
      <c r="E3219">
        <v>10</v>
      </c>
      <c r="F3219" s="2">
        <v>8.21917808219178E-3</v>
      </c>
    </row>
    <row r="3220" spans="2:6" x14ac:dyDescent="0.25">
      <c r="B3220" s="33">
        <v>1</v>
      </c>
      <c r="C3220" t="s">
        <v>66</v>
      </c>
      <c r="D3220" t="s">
        <v>227</v>
      </c>
      <c r="E3220">
        <v>22</v>
      </c>
      <c r="F3220" s="2">
        <v>5.4794520547945206E-3</v>
      </c>
    </row>
    <row r="3221" spans="2:6" x14ac:dyDescent="0.25">
      <c r="B3221" s="33">
        <v>1</v>
      </c>
      <c r="C3221" t="s">
        <v>66</v>
      </c>
      <c r="D3221" t="s">
        <v>122</v>
      </c>
      <c r="E3221">
        <v>6</v>
      </c>
      <c r="F3221" s="2">
        <v>5.4794520547945206E-3</v>
      </c>
    </row>
    <row r="3222" spans="2:6" x14ac:dyDescent="0.25">
      <c r="B3222" s="33">
        <v>1</v>
      </c>
      <c r="C3222" t="s">
        <v>69</v>
      </c>
      <c r="D3222" t="s">
        <v>206</v>
      </c>
      <c r="E3222">
        <v>12</v>
      </c>
      <c r="F3222" s="2">
        <v>5.4794520547945206E-3</v>
      </c>
    </row>
    <row r="3223" spans="2:6" x14ac:dyDescent="0.25">
      <c r="B3223" s="33">
        <v>1</v>
      </c>
      <c r="C3223" t="s">
        <v>1</v>
      </c>
      <c r="D3223" t="s">
        <v>214</v>
      </c>
      <c r="E3223">
        <v>13</v>
      </c>
      <c r="F3223" s="2">
        <v>1.0958904109589041E-2</v>
      </c>
    </row>
    <row r="3224" spans="2:6" x14ac:dyDescent="0.25">
      <c r="B3224" s="33">
        <v>1</v>
      </c>
      <c r="C3224" t="s">
        <v>69</v>
      </c>
      <c r="D3224" t="s">
        <v>70</v>
      </c>
      <c r="E3224">
        <v>22</v>
      </c>
      <c r="F3224" s="2">
        <v>5.4794520547945206E-3</v>
      </c>
    </row>
    <row r="3225" spans="2:6" x14ac:dyDescent="0.25">
      <c r="B3225" s="33">
        <v>1</v>
      </c>
      <c r="C3225" t="s">
        <v>3</v>
      </c>
      <c r="D3225" t="s">
        <v>119</v>
      </c>
      <c r="E3225">
        <v>23</v>
      </c>
      <c r="F3225" s="2">
        <v>8.21917808219178E-3</v>
      </c>
    </row>
    <row r="3226" spans="2:6" x14ac:dyDescent="0.25">
      <c r="B3226" s="33">
        <v>1</v>
      </c>
      <c r="C3226" t="s">
        <v>126</v>
      </c>
      <c r="D3226" t="s">
        <v>131</v>
      </c>
      <c r="E3226">
        <v>23</v>
      </c>
      <c r="F3226" s="2">
        <v>8.21917808219178E-3</v>
      </c>
    </row>
    <row r="3227" spans="2:6" x14ac:dyDescent="0.25">
      <c r="B3227" s="33">
        <v>1</v>
      </c>
      <c r="C3227" t="s">
        <v>77</v>
      </c>
      <c r="D3227" t="s">
        <v>98</v>
      </c>
      <c r="E3227">
        <v>21</v>
      </c>
      <c r="F3227" s="2">
        <v>8.21917808219178E-3</v>
      </c>
    </row>
    <row r="3228" spans="2:6" x14ac:dyDescent="0.25">
      <c r="B3228" s="33">
        <v>1</v>
      </c>
      <c r="C3228" t="s">
        <v>103</v>
      </c>
      <c r="D3228" t="s">
        <v>139</v>
      </c>
      <c r="E3228">
        <v>4</v>
      </c>
      <c r="F3228" s="2">
        <v>5.4794520547945206E-3</v>
      </c>
    </row>
    <row r="3229" spans="2:6" x14ac:dyDescent="0.25">
      <c r="B3229" s="33">
        <v>1</v>
      </c>
      <c r="C3229" t="s">
        <v>3</v>
      </c>
      <c r="D3229" t="s">
        <v>226</v>
      </c>
      <c r="E3229">
        <v>12</v>
      </c>
      <c r="F3229" s="2">
        <v>8.21917808219178E-3</v>
      </c>
    </row>
    <row r="3230" spans="2:6" x14ac:dyDescent="0.25">
      <c r="B3230" s="33">
        <v>1</v>
      </c>
      <c r="C3230" t="s">
        <v>103</v>
      </c>
      <c r="D3230" t="s">
        <v>167</v>
      </c>
      <c r="E3230">
        <v>15</v>
      </c>
      <c r="F3230" s="2">
        <v>1.0958904109589041E-2</v>
      </c>
    </row>
    <row r="3231" spans="2:6" x14ac:dyDescent="0.25">
      <c r="B3231" s="33">
        <v>1</v>
      </c>
      <c r="C3231" t="s">
        <v>69</v>
      </c>
      <c r="D3231" t="s">
        <v>197</v>
      </c>
      <c r="E3231">
        <v>15</v>
      </c>
      <c r="F3231" s="2">
        <v>5.4794520547945206E-3</v>
      </c>
    </row>
    <row r="3232" spans="2:6" x14ac:dyDescent="0.25">
      <c r="B3232" s="33">
        <v>1</v>
      </c>
      <c r="C3232" t="s">
        <v>69</v>
      </c>
      <c r="D3232" t="s">
        <v>218</v>
      </c>
      <c r="E3232">
        <v>15</v>
      </c>
      <c r="F3232" s="2">
        <v>5.4794520547945206E-3</v>
      </c>
    </row>
    <row r="3233" spans="2:6" x14ac:dyDescent="0.25">
      <c r="B3233" s="33">
        <v>1</v>
      </c>
      <c r="C3233" t="s">
        <v>0</v>
      </c>
      <c r="D3233" t="s">
        <v>150</v>
      </c>
      <c r="E3233">
        <v>22</v>
      </c>
      <c r="F3233" s="2">
        <v>2.4657534246575342E-2</v>
      </c>
    </row>
    <row r="3234" spans="2:6" x14ac:dyDescent="0.25">
      <c r="B3234" s="33">
        <v>1</v>
      </c>
      <c r="C3234" t="s">
        <v>0</v>
      </c>
      <c r="D3234" t="s">
        <v>150</v>
      </c>
      <c r="E3234">
        <v>23</v>
      </c>
      <c r="F3234" s="2">
        <v>1.0958904109589041E-2</v>
      </c>
    </row>
    <row r="3235" spans="2:6" x14ac:dyDescent="0.25">
      <c r="B3235" s="33">
        <v>1</v>
      </c>
      <c r="C3235" t="s">
        <v>6</v>
      </c>
      <c r="D3235" t="s">
        <v>38</v>
      </c>
      <c r="E3235">
        <v>7</v>
      </c>
      <c r="F3235" s="2">
        <v>5.4794520547945206E-3</v>
      </c>
    </row>
    <row r="3236" spans="2:6" x14ac:dyDescent="0.25">
      <c r="B3236" s="33">
        <v>1</v>
      </c>
      <c r="C3236" t="s">
        <v>77</v>
      </c>
      <c r="D3236" t="s">
        <v>78</v>
      </c>
      <c r="E3236">
        <v>1</v>
      </c>
      <c r="F3236" s="2">
        <v>5.4794520547945206E-3</v>
      </c>
    </row>
    <row r="3237" spans="2:6" x14ac:dyDescent="0.25">
      <c r="B3237" s="33">
        <v>1</v>
      </c>
      <c r="C3237" t="s">
        <v>69</v>
      </c>
      <c r="D3237" t="s">
        <v>154</v>
      </c>
      <c r="E3237">
        <v>1</v>
      </c>
      <c r="F3237" s="2">
        <v>5.4794520547945206E-3</v>
      </c>
    </row>
    <row r="3238" spans="2:6" x14ac:dyDescent="0.25">
      <c r="B3238" s="33">
        <v>1</v>
      </c>
      <c r="C3238" t="s">
        <v>72</v>
      </c>
      <c r="D3238" t="s">
        <v>125</v>
      </c>
      <c r="E3238">
        <v>3</v>
      </c>
      <c r="F3238" s="2">
        <v>2.7397260273972603E-3</v>
      </c>
    </row>
    <row r="3239" spans="2:6" x14ac:dyDescent="0.25">
      <c r="B3239" s="33">
        <v>1</v>
      </c>
      <c r="C3239" t="s">
        <v>1</v>
      </c>
      <c r="D3239" t="s">
        <v>155</v>
      </c>
      <c r="E3239">
        <v>3</v>
      </c>
      <c r="F3239" s="2">
        <v>5.4794520547945206E-3</v>
      </c>
    </row>
    <row r="3240" spans="2:6" x14ac:dyDescent="0.25">
      <c r="B3240" s="33">
        <v>1</v>
      </c>
      <c r="C3240" t="s">
        <v>3</v>
      </c>
      <c r="D3240" t="s">
        <v>180</v>
      </c>
      <c r="E3240">
        <v>21</v>
      </c>
      <c r="F3240" s="2">
        <v>8.21917808219178E-3</v>
      </c>
    </row>
    <row r="3241" spans="2:6" x14ac:dyDescent="0.25">
      <c r="B3241" s="33">
        <v>1</v>
      </c>
      <c r="C3241" t="s">
        <v>64</v>
      </c>
      <c r="D3241" t="s">
        <v>213</v>
      </c>
      <c r="E3241">
        <v>18</v>
      </c>
      <c r="F3241" s="2">
        <v>8.21917808219178E-3</v>
      </c>
    </row>
    <row r="3242" spans="2:6" x14ac:dyDescent="0.25">
      <c r="B3242" s="33">
        <v>1</v>
      </c>
      <c r="C3242" t="s">
        <v>2</v>
      </c>
      <c r="D3242" t="s">
        <v>118</v>
      </c>
      <c r="E3242">
        <v>23</v>
      </c>
      <c r="F3242" s="2">
        <v>5.4794520547945206E-3</v>
      </c>
    </row>
    <row r="3243" spans="2:6" x14ac:dyDescent="0.25">
      <c r="B3243" s="33">
        <v>1</v>
      </c>
      <c r="C3243" t="s">
        <v>77</v>
      </c>
      <c r="D3243" t="s">
        <v>192</v>
      </c>
      <c r="E3243">
        <v>19</v>
      </c>
      <c r="F3243" s="2">
        <v>8.21917808219178E-3</v>
      </c>
    </row>
    <row r="3244" spans="2:6" x14ac:dyDescent="0.25">
      <c r="B3244" s="33">
        <v>1</v>
      </c>
      <c r="C3244" t="s">
        <v>77</v>
      </c>
      <c r="D3244" t="s">
        <v>205</v>
      </c>
      <c r="E3244">
        <v>17</v>
      </c>
      <c r="F3244" s="2">
        <v>8.21917808219178E-3</v>
      </c>
    </row>
    <row r="3245" spans="2:6" x14ac:dyDescent="0.25">
      <c r="B3245" s="33">
        <v>1</v>
      </c>
      <c r="C3245" t="s">
        <v>69</v>
      </c>
      <c r="D3245" t="s">
        <v>234</v>
      </c>
      <c r="E3245">
        <v>9</v>
      </c>
      <c r="F3245" s="2">
        <v>5.4794520547945206E-3</v>
      </c>
    </row>
    <row r="3246" spans="2:6" x14ac:dyDescent="0.25">
      <c r="B3246" s="33">
        <v>1</v>
      </c>
      <c r="C3246" t="s">
        <v>69</v>
      </c>
      <c r="D3246" t="s">
        <v>140</v>
      </c>
      <c r="E3246">
        <v>21</v>
      </c>
      <c r="F3246" s="2">
        <v>5.4794520547945206E-3</v>
      </c>
    </row>
    <row r="3247" spans="2:6" x14ac:dyDescent="0.25">
      <c r="B3247" s="33">
        <v>1</v>
      </c>
      <c r="C3247" t="s">
        <v>3</v>
      </c>
      <c r="D3247" t="s">
        <v>186</v>
      </c>
      <c r="E3247">
        <v>20</v>
      </c>
      <c r="F3247" s="2">
        <v>8.21917808219178E-3</v>
      </c>
    </row>
    <row r="3248" spans="2:6" x14ac:dyDescent="0.25">
      <c r="B3248" s="33">
        <v>1</v>
      </c>
      <c r="C3248" t="s">
        <v>6</v>
      </c>
      <c r="D3248" t="s">
        <v>43</v>
      </c>
      <c r="E3248">
        <v>4</v>
      </c>
      <c r="F3248" s="2">
        <v>5.4794520547945206E-3</v>
      </c>
    </row>
    <row r="3249" spans="2:6" x14ac:dyDescent="0.25">
      <c r="B3249" s="33">
        <v>1</v>
      </c>
      <c r="C3249" t="s">
        <v>77</v>
      </c>
      <c r="D3249" t="s">
        <v>224</v>
      </c>
      <c r="E3249">
        <v>17</v>
      </c>
      <c r="F3249" s="2">
        <v>8.21917808219178E-3</v>
      </c>
    </row>
    <row r="3250" spans="2:6" x14ac:dyDescent="0.25">
      <c r="B3250" s="33">
        <v>1</v>
      </c>
      <c r="C3250" t="s">
        <v>77</v>
      </c>
      <c r="D3250" t="s">
        <v>204</v>
      </c>
      <c r="E3250">
        <v>19</v>
      </c>
      <c r="F3250" s="2">
        <v>5.4794520547945206E-3</v>
      </c>
    </row>
    <row r="3251" spans="2:6" x14ac:dyDescent="0.25">
      <c r="B3251" s="33">
        <v>1</v>
      </c>
      <c r="C3251" t="s">
        <v>77</v>
      </c>
      <c r="D3251" t="s">
        <v>85</v>
      </c>
      <c r="E3251">
        <v>22</v>
      </c>
      <c r="F3251" s="2">
        <v>5.4794520547945206E-3</v>
      </c>
    </row>
    <row r="3252" spans="2:6" x14ac:dyDescent="0.25">
      <c r="B3252" s="33">
        <v>1</v>
      </c>
      <c r="C3252" t="s">
        <v>126</v>
      </c>
      <c r="D3252" t="s">
        <v>127</v>
      </c>
      <c r="E3252">
        <v>6</v>
      </c>
      <c r="F3252" s="2">
        <v>2.7397260273972603E-3</v>
      </c>
    </row>
    <row r="3253" spans="2:6" x14ac:dyDescent="0.25">
      <c r="B3253" s="33">
        <v>1</v>
      </c>
      <c r="C3253" t="s">
        <v>69</v>
      </c>
      <c r="D3253" t="s">
        <v>220</v>
      </c>
      <c r="E3253">
        <v>14</v>
      </c>
      <c r="F3253" s="2">
        <v>5.4794520547945206E-3</v>
      </c>
    </row>
    <row r="3254" spans="2:6" x14ac:dyDescent="0.25">
      <c r="B3254" s="33">
        <v>1</v>
      </c>
      <c r="C3254" t="s">
        <v>69</v>
      </c>
      <c r="D3254" t="s">
        <v>70</v>
      </c>
      <c r="E3254">
        <v>21</v>
      </c>
      <c r="F3254" s="2">
        <v>5.4794520547945206E-3</v>
      </c>
    </row>
    <row r="3255" spans="2:6" x14ac:dyDescent="0.25">
      <c r="B3255" s="33">
        <v>1</v>
      </c>
      <c r="C3255" t="s">
        <v>77</v>
      </c>
      <c r="D3255" t="s">
        <v>225</v>
      </c>
      <c r="E3255">
        <v>16</v>
      </c>
      <c r="F3255" s="2">
        <v>5.4794520547945206E-3</v>
      </c>
    </row>
    <row r="3256" spans="2:6" x14ac:dyDescent="0.25">
      <c r="B3256" s="33">
        <v>1</v>
      </c>
      <c r="C3256" t="s">
        <v>88</v>
      </c>
      <c r="D3256" t="s">
        <v>134</v>
      </c>
      <c r="E3256">
        <v>5</v>
      </c>
      <c r="F3256" s="2">
        <v>8.21917808219178E-3</v>
      </c>
    </row>
    <row r="3257" spans="2:6" x14ac:dyDescent="0.25">
      <c r="B3257" s="33">
        <v>1</v>
      </c>
      <c r="C3257" t="s">
        <v>2</v>
      </c>
      <c r="D3257" t="s">
        <v>185</v>
      </c>
      <c r="E3257">
        <v>8</v>
      </c>
      <c r="F3257" s="2">
        <v>8.21917808219178E-3</v>
      </c>
    </row>
    <row r="3258" spans="2:6" x14ac:dyDescent="0.25">
      <c r="B3258" s="33">
        <v>1</v>
      </c>
      <c r="C3258" t="s">
        <v>77</v>
      </c>
      <c r="D3258" t="s">
        <v>142</v>
      </c>
      <c r="E3258">
        <v>0</v>
      </c>
      <c r="F3258" s="2">
        <v>5.4794520547945206E-3</v>
      </c>
    </row>
    <row r="3259" spans="2:6" x14ac:dyDescent="0.25">
      <c r="B3259" s="33">
        <v>1</v>
      </c>
      <c r="C3259" t="s">
        <v>1</v>
      </c>
      <c r="D3259" t="s">
        <v>144</v>
      </c>
      <c r="E3259">
        <v>2</v>
      </c>
      <c r="F3259" s="2">
        <v>5.4794520547945206E-3</v>
      </c>
    </row>
    <row r="3260" spans="2:6" x14ac:dyDescent="0.25">
      <c r="B3260" s="33">
        <v>1</v>
      </c>
      <c r="C3260" t="s">
        <v>77</v>
      </c>
      <c r="D3260" t="s">
        <v>225</v>
      </c>
      <c r="E3260">
        <v>11</v>
      </c>
      <c r="F3260" s="2">
        <v>8.21917808219178E-3</v>
      </c>
    </row>
    <row r="3261" spans="2:6" x14ac:dyDescent="0.25">
      <c r="B3261" s="33">
        <v>1</v>
      </c>
      <c r="C3261" t="s">
        <v>2</v>
      </c>
      <c r="D3261" t="s">
        <v>198</v>
      </c>
      <c r="E3261">
        <v>12</v>
      </c>
      <c r="F3261" s="2">
        <v>8.21917808219178E-3</v>
      </c>
    </row>
    <row r="3262" spans="2:6" x14ac:dyDescent="0.25">
      <c r="B3262" s="33">
        <v>1</v>
      </c>
      <c r="C3262" t="s">
        <v>126</v>
      </c>
      <c r="D3262" t="s">
        <v>169</v>
      </c>
      <c r="E3262">
        <v>13</v>
      </c>
      <c r="F3262" s="2">
        <v>2.1917808219178082E-2</v>
      </c>
    </row>
    <row r="3263" spans="2:6" x14ac:dyDescent="0.25">
      <c r="B3263" s="33">
        <v>1</v>
      </c>
      <c r="C3263" t="s">
        <v>64</v>
      </c>
      <c r="D3263" t="s">
        <v>165</v>
      </c>
      <c r="E3263">
        <v>9</v>
      </c>
      <c r="F3263" s="2">
        <v>5.4794520547945206E-3</v>
      </c>
    </row>
    <row r="3264" spans="2:6" x14ac:dyDescent="0.25">
      <c r="B3264" s="33">
        <v>1</v>
      </c>
      <c r="C3264" t="s">
        <v>69</v>
      </c>
      <c r="D3264" t="s">
        <v>215</v>
      </c>
      <c r="E3264">
        <v>19</v>
      </c>
      <c r="F3264" s="2">
        <v>5.4794520547945206E-3</v>
      </c>
    </row>
    <row r="3265" spans="2:6" x14ac:dyDescent="0.25">
      <c r="B3265" s="33">
        <v>1</v>
      </c>
      <c r="C3265" t="s">
        <v>3</v>
      </c>
      <c r="D3265" t="s">
        <v>161</v>
      </c>
      <c r="E3265">
        <v>23</v>
      </c>
      <c r="F3265" s="2">
        <v>5.4794520547945206E-3</v>
      </c>
    </row>
    <row r="3266" spans="2:6" x14ac:dyDescent="0.25">
      <c r="B3266" s="33">
        <v>1</v>
      </c>
      <c r="C3266" t="s">
        <v>64</v>
      </c>
      <c r="D3266" t="s">
        <v>179</v>
      </c>
      <c r="E3266">
        <v>6</v>
      </c>
      <c r="F3266" s="2">
        <v>8.21917808219178E-3</v>
      </c>
    </row>
    <row r="3267" spans="2:6" x14ac:dyDescent="0.25">
      <c r="B3267" s="33">
        <v>1</v>
      </c>
      <c r="C3267" t="s">
        <v>66</v>
      </c>
      <c r="D3267" t="s">
        <v>245</v>
      </c>
      <c r="E3267">
        <v>13</v>
      </c>
      <c r="F3267" s="2">
        <v>5.4794520547945206E-3</v>
      </c>
    </row>
    <row r="3268" spans="2:6" x14ac:dyDescent="0.25">
      <c r="B3268" s="33">
        <v>1</v>
      </c>
      <c r="C3268" t="s">
        <v>88</v>
      </c>
      <c r="D3268" t="s">
        <v>201</v>
      </c>
      <c r="E3268">
        <v>15</v>
      </c>
      <c r="F3268" s="2">
        <v>1.9178082191780823E-2</v>
      </c>
    </row>
    <row r="3269" spans="2:6" x14ac:dyDescent="0.25">
      <c r="B3269" s="33">
        <v>1</v>
      </c>
      <c r="C3269" t="s">
        <v>77</v>
      </c>
      <c r="D3269" t="s">
        <v>177</v>
      </c>
      <c r="E3269">
        <v>19</v>
      </c>
      <c r="F3269" s="2">
        <v>5.4794520547945206E-3</v>
      </c>
    </row>
    <row r="3270" spans="2:6" x14ac:dyDescent="0.25">
      <c r="B3270" s="33">
        <v>1</v>
      </c>
      <c r="C3270" t="s">
        <v>2</v>
      </c>
      <c r="D3270" t="s">
        <v>102</v>
      </c>
      <c r="E3270">
        <v>3</v>
      </c>
      <c r="F3270" s="2">
        <v>8.21917808219178E-3</v>
      </c>
    </row>
    <row r="3271" spans="2:6" x14ac:dyDescent="0.25">
      <c r="B3271" s="33">
        <v>1</v>
      </c>
      <c r="C3271" t="s">
        <v>6</v>
      </c>
      <c r="D3271" t="s">
        <v>38</v>
      </c>
      <c r="E3271">
        <v>2</v>
      </c>
      <c r="F3271" s="2">
        <v>5.4794520547945206E-3</v>
      </c>
    </row>
    <row r="3272" spans="2:6" x14ac:dyDescent="0.25">
      <c r="B3272" s="33">
        <v>1</v>
      </c>
      <c r="C3272" t="s">
        <v>2</v>
      </c>
      <c r="D3272" t="s">
        <v>232</v>
      </c>
      <c r="E3272">
        <v>7</v>
      </c>
      <c r="F3272" s="2">
        <v>2.7397260273972603E-3</v>
      </c>
    </row>
    <row r="3273" spans="2:6" x14ac:dyDescent="0.25">
      <c r="B3273" s="33">
        <v>1</v>
      </c>
      <c r="C3273" t="s">
        <v>66</v>
      </c>
      <c r="D3273" t="s">
        <v>219</v>
      </c>
      <c r="E3273">
        <v>14</v>
      </c>
      <c r="F3273" s="2">
        <v>5.4794520547945206E-3</v>
      </c>
    </row>
    <row r="3274" spans="2:6" x14ac:dyDescent="0.25">
      <c r="B3274" s="33">
        <v>1</v>
      </c>
      <c r="C3274" t="s">
        <v>6</v>
      </c>
      <c r="D3274" t="s">
        <v>25</v>
      </c>
      <c r="E3274">
        <v>5</v>
      </c>
      <c r="F3274" s="2">
        <v>5.4794520547945206E-3</v>
      </c>
    </row>
    <row r="3275" spans="2:6" x14ac:dyDescent="0.25">
      <c r="B3275" s="33">
        <v>1</v>
      </c>
      <c r="C3275" t="s">
        <v>1</v>
      </c>
      <c r="D3275" t="s">
        <v>216</v>
      </c>
      <c r="E3275">
        <v>23</v>
      </c>
      <c r="F3275" s="2">
        <v>5.4794520547945206E-3</v>
      </c>
    </row>
    <row r="3276" spans="2:6" x14ac:dyDescent="0.25">
      <c r="B3276" s="33">
        <v>1</v>
      </c>
      <c r="C3276" t="s">
        <v>66</v>
      </c>
      <c r="D3276" t="s">
        <v>168</v>
      </c>
      <c r="E3276">
        <v>6</v>
      </c>
      <c r="F3276" s="2">
        <v>5.4794520547945206E-3</v>
      </c>
    </row>
    <row r="3277" spans="2:6" x14ac:dyDescent="0.25">
      <c r="B3277" s="33">
        <v>1</v>
      </c>
      <c r="C3277" t="s">
        <v>66</v>
      </c>
      <c r="D3277" t="s">
        <v>211</v>
      </c>
      <c r="E3277">
        <v>5</v>
      </c>
      <c r="F3277" s="2">
        <v>5.4794520547945206E-3</v>
      </c>
    </row>
    <row r="3278" spans="2:6" x14ac:dyDescent="0.25">
      <c r="B3278" s="33">
        <v>1</v>
      </c>
      <c r="C3278" t="s">
        <v>4</v>
      </c>
      <c r="D3278" t="s">
        <v>178</v>
      </c>
      <c r="E3278">
        <v>2</v>
      </c>
      <c r="F3278" s="2">
        <v>2.7397260273972603E-3</v>
      </c>
    </row>
    <row r="3279" spans="2:6" x14ac:dyDescent="0.25">
      <c r="B3279" s="33">
        <v>1</v>
      </c>
      <c r="C3279" t="s">
        <v>103</v>
      </c>
      <c r="D3279" t="s">
        <v>167</v>
      </c>
      <c r="E3279">
        <v>5</v>
      </c>
      <c r="F3279" s="2">
        <v>5.4794520547945206E-3</v>
      </c>
    </row>
    <row r="3280" spans="2:6" x14ac:dyDescent="0.25">
      <c r="B3280" s="33">
        <v>1</v>
      </c>
      <c r="C3280" t="s">
        <v>64</v>
      </c>
      <c r="D3280" t="s">
        <v>68</v>
      </c>
      <c r="E3280">
        <v>6</v>
      </c>
      <c r="F3280" s="2">
        <v>8.21917808219178E-3</v>
      </c>
    </row>
    <row r="3281" spans="2:6" x14ac:dyDescent="0.25">
      <c r="B3281" s="33">
        <v>1</v>
      </c>
      <c r="C3281" t="s">
        <v>69</v>
      </c>
      <c r="D3281" t="s">
        <v>181</v>
      </c>
      <c r="E3281">
        <v>2</v>
      </c>
      <c r="F3281" s="2">
        <v>5.4794520547945206E-3</v>
      </c>
    </row>
    <row r="3282" spans="2:6" x14ac:dyDescent="0.25">
      <c r="B3282" s="33">
        <v>1</v>
      </c>
      <c r="C3282" t="s">
        <v>77</v>
      </c>
      <c r="D3282" t="s">
        <v>136</v>
      </c>
      <c r="E3282">
        <v>2</v>
      </c>
      <c r="F3282" s="2">
        <v>2.7397260273972603E-3</v>
      </c>
    </row>
    <row r="3283" spans="2:6" x14ac:dyDescent="0.25">
      <c r="B3283" s="33">
        <v>1</v>
      </c>
      <c r="C3283" t="s">
        <v>66</v>
      </c>
      <c r="D3283" t="s">
        <v>219</v>
      </c>
      <c r="E3283">
        <v>1</v>
      </c>
      <c r="F3283" s="2">
        <v>5.4794520547945206E-3</v>
      </c>
    </row>
    <row r="3284" spans="2:6" x14ac:dyDescent="0.25">
      <c r="B3284" s="33">
        <v>1</v>
      </c>
      <c r="C3284" t="s">
        <v>6</v>
      </c>
      <c r="D3284" t="s">
        <v>38</v>
      </c>
      <c r="E3284">
        <v>4</v>
      </c>
      <c r="F3284" s="2">
        <v>5.4794520547945206E-3</v>
      </c>
    </row>
    <row r="3285" spans="2:6" x14ac:dyDescent="0.25">
      <c r="B3285" s="33">
        <v>1</v>
      </c>
      <c r="C3285" t="s">
        <v>77</v>
      </c>
      <c r="D3285" t="s">
        <v>162</v>
      </c>
      <c r="E3285">
        <v>0</v>
      </c>
      <c r="F3285" s="2">
        <v>2.7397260273972603E-3</v>
      </c>
    </row>
    <row r="3286" spans="2:6" x14ac:dyDescent="0.25">
      <c r="B3286" s="33">
        <v>1</v>
      </c>
      <c r="C3286" t="s">
        <v>0</v>
      </c>
      <c r="D3286" t="s">
        <v>133</v>
      </c>
      <c r="E3286">
        <v>3</v>
      </c>
      <c r="F3286" s="2">
        <v>1.0958904109589041E-2</v>
      </c>
    </row>
    <row r="3287" spans="2:6" x14ac:dyDescent="0.25">
      <c r="B3287" s="33">
        <v>1</v>
      </c>
      <c r="C3287" t="s">
        <v>126</v>
      </c>
      <c r="D3287" t="s">
        <v>169</v>
      </c>
      <c r="E3287">
        <v>4</v>
      </c>
      <c r="F3287" s="2">
        <v>1.0958904109589041E-2</v>
      </c>
    </row>
    <row r="3288" spans="2:6" x14ac:dyDescent="0.25">
      <c r="B3288" s="33">
        <v>1</v>
      </c>
      <c r="C3288" t="s">
        <v>88</v>
      </c>
      <c r="D3288" t="s">
        <v>201</v>
      </c>
      <c r="E3288">
        <v>6</v>
      </c>
      <c r="F3288" s="2">
        <v>8.21917808219178E-3</v>
      </c>
    </row>
    <row r="3289" spans="2:6" x14ac:dyDescent="0.25">
      <c r="B3289" s="33">
        <v>1</v>
      </c>
      <c r="C3289" t="s">
        <v>69</v>
      </c>
      <c r="D3289" t="s">
        <v>190</v>
      </c>
      <c r="E3289">
        <v>22</v>
      </c>
      <c r="F3289" s="2">
        <v>5.4794520547945206E-3</v>
      </c>
    </row>
    <row r="3290" spans="2:6" x14ac:dyDescent="0.25">
      <c r="B3290" s="33">
        <v>1</v>
      </c>
      <c r="C3290" t="s">
        <v>77</v>
      </c>
      <c r="D3290" t="s">
        <v>136</v>
      </c>
      <c r="E3290">
        <v>16</v>
      </c>
      <c r="F3290" s="2">
        <v>5.4794520547945206E-3</v>
      </c>
    </row>
    <row r="3291" spans="2:6" x14ac:dyDescent="0.25">
      <c r="B3291" s="33">
        <v>1</v>
      </c>
      <c r="C3291" t="s">
        <v>77</v>
      </c>
      <c r="D3291" t="s">
        <v>162</v>
      </c>
      <c r="E3291">
        <v>6</v>
      </c>
      <c r="F3291" s="2">
        <v>2.7397260273972603E-3</v>
      </c>
    </row>
    <row r="3292" spans="2:6" x14ac:dyDescent="0.25">
      <c r="B3292" s="33">
        <v>1</v>
      </c>
      <c r="C3292" t="s">
        <v>64</v>
      </c>
      <c r="D3292" t="s">
        <v>175</v>
      </c>
      <c r="E3292">
        <v>3</v>
      </c>
      <c r="F3292" s="2">
        <v>5.4794520547945206E-3</v>
      </c>
    </row>
    <row r="3293" spans="2:6" x14ac:dyDescent="0.25">
      <c r="B3293" s="33">
        <v>1</v>
      </c>
      <c r="C3293" t="s">
        <v>0</v>
      </c>
      <c r="D3293" t="s">
        <v>95</v>
      </c>
      <c r="E3293">
        <v>4</v>
      </c>
      <c r="F3293" s="2">
        <v>8.21917808219178E-3</v>
      </c>
    </row>
    <row r="3294" spans="2:6" x14ac:dyDescent="0.25">
      <c r="B3294" s="33">
        <v>1</v>
      </c>
      <c r="C3294" t="s">
        <v>2</v>
      </c>
      <c r="D3294" t="s">
        <v>172</v>
      </c>
      <c r="E3294">
        <v>2</v>
      </c>
      <c r="F3294" s="2">
        <v>2.7397260273972603E-3</v>
      </c>
    </row>
    <row r="3295" spans="2:6" x14ac:dyDescent="0.25">
      <c r="B3295" s="33">
        <v>1</v>
      </c>
      <c r="C3295" t="s">
        <v>1</v>
      </c>
      <c r="D3295" t="s">
        <v>217</v>
      </c>
      <c r="E3295">
        <v>0</v>
      </c>
      <c r="F3295" s="2">
        <v>5.4794520547945206E-3</v>
      </c>
    </row>
    <row r="3296" spans="2:6" x14ac:dyDescent="0.25">
      <c r="B3296" s="33">
        <v>1</v>
      </c>
      <c r="C3296" t="s">
        <v>69</v>
      </c>
      <c r="D3296" t="s">
        <v>183</v>
      </c>
      <c r="E3296">
        <v>14</v>
      </c>
      <c r="F3296" s="2">
        <v>5.4794520547945206E-3</v>
      </c>
    </row>
    <row r="3297" spans="2:6" x14ac:dyDescent="0.25">
      <c r="B3297" s="33">
        <v>1</v>
      </c>
      <c r="C3297" t="s">
        <v>77</v>
      </c>
      <c r="D3297" t="s">
        <v>225</v>
      </c>
      <c r="E3297">
        <v>10</v>
      </c>
      <c r="F3297" s="2">
        <v>8.21917808219178E-3</v>
      </c>
    </row>
    <row r="3298" spans="2:6" x14ac:dyDescent="0.25">
      <c r="B3298" s="33">
        <v>1</v>
      </c>
      <c r="C3298" t="s">
        <v>126</v>
      </c>
      <c r="D3298" t="s">
        <v>127</v>
      </c>
      <c r="E3298">
        <v>14</v>
      </c>
      <c r="F3298" s="2">
        <v>3.287671232876712E-2</v>
      </c>
    </row>
    <row r="3299" spans="2:6" x14ac:dyDescent="0.25">
      <c r="B3299" s="33">
        <v>1</v>
      </c>
      <c r="C3299" t="s">
        <v>69</v>
      </c>
      <c r="D3299" t="s">
        <v>218</v>
      </c>
      <c r="E3299">
        <v>17</v>
      </c>
      <c r="F3299" s="2">
        <v>5.4794520547945206E-3</v>
      </c>
    </row>
    <row r="3300" spans="2:6" x14ac:dyDescent="0.25">
      <c r="B3300" s="33">
        <v>1</v>
      </c>
      <c r="C3300" t="s">
        <v>2</v>
      </c>
      <c r="D3300" t="s">
        <v>232</v>
      </c>
      <c r="E3300">
        <v>12</v>
      </c>
      <c r="F3300" s="2">
        <v>5.4794520547945206E-3</v>
      </c>
    </row>
    <row r="3301" spans="2:6" x14ac:dyDescent="0.25">
      <c r="B3301" s="33">
        <v>1</v>
      </c>
      <c r="C3301" t="s">
        <v>2</v>
      </c>
      <c r="D3301" t="s">
        <v>118</v>
      </c>
      <c r="E3301">
        <v>8</v>
      </c>
      <c r="F3301" s="2">
        <v>5.4794520547945206E-3</v>
      </c>
    </row>
    <row r="3302" spans="2:6" x14ac:dyDescent="0.25">
      <c r="B3302" s="33">
        <v>1</v>
      </c>
      <c r="C3302" t="s">
        <v>77</v>
      </c>
      <c r="D3302" t="s">
        <v>225</v>
      </c>
      <c r="E3302">
        <v>13</v>
      </c>
      <c r="F3302" s="2">
        <v>8.21917808219178E-3</v>
      </c>
    </row>
    <row r="3303" spans="2:6" x14ac:dyDescent="0.25">
      <c r="B3303" s="33">
        <v>1</v>
      </c>
      <c r="C3303" t="s">
        <v>69</v>
      </c>
      <c r="D3303" t="s">
        <v>124</v>
      </c>
      <c r="E3303">
        <v>15</v>
      </c>
      <c r="F3303" s="2">
        <v>5.4794520547945206E-3</v>
      </c>
    </row>
    <row r="3304" spans="2:6" x14ac:dyDescent="0.25">
      <c r="B3304" s="33">
        <v>1</v>
      </c>
      <c r="C3304" t="s">
        <v>77</v>
      </c>
      <c r="D3304" t="s">
        <v>204</v>
      </c>
      <c r="E3304">
        <v>14</v>
      </c>
      <c r="F3304" s="2">
        <v>8.21917808219178E-3</v>
      </c>
    </row>
    <row r="3305" spans="2:6" x14ac:dyDescent="0.25">
      <c r="B3305" s="33">
        <v>1</v>
      </c>
      <c r="C3305" t="s">
        <v>3</v>
      </c>
      <c r="D3305" t="s">
        <v>208</v>
      </c>
      <c r="E3305">
        <v>23</v>
      </c>
      <c r="F3305" s="2">
        <v>5.4794520547945206E-3</v>
      </c>
    </row>
    <row r="3306" spans="2:6" x14ac:dyDescent="0.25">
      <c r="B3306" s="33">
        <v>1</v>
      </c>
      <c r="C3306" t="s">
        <v>2</v>
      </c>
      <c r="D3306" t="s">
        <v>198</v>
      </c>
      <c r="E3306">
        <v>5</v>
      </c>
      <c r="F3306" s="2">
        <v>2.7397260273972603E-3</v>
      </c>
    </row>
    <row r="3307" spans="2:6" x14ac:dyDescent="0.25">
      <c r="B3307" s="33">
        <v>1</v>
      </c>
      <c r="C3307" t="s">
        <v>74</v>
      </c>
      <c r="D3307" t="s">
        <v>75</v>
      </c>
      <c r="E3307">
        <v>5</v>
      </c>
      <c r="F3307" s="2">
        <v>8.21917808219178E-3</v>
      </c>
    </row>
    <row r="3308" spans="2:6" x14ac:dyDescent="0.25">
      <c r="B3308" s="33">
        <v>1</v>
      </c>
      <c r="C3308" t="s">
        <v>4</v>
      </c>
      <c r="D3308" t="s">
        <v>178</v>
      </c>
      <c r="E3308">
        <v>14</v>
      </c>
      <c r="F3308" s="2">
        <v>8.21917808219178E-3</v>
      </c>
    </row>
    <row r="3309" spans="2:6" x14ac:dyDescent="0.25">
      <c r="B3309" s="33">
        <v>1</v>
      </c>
      <c r="C3309" t="s">
        <v>69</v>
      </c>
      <c r="D3309" t="s">
        <v>236</v>
      </c>
      <c r="E3309">
        <v>13</v>
      </c>
      <c r="F3309" s="2">
        <v>5.4794520547945206E-3</v>
      </c>
    </row>
    <row r="3310" spans="2:6" x14ac:dyDescent="0.25">
      <c r="B3310" s="33">
        <v>1</v>
      </c>
      <c r="C3310" t="s">
        <v>3</v>
      </c>
      <c r="D3310" t="s">
        <v>138</v>
      </c>
      <c r="E3310">
        <v>3</v>
      </c>
      <c r="F3310" s="2">
        <v>5.4794520547945206E-3</v>
      </c>
    </row>
    <row r="3311" spans="2:6" x14ac:dyDescent="0.25">
      <c r="B3311" s="33">
        <v>1</v>
      </c>
      <c r="C3311" t="s">
        <v>66</v>
      </c>
      <c r="D3311" t="s">
        <v>151</v>
      </c>
      <c r="E3311">
        <v>3</v>
      </c>
      <c r="F3311" s="2">
        <v>5.4794520547945206E-3</v>
      </c>
    </row>
    <row r="3312" spans="2:6" x14ac:dyDescent="0.25">
      <c r="B3312" s="33">
        <v>1</v>
      </c>
      <c r="C3312" t="s">
        <v>69</v>
      </c>
      <c r="D3312" t="s">
        <v>230</v>
      </c>
      <c r="E3312">
        <v>13</v>
      </c>
      <c r="F3312" s="2">
        <v>5.4794520547945206E-3</v>
      </c>
    </row>
    <row r="3313" spans="2:6" x14ac:dyDescent="0.25">
      <c r="B3313" s="33">
        <v>1</v>
      </c>
      <c r="C3313" t="s">
        <v>90</v>
      </c>
      <c r="D3313" t="s">
        <v>164</v>
      </c>
      <c r="E3313">
        <v>15</v>
      </c>
      <c r="F3313" s="2">
        <v>2.7397260273972601E-2</v>
      </c>
    </row>
    <row r="3314" spans="2:6" x14ac:dyDescent="0.25">
      <c r="B3314" s="33">
        <v>1</v>
      </c>
      <c r="C3314" t="s">
        <v>1</v>
      </c>
      <c r="D3314" t="s">
        <v>143</v>
      </c>
      <c r="E3314">
        <v>4</v>
      </c>
      <c r="F3314" s="2">
        <v>5.4794520547945206E-3</v>
      </c>
    </row>
    <row r="3315" spans="2:6" x14ac:dyDescent="0.25">
      <c r="B3315" s="33">
        <v>1</v>
      </c>
      <c r="C3315" t="s">
        <v>2</v>
      </c>
      <c r="D3315" t="s">
        <v>232</v>
      </c>
      <c r="E3315">
        <v>6</v>
      </c>
      <c r="F3315" s="2">
        <v>1.0958904109589041E-2</v>
      </c>
    </row>
    <row r="3316" spans="2:6" x14ac:dyDescent="0.25">
      <c r="B3316" s="33">
        <v>1</v>
      </c>
      <c r="C3316" t="s">
        <v>69</v>
      </c>
      <c r="D3316" t="s">
        <v>220</v>
      </c>
      <c r="E3316">
        <v>13</v>
      </c>
      <c r="F3316" s="2">
        <v>5.4794520547945206E-3</v>
      </c>
    </row>
    <row r="3317" spans="2:6" x14ac:dyDescent="0.25">
      <c r="B3317" s="33">
        <v>1</v>
      </c>
      <c r="C3317" t="s">
        <v>126</v>
      </c>
      <c r="D3317" t="s">
        <v>171</v>
      </c>
      <c r="E3317">
        <v>20</v>
      </c>
      <c r="F3317" s="2">
        <v>8.21917808219178E-3</v>
      </c>
    </row>
    <row r="3318" spans="2:6" x14ac:dyDescent="0.25">
      <c r="B3318" s="33">
        <v>1</v>
      </c>
      <c r="C3318" t="s">
        <v>1</v>
      </c>
      <c r="D3318" t="s">
        <v>200</v>
      </c>
      <c r="E3318">
        <v>0</v>
      </c>
      <c r="F3318" s="2">
        <v>5.4794520547945206E-3</v>
      </c>
    </row>
    <row r="3319" spans="2:6" x14ac:dyDescent="0.25">
      <c r="B3319" s="33">
        <v>1</v>
      </c>
      <c r="C3319" t="s">
        <v>77</v>
      </c>
      <c r="D3319" t="s">
        <v>177</v>
      </c>
      <c r="E3319">
        <v>3</v>
      </c>
      <c r="F3319" s="2">
        <v>2.7397260273972603E-3</v>
      </c>
    </row>
    <row r="3320" spans="2:6" x14ac:dyDescent="0.25">
      <c r="B3320" s="33">
        <v>1</v>
      </c>
      <c r="C3320" t="s">
        <v>66</v>
      </c>
      <c r="D3320" t="s">
        <v>239</v>
      </c>
      <c r="E3320">
        <v>0</v>
      </c>
      <c r="F3320" s="2">
        <v>5.4794520547945206E-3</v>
      </c>
    </row>
    <row r="3321" spans="2:6" x14ac:dyDescent="0.25">
      <c r="B3321" s="33">
        <v>1</v>
      </c>
      <c r="C3321" t="s">
        <v>69</v>
      </c>
      <c r="D3321" t="s">
        <v>223</v>
      </c>
      <c r="E3321">
        <v>22</v>
      </c>
      <c r="F3321" s="2">
        <v>5.4794520547945206E-3</v>
      </c>
    </row>
    <row r="3322" spans="2:6" x14ac:dyDescent="0.25">
      <c r="B3322" s="33">
        <v>1</v>
      </c>
      <c r="C3322" t="s">
        <v>66</v>
      </c>
      <c r="D3322" t="s">
        <v>219</v>
      </c>
      <c r="E3322">
        <v>19</v>
      </c>
      <c r="F3322" s="2">
        <v>5.4794520547945206E-3</v>
      </c>
    </row>
    <row r="3323" spans="2:6" x14ac:dyDescent="0.25">
      <c r="B3323" s="33">
        <v>1</v>
      </c>
      <c r="C3323" t="s">
        <v>64</v>
      </c>
      <c r="D3323" t="s">
        <v>222</v>
      </c>
      <c r="E3323">
        <v>7</v>
      </c>
      <c r="F3323" s="2">
        <v>5.4794520547945206E-3</v>
      </c>
    </row>
    <row r="3324" spans="2:6" x14ac:dyDescent="0.25">
      <c r="B3324" s="33">
        <v>1</v>
      </c>
      <c r="C3324" t="s">
        <v>2</v>
      </c>
      <c r="D3324" t="s">
        <v>172</v>
      </c>
      <c r="E3324">
        <v>4</v>
      </c>
      <c r="F3324" s="2">
        <v>5.4794520547945206E-3</v>
      </c>
    </row>
    <row r="3325" spans="2:6" x14ac:dyDescent="0.25">
      <c r="B3325" s="33">
        <v>1</v>
      </c>
      <c r="C3325" t="s">
        <v>66</v>
      </c>
      <c r="D3325" t="s">
        <v>211</v>
      </c>
      <c r="E3325">
        <v>6</v>
      </c>
      <c r="F3325" s="2">
        <v>5.4794520547945206E-3</v>
      </c>
    </row>
    <row r="3326" spans="2:6" x14ac:dyDescent="0.25">
      <c r="B3326" s="33">
        <v>1</v>
      </c>
      <c r="C3326" t="s">
        <v>69</v>
      </c>
      <c r="D3326" t="s">
        <v>206</v>
      </c>
      <c r="E3326">
        <v>15</v>
      </c>
      <c r="F3326" s="2">
        <v>5.4794520547945206E-3</v>
      </c>
    </row>
    <row r="3327" spans="2:6" x14ac:dyDescent="0.25">
      <c r="B3327" s="33">
        <v>1</v>
      </c>
      <c r="C3327" t="s">
        <v>2</v>
      </c>
      <c r="D3327" t="s">
        <v>232</v>
      </c>
      <c r="E3327">
        <v>8</v>
      </c>
      <c r="F3327" s="2">
        <v>5.4794520547945206E-3</v>
      </c>
    </row>
    <row r="3328" spans="2:6" x14ac:dyDescent="0.25">
      <c r="B3328" s="33">
        <v>1</v>
      </c>
      <c r="C3328" t="s">
        <v>3</v>
      </c>
      <c r="D3328" t="s">
        <v>100</v>
      </c>
      <c r="E3328">
        <v>21</v>
      </c>
      <c r="F3328" s="2">
        <v>5.4794520547945206E-3</v>
      </c>
    </row>
    <row r="3329" spans="2:6" x14ac:dyDescent="0.25">
      <c r="B3329" s="33">
        <v>1</v>
      </c>
      <c r="C3329" t="s">
        <v>1</v>
      </c>
      <c r="D3329" t="s">
        <v>217</v>
      </c>
      <c r="E3329">
        <v>18</v>
      </c>
      <c r="F3329" s="2">
        <v>5.4794520547945206E-3</v>
      </c>
    </row>
    <row r="3330" spans="2:6" x14ac:dyDescent="0.25">
      <c r="B3330" s="33">
        <v>1</v>
      </c>
      <c r="C3330" t="s">
        <v>64</v>
      </c>
      <c r="D3330" t="s">
        <v>99</v>
      </c>
      <c r="E3330">
        <v>23</v>
      </c>
      <c r="F3330" s="2">
        <v>2.1917808219178082E-2</v>
      </c>
    </row>
    <row r="3331" spans="2:6" x14ac:dyDescent="0.25">
      <c r="B3331" s="33">
        <v>1</v>
      </c>
      <c r="C3331" t="s">
        <v>69</v>
      </c>
      <c r="D3331" t="s">
        <v>140</v>
      </c>
      <c r="E3331">
        <v>6</v>
      </c>
      <c r="F3331" s="2">
        <v>5.4794520547945206E-3</v>
      </c>
    </row>
    <row r="3332" spans="2:6" x14ac:dyDescent="0.25">
      <c r="B3332" s="33">
        <v>1</v>
      </c>
      <c r="C3332" t="s">
        <v>69</v>
      </c>
      <c r="D3332" t="s">
        <v>206</v>
      </c>
      <c r="E3332">
        <v>1</v>
      </c>
      <c r="F3332" s="2">
        <v>5.4794520547945206E-3</v>
      </c>
    </row>
    <row r="3333" spans="2:6" x14ac:dyDescent="0.25">
      <c r="B3333" s="33">
        <v>1</v>
      </c>
      <c r="C3333" t="s">
        <v>77</v>
      </c>
      <c r="D3333" t="s">
        <v>146</v>
      </c>
      <c r="E3333">
        <v>5</v>
      </c>
      <c r="F3333" s="2">
        <v>2.7397260273972603E-3</v>
      </c>
    </row>
    <row r="3334" spans="2:6" x14ac:dyDescent="0.25">
      <c r="B3334" s="33">
        <v>1</v>
      </c>
      <c r="C3334" t="s">
        <v>77</v>
      </c>
      <c r="D3334" t="s">
        <v>177</v>
      </c>
      <c r="E3334">
        <v>9</v>
      </c>
      <c r="F3334" s="2">
        <v>5.4794520547945206E-3</v>
      </c>
    </row>
    <row r="3335" spans="2:6" x14ac:dyDescent="0.25">
      <c r="B3335" s="33">
        <v>1</v>
      </c>
      <c r="C3335" t="s">
        <v>6</v>
      </c>
      <c r="D3335" t="s">
        <v>25</v>
      </c>
      <c r="E3335">
        <v>1</v>
      </c>
      <c r="F3335" s="2">
        <v>5.4794520547945206E-3</v>
      </c>
    </row>
    <row r="3336" spans="2:6" x14ac:dyDescent="0.25">
      <c r="B3336" s="33">
        <v>1</v>
      </c>
      <c r="C3336" t="s">
        <v>6</v>
      </c>
      <c r="D3336" t="s">
        <v>44</v>
      </c>
      <c r="E3336">
        <v>23</v>
      </c>
      <c r="F3336" s="2">
        <v>2.7397260273972603E-3</v>
      </c>
    </row>
    <row r="3337" spans="2:6" x14ac:dyDescent="0.25">
      <c r="B3337" s="33">
        <v>1</v>
      </c>
      <c r="C3337" t="s">
        <v>72</v>
      </c>
      <c r="D3337" t="s">
        <v>209</v>
      </c>
      <c r="E3337">
        <v>23</v>
      </c>
      <c r="F3337" s="2">
        <v>1.3698630136986301E-2</v>
      </c>
    </row>
    <row r="3338" spans="2:6" x14ac:dyDescent="0.25">
      <c r="B3338" s="33">
        <v>1</v>
      </c>
      <c r="C3338" t="s">
        <v>77</v>
      </c>
      <c r="D3338" t="s">
        <v>177</v>
      </c>
      <c r="E3338">
        <v>23</v>
      </c>
      <c r="F3338" s="2">
        <v>5.4794520547945206E-3</v>
      </c>
    </row>
    <row r="3339" spans="2:6" x14ac:dyDescent="0.25">
      <c r="B3339" s="33">
        <v>1</v>
      </c>
      <c r="C3339" t="s">
        <v>66</v>
      </c>
      <c r="D3339" t="s">
        <v>211</v>
      </c>
      <c r="E3339">
        <v>3</v>
      </c>
      <c r="F3339" s="2">
        <v>5.4794520547945206E-3</v>
      </c>
    </row>
    <row r="3340" spans="2:6" x14ac:dyDescent="0.25">
      <c r="B3340" s="33">
        <v>1</v>
      </c>
      <c r="C3340" t="s">
        <v>66</v>
      </c>
      <c r="D3340" t="s">
        <v>168</v>
      </c>
      <c r="E3340">
        <v>3</v>
      </c>
      <c r="F3340" s="2">
        <v>5.4794520547945206E-3</v>
      </c>
    </row>
    <row r="3341" spans="2:6" x14ac:dyDescent="0.25">
      <c r="B3341" s="33">
        <v>1</v>
      </c>
      <c r="C3341" t="s">
        <v>69</v>
      </c>
      <c r="D3341" t="s">
        <v>128</v>
      </c>
      <c r="E3341">
        <v>3</v>
      </c>
      <c r="F3341" s="2">
        <v>5.4794520547945206E-3</v>
      </c>
    </row>
    <row r="3342" spans="2:6" x14ac:dyDescent="0.25">
      <c r="B3342" s="33">
        <v>1</v>
      </c>
      <c r="C3342" t="s">
        <v>64</v>
      </c>
      <c r="D3342" t="s">
        <v>213</v>
      </c>
      <c r="E3342">
        <v>9</v>
      </c>
      <c r="F3342" s="2">
        <v>5.4794520547945206E-3</v>
      </c>
    </row>
    <row r="3343" spans="2:6" x14ac:dyDescent="0.25">
      <c r="B3343" s="33">
        <v>1</v>
      </c>
      <c r="C3343" t="s">
        <v>69</v>
      </c>
      <c r="D3343" t="s">
        <v>218</v>
      </c>
      <c r="E3343">
        <v>8</v>
      </c>
      <c r="F3343" s="2">
        <v>5.4794520547945206E-3</v>
      </c>
    </row>
    <row r="3344" spans="2:6" x14ac:dyDescent="0.25">
      <c r="B3344" s="33">
        <v>1</v>
      </c>
      <c r="C3344" t="s">
        <v>66</v>
      </c>
      <c r="D3344" t="s">
        <v>245</v>
      </c>
      <c r="E3344">
        <v>18</v>
      </c>
      <c r="F3344" s="2">
        <v>5.4794520547945206E-3</v>
      </c>
    </row>
    <row r="3345" spans="2:6" x14ac:dyDescent="0.25">
      <c r="B3345" s="33">
        <v>1</v>
      </c>
      <c r="C3345" t="s">
        <v>3</v>
      </c>
      <c r="D3345" t="s">
        <v>229</v>
      </c>
      <c r="E3345">
        <v>16</v>
      </c>
      <c r="F3345" s="2">
        <v>5.4794520547945206E-3</v>
      </c>
    </row>
    <row r="3346" spans="2:6" x14ac:dyDescent="0.25">
      <c r="B3346" s="33">
        <v>1</v>
      </c>
      <c r="C3346" t="s">
        <v>126</v>
      </c>
      <c r="D3346" t="s">
        <v>169</v>
      </c>
      <c r="E3346">
        <v>19</v>
      </c>
      <c r="F3346" s="2">
        <v>5.4794520547945206E-3</v>
      </c>
    </row>
    <row r="3347" spans="2:6" x14ac:dyDescent="0.25">
      <c r="B3347" s="33">
        <v>1</v>
      </c>
      <c r="C3347" t="s">
        <v>3</v>
      </c>
      <c r="D3347" t="s">
        <v>229</v>
      </c>
      <c r="E3347">
        <v>1</v>
      </c>
      <c r="F3347" s="2">
        <v>5.4794520547945206E-3</v>
      </c>
    </row>
    <row r="3348" spans="2:6" x14ac:dyDescent="0.25">
      <c r="B3348" s="33">
        <v>1</v>
      </c>
      <c r="C3348" t="s">
        <v>103</v>
      </c>
      <c r="D3348" t="s">
        <v>167</v>
      </c>
      <c r="E3348">
        <v>6</v>
      </c>
      <c r="F3348" s="2">
        <v>8.21917808219178E-3</v>
      </c>
    </row>
    <row r="3349" spans="2:6" x14ac:dyDescent="0.25">
      <c r="B3349" s="33">
        <v>1</v>
      </c>
      <c r="C3349" t="s">
        <v>3</v>
      </c>
      <c r="D3349" t="s">
        <v>191</v>
      </c>
      <c r="E3349">
        <v>8</v>
      </c>
      <c r="F3349" s="2">
        <v>5.4794520547945206E-3</v>
      </c>
    </row>
    <row r="3350" spans="2:6" x14ac:dyDescent="0.25">
      <c r="B3350" s="33">
        <v>1</v>
      </c>
      <c r="C3350" t="s">
        <v>77</v>
      </c>
      <c r="D3350" t="s">
        <v>192</v>
      </c>
      <c r="E3350">
        <v>9</v>
      </c>
      <c r="F3350" s="2">
        <v>5.4794520547945206E-3</v>
      </c>
    </row>
    <row r="3351" spans="2:6" x14ac:dyDescent="0.25">
      <c r="B3351" s="33">
        <v>1</v>
      </c>
      <c r="C3351" t="s">
        <v>72</v>
      </c>
      <c r="D3351" t="s">
        <v>240</v>
      </c>
      <c r="E3351">
        <v>11</v>
      </c>
      <c r="F3351" s="2">
        <v>1.0958904109589041E-2</v>
      </c>
    </row>
    <row r="3352" spans="2:6" x14ac:dyDescent="0.25">
      <c r="B3352" s="33">
        <v>1</v>
      </c>
      <c r="C3352" t="s">
        <v>2</v>
      </c>
      <c r="D3352" t="s">
        <v>118</v>
      </c>
      <c r="E3352">
        <v>13</v>
      </c>
      <c r="F3352" s="2">
        <v>5.4794520547945206E-3</v>
      </c>
    </row>
    <row r="3353" spans="2:6" x14ac:dyDescent="0.25">
      <c r="B3353" s="33">
        <v>1</v>
      </c>
      <c r="C3353" t="s">
        <v>69</v>
      </c>
      <c r="D3353" t="s">
        <v>218</v>
      </c>
      <c r="E3353">
        <v>23</v>
      </c>
      <c r="F3353" s="2">
        <v>5.4794520547945206E-3</v>
      </c>
    </row>
    <row r="3354" spans="2:6" x14ac:dyDescent="0.25">
      <c r="B3354" s="33">
        <v>1</v>
      </c>
      <c r="C3354" t="s">
        <v>77</v>
      </c>
      <c r="D3354" t="s">
        <v>136</v>
      </c>
      <c r="E3354">
        <v>23</v>
      </c>
      <c r="F3354" s="2">
        <v>5.4794520547945206E-3</v>
      </c>
    </row>
    <row r="3355" spans="2:6" x14ac:dyDescent="0.25">
      <c r="B3355" s="33">
        <v>1</v>
      </c>
      <c r="C3355" t="s">
        <v>3</v>
      </c>
      <c r="D3355" t="s">
        <v>84</v>
      </c>
      <c r="E3355">
        <v>5</v>
      </c>
      <c r="F3355" s="2">
        <v>5.4794520547945206E-3</v>
      </c>
    </row>
    <row r="3356" spans="2:6" x14ac:dyDescent="0.25">
      <c r="B3356" s="33">
        <v>1</v>
      </c>
      <c r="C3356" t="s">
        <v>64</v>
      </c>
      <c r="D3356" t="s">
        <v>213</v>
      </c>
      <c r="E3356">
        <v>7</v>
      </c>
      <c r="F3356" s="2">
        <v>5.4794520547945206E-3</v>
      </c>
    </row>
    <row r="3357" spans="2:6" x14ac:dyDescent="0.25">
      <c r="B3357" s="33">
        <v>1</v>
      </c>
      <c r="C3357" t="s">
        <v>72</v>
      </c>
      <c r="D3357" t="s">
        <v>240</v>
      </c>
      <c r="E3357">
        <v>13</v>
      </c>
      <c r="F3357" s="2">
        <v>5.4794520547945206E-3</v>
      </c>
    </row>
    <row r="3358" spans="2:6" x14ac:dyDescent="0.25">
      <c r="B3358" s="33">
        <v>1</v>
      </c>
      <c r="C3358" t="s">
        <v>69</v>
      </c>
      <c r="D3358" t="s">
        <v>231</v>
      </c>
      <c r="E3358">
        <v>10</v>
      </c>
      <c r="F3358" s="2">
        <v>5.4794520547945206E-3</v>
      </c>
    </row>
    <row r="3359" spans="2:6" x14ac:dyDescent="0.25">
      <c r="B3359" s="33">
        <v>1</v>
      </c>
      <c r="C3359" t="s">
        <v>1</v>
      </c>
      <c r="D3359" t="s">
        <v>216</v>
      </c>
      <c r="E3359">
        <v>22</v>
      </c>
      <c r="F3359" s="2">
        <v>5.4794520547945206E-3</v>
      </c>
    </row>
    <row r="3360" spans="2:6" x14ac:dyDescent="0.25">
      <c r="B3360" s="33">
        <v>1</v>
      </c>
      <c r="C3360" t="s">
        <v>103</v>
      </c>
      <c r="D3360" t="s">
        <v>45</v>
      </c>
      <c r="E3360">
        <v>0</v>
      </c>
      <c r="F3360" s="2">
        <v>1.3698630136986301E-2</v>
      </c>
    </row>
    <row r="3361" spans="2:6" x14ac:dyDescent="0.25">
      <c r="B3361" s="33">
        <v>1</v>
      </c>
      <c r="C3361" t="s">
        <v>126</v>
      </c>
      <c r="D3361" t="s">
        <v>131</v>
      </c>
      <c r="E3361">
        <v>0</v>
      </c>
      <c r="F3361" s="2">
        <v>2.1917808219178082E-2</v>
      </c>
    </row>
    <row r="3362" spans="2:6" x14ac:dyDescent="0.25">
      <c r="B3362" s="33">
        <v>1</v>
      </c>
      <c r="C3362" t="s">
        <v>66</v>
      </c>
      <c r="D3362" t="s">
        <v>211</v>
      </c>
      <c r="E3362">
        <v>4</v>
      </c>
      <c r="F3362" s="2">
        <v>5.4794520547945206E-3</v>
      </c>
    </row>
    <row r="3363" spans="2:6" x14ac:dyDescent="0.25">
      <c r="B3363" s="33">
        <v>1</v>
      </c>
      <c r="C3363" t="s">
        <v>77</v>
      </c>
      <c r="D3363" t="s">
        <v>123</v>
      </c>
      <c r="E3363">
        <v>5</v>
      </c>
      <c r="F3363" s="2">
        <v>2.7397260273972603E-3</v>
      </c>
    </row>
    <row r="3364" spans="2:6" x14ac:dyDescent="0.25">
      <c r="B3364" s="33">
        <v>1</v>
      </c>
      <c r="C3364" t="s">
        <v>3</v>
      </c>
      <c r="D3364" t="s">
        <v>186</v>
      </c>
      <c r="E3364">
        <v>9</v>
      </c>
      <c r="F3364" s="2">
        <v>5.4794520547945206E-3</v>
      </c>
    </row>
    <row r="3365" spans="2:6" x14ac:dyDescent="0.25">
      <c r="B3365" s="33">
        <v>1</v>
      </c>
      <c r="C3365" t="s">
        <v>77</v>
      </c>
      <c r="D3365" t="s">
        <v>145</v>
      </c>
      <c r="E3365">
        <v>22</v>
      </c>
      <c r="F3365" s="2">
        <v>5.4794520547945206E-3</v>
      </c>
    </row>
    <row r="3366" spans="2:6" x14ac:dyDescent="0.25">
      <c r="B3366" s="33">
        <v>1</v>
      </c>
      <c r="C3366" t="s">
        <v>64</v>
      </c>
      <c r="D3366" t="s">
        <v>175</v>
      </c>
      <c r="E3366">
        <v>6</v>
      </c>
      <c r="F3366" s="2">
        <v>5.4794520547945206E-3</v>
      </c>
    </row>
    <row r="3367" spans="2:6" x14ac:dyDescent="0.25">
      <c r="B3367" s="33">
        <v>1</v>
      </c>
      <c r="C3367" t="s">
        <v>103</v>
      </c>
      <c r="D3367" t="s">
        <v>167</v>
      </c>
      <c r="E3367">
        <v>3</v>
      </c>
      <c r="F3367" s="2">
        <v>5.4794520547945206E-3</v>
      </c>
    </row>
    <row r="3368" spans="2:6" x14ac:dyDescent="0.25">
      <c r="B3368" s="33">
        <v>1</v>
      </c>
      <c r="C3368" t="s">
        <v>69</v>
      </c>
      <c r="D3368" t="s">
        <v>199</v>
      </c>
      <c r="E3368">
        <v>5</v>
      </c>
      <c r="F3368" s="2">
        <v>5.4794520547945206E-3</v>
      </c>
    </row>
    <row r="3369" spans="2:6" x14ac:dyDescent="0.25">
      <c r="B3369" s="33">
        <v>1</v>
      </c>
      <c r="C3369" t="s">
        <v>126</v>
      </c>
      <c r="D3369" t="s">
        <v>147</v>
      </c>
      <c r="E3369">
        <v>6</v>
      </c>
      <c r="F3369" s="2">
        <v>5.4794520547945206E-3</v>
      </c>
    </row>
    <row r="3370" spans="2:6" x14ac:dyDescent="0.25">
      <c r="B3370" s="33">
        <v>1</v>
      </c>
      <c r="C3370" t="s">
        <v>69</v>
      </c>
      <c r="D3370" t="s">
        <v>190</v>
      </c>
      <c r="E3370">
        <v>23</v>
      </c>
      <c r="F3370" s="2">
        <v>5.4794520547945206E-3</v>
      </c>
    </row>
    <row r="3371" spans="2:6" x14ac:dyDescent="0.25">
      <c r="B3371" s="33">
        <v>1</v>
      </c>
      <c r="C3371" t="s">
        <v>103</v>
      </c>
      <c r="D3371" t="s">
        <v>141</v>
      </c>
      <c r="E3371">
        <v>1</v>
      </c>
      <c r="F3371" s="2">
        <v>1.0958904109589041E-2</v>
      </c>
    </row>
    <row r="3372" spans="2:6" x14ac:dyDescent="0.25">
      <c r="B3372" s="33">
        <v>1</v>
      </c>
      <c r="C3372" t="s">
        <v>69</v>
      </c>
      <c r="D3372" t="s">
        <v>230</v>
      </c>
      <c r="E3372">
        <v>0</v>
      </c>
      <c r="F3372" s="2">
        <v>5.4794520547945206E-3</v>
      </c>
    </row>
    <row r="3373" spans="2:6" x14ac:dyDescent="0.25">
      <c r="B3373" s="33">
        <v>1</v>
      </c>
      <c r="C3373" t="s">
        <v>77</v>
      </c>
      <c r="D3373" t="s">
        <v>193</v>
      </c>
      <c r="E3373">
        <v>0</v>
      </c>
      <c r="F3373" s="2">
        <v>2.7397260273972603E-3</v>
      </c>
    </row>
    <row r="3374" spans="2:6" x14ac:dyDescent="0.25">
      <c r="B3374" s="33">
        <v>1</v>
      </c>
      <c r="C3374" t="s">
        <v>1</v>
      </c>
      <c r="D3374" t="s">
        <v>155</v>
      </c>
      <c r="E3374">
        <v>4</v>
      </c>
      <c r="F3374" s="2">
        <v>5.4794520547945206E-3</v>
      </c>
    </row>
    <row r="3375" spans="2:6" x14ac:dyDescent="0.25">
      <c r="B3375" s="33">
        <v>1</v>
      </c>
      <c r="C3375" t="s">
        <v>3</v>
      </c>
      <c r="D3375" t="s">
        <v>186</v>
      </c>
      <c r="E3375">
        <v>0</v>
      </c>
      <c r="F3375" s="2">
        <v>5.4794520547945206E-3</v>
      </c>
    </row>
    <row r="3376" spans="2:6" x14ac:dyDescent="0.25">
      <c r="B3376" s="33">
        <v>1</v>
      </c>
      <c r="C3376" t="s">
        <v>3</v>
      </c>
      <c r="D3376" t="s">
        <v>208</v>
      </c>
      <c r="E3376">
        <v>20</v>
      </c>
      <c r="F3376" s="2">
        <v>5.4794520547945206E-3</v>
      </c>
    </row>
    <row r="3377" spans="2:6" x14ac:dyDescent="0.25">
      <c r="B3377" s="33">
        <v>1</v>
      </c>
      <c r="C3377" t="s">
        <v>77</v>
      </c>
      <c r="D3377" t="s">
        <v>225</v>
      </c>
      <c r="E3377">
        <v>19</v>
      </c>
      <c r="F3377" s="2">
        <v>5.4794520547945206E-3</v>
      </c>
    </row>
    <row r="3378" spans="2:6" x14ac:dyDescent="0.25">
      <c r="B3378" s="33">
        <v>1</v>
      </c>
      <c r="C3378" t="s">
        <v>2</v>
      </c>
      <c r="D3378" t="s">
        <v>232</v>
      </c>
      <c r="E3378">
        <v>16</v>
      </c>
      <c r="F3378" s="2">
        <v>5.4794520547945206E-3</v>
      </c>
    </row>
    <row r="3379" spans="2:6" x14ac:dyDescent="0.25">
      <c r="B3379" s="33">
        <v>1</v>
      </c>
      <c r="C3379" t="s">
        <v>77</v>
      </c>
      <c r="D3379" t="s">
        <v>196</v>
      </c>
      <c r="E3379">
        <v>23</v>
      </c>
      <c r="F3379" s="2">
        <v>5.4794520547945206E-3</v>
      </c>
    </row>
    <row r="3380" spans="2:6" x14ac:dyDescent="0.25">
      <c r="B3380" s="33">
        <v>1</v>
      </c>
      <c r="C3380" t="s">
        <v>64</v>
      </c>
      <c r="D3380" t="s">
        <v>165</v>
      </c>
      <c r="E3380">
        <v>7</v>
      </c>
      <c r="F3380" s="2">
        <v>5.4794520547945206E-3</v>
      </c>
    </row>
    <row r="3381" spans="2:6" x14ac:dyDescent="0.25">
      <c r="B3381" s="33">
        <v>1</v>
      </c>
      <c r="C3381" t="s">
        <v>66</v>
      </c>
      <c r="D3381" t="s">
        <v>135</v>
      </c>
      <c r="E3381">
        <v>1</v>
      </c>
      <c r="F3381" s="2">
        <v>5.4794520547945206E-3</v>
      </c>
    </row>
    <row r="3382" spans="2:6" x14ac:dyDescent="0.25">
      <c r="B3382" s="33">
        <v>1</v>
      </c>
      <c r="C3382" t="s">
        <v>4</v>
      </c>
      <c r="D3382" t="s">
        <v>178</v>
      </c>
      <c r="E3382">
        <v>6</v>
      </c>
      <c r="F3382" s="2">
        <v>8.21917808219178E-3</v>
      </c>
    </row>
    <row r="3383" spans="2:6" x14ac:dyDescent="0.25">
      <c r="B3383" s="33">
        <v>1</v>
      </c>
      <c r="C3383" t="s">
        <v>69</v>
      </c>
      <c r="D3383" t="s">
        <v>228</v>
      </c>
      <c r="E3383">
        <v>10</v>
      </c>
      <c r="F3383" s="2">
        <v>5.4794520547945206E-3</v>
      </c>
    </row>
    <row r="3384" spans="2:6" x14ac:dyDescent="0.25">
      <c r="B3384" s="33">
        <v>1</v>
      </c>
      <c r="C3384" t="s">
        <v>77</v>
      </c>
      <c r="D3384" t="s">
        <v>196</v>
      </c>
      <c r="E3384">
        <v>14</v>
      </c>
      <c r="F3384" s="2">
        <v>5.4794520547945206E-3</v>
      </c>
    </row>
    <row r="3385" spans="2:6" x14ac:dyDescent="0.25">
      <c r="B3385" s="33">
        <v>1</v>
      </c>
      <c r="C3385" t="s">
        <v>3</v>
      </c>
      <c r="D3385" t="s">
        <v>203</v>
      </c>
      <c r="E3385">
        <v>22</v>
      </c>
      <c r="F3385" s="2">
        <v>5.4794520547945206E-3</v>
      </c>
    </row>
    <row r="3386" spans="2:6" x14ac:dyDescent="0.25">
      <c r="B3386" s="33">
        <v>1</v>
      </c>
      <c r="C3386" t="s">
        <v>69</v>
      </c>
      <c r="D3386" t="s">
        <v>199</v>
      </c>
      <c r="E3386">
        <v>0</v>
      </c>
      <c r="F3386" s="2">
        <v>5.4794520547945206E-3</v>
      </c>
    </row>
    <row r="3387" spans="2:6" x14ac:dyDescent="0.25">
      <c r="B3387" s="33">
        <v>1</v>
      </c>
      <c r="C3387" t="s">
        <v>4</v>
      </c>
      <c r="D3387" t="s">
        <v>166</v>
      </c>
      <c r="E3387">
        <v>6</v>
      </c>
      <c r="F3387" s="2">
        <v>1.0958904109589041E-2</v>
      </c>
    </row>
    <row r="3388" spans="2:6" x14ac:dyDescent="0.25">
      <c r="B3388" s="33">
        <v>1</v>
      </c>
      <c r="C3388" t="s">
        <v>3</v>
      </c>
      <c r="D3388" t="s">
        <v>188</v>
      </c>
      <c r="E3388">
        <v>23</v>
      </c>
      <c r="F3388" s="2">
        <v>5.4794520547945206E-3</v>
      </c>
    </row>
    <row r="3389" spans="2:6" x14ac:dyDescent="0.25">
      <c r="B3389" s="33">
        <v>1</v>
      </c>
      <c r="C3389" t="s">
        <v>74</v>
      </c>
      <c r="D3389" t="s">
        <v>221</v>
      </c>
      <c r="E3389">
        <v>4</v>
      </c>
      <c r="F3389" s="2">
        <v>5.4794520547945206E-3</v>
      </c>
    </row>
    <row r="3390" spans="2:6" x14ac:dyDescent="0.25">
      <c r="B3390" s="33">
        <v>1</v>
      </c>
      <c r="C3390" t="s">
        <v>3</v>
      </c>
      <c r="D3390" t="s">
        <v>186</v>
      </c>
      <c r="E3390">
        <v>6</v>
      </c>
      <c r="F3390" s="2">
        <v>5.4794520547945206E-3</v>
      </c>
    </row>
    <row r="3391" spans="2:6" x14ac:dyDescent="0.25">
      <c r="B3391" s="33">
        <v>1</v>
      </c>
      <c r="C3391" t="s">
        <v>1</v>
      </c>
      <c r="D3391" t="s">
        <v>155</v>
      </c>
      <c r="E3391">
        <v>5</v>
      </c>
      <c r="F3391" s="2">
        <v>5.4794520547945206E-3</v>
      </c>
    </row>
    <row r="3392" spans="2:6" x14ac:dyDescent="0.25">
      <c r="B3392" s="33">
        <v>1</v>
      </c>
      <c r="C3392" t="s">
        <v>69</v>
      </c>
      <c r="D3392" t="s">
        <v>154</v>
      </c>
      <c r="E3392">
        <v>0</v>
      </c>
      <c r="F3392" s="2">
        <v>5.4794520547945206E-3</v>
      </c>
    </row>
    <row r="3393" spans="2:6" x14ac:dyDescent="0.25">
      <c r="B3393" s="33">
        <v>1</v>
      </c>
      <c r="C3393" t="s">
        <v>69</v>
      </c>
      <c r="D3393" t="s">
        <v>215</v>
      </c>
      <c r="E3393">
        <v>8</v>
      </c>
      <c r="F3393" s="2">
        <v>5.4794520547945206E-3</v>
      </c>
    </row>
    <row r="3394" spans="2:6" x14ac:dyDescent="0.25">
      <c r="B3394" s="33">
        <v>1</v>
      </c>
      <c r="C3394" t="s">
        <v>72</v>
      </c>
      <c r="D3394" t="s">
        <v>240</v>
      </c>
      <c r="E3394">
        <v>14</v>
      </c>
      <c r="F3394" s="2">
        <v>2.7397260273972603E-3</v>
      </c>
    </row>
    <row r="3395" spans="2:6" x14ac:dyDescent="0.25">
      <c r="B3395" s="33">
        <v>1</v>
      </c>
      <c r="C3395" t="s">
        <v>66</v>
      </c>
      <c r="D3395" t="s">
        <v>239</v>
      </c>
      <c r="E3395">
        <v>14</v>
      </c>
      <c r="F3395" s="2">
        <v>5.4794520547945206E-3</v>
      </c>
    </row>
    <row r="3396" spans="2:6" x14ac:dyDescent="0.25">
      <c r="B3396" s="33">
        <v>1</v>
      </c>
      <c r="C3396" t="s">
        <v>66</v>
      </c>
      <c r="D3396" t="s">
        <v>235</v>
      </c>
      <c r="E3396">
        <v>12</v>
      </c>
      <c r="F3396" s="2">
        <v>5.4794520547945206E-3</v>
      </c>
    </row>
    <row r="3397" spans="2:6" x14ac:dyDescent="0.25">
      <c r="B3397" s="33">
        <v>1</v>
      </c>
      <c r="C3397" t="s">
        <v>69</v>
      </c>
      <c r="D3397" t="s">
        <v>215</v>
      </c>
      <c r="E3397">
        <v>21</v>
      </c>
      <c r="F3397" s="2">
        <v>5.4794520547945206E-3</v>
      </c>
    </row>
    <row r="3398" spans="2:6" x14ac:dyDescent="0.25">
      <c r="B3398" s="33">
        <v>1</v>
      </c>
      <c r="C3398" t="s">
        <v>72</v>
      </c>
      <c r="D3398" t="s">
        <v>187</v>
      </c>
      <c r="E3398">
        <v>23</v>
      </c>
      <c r="F3398" s="2">
        <v>1.0958904109589041E-2</v>
      </c>
    </row>
    <row r="3399" spans="2:6" x14ac:dyDescent="0.25">
      <c r="B3399" s="33">
        <v>1</v>
      </c>
      <c r="C3399" t="s">
        <v>3</v>
      </c>
      <c r="D3399" t="s">
        <v>119</v>
      </c>
      <c r="E3399">
        <v>4</v>
      </c>
      <c r="F3399" s="2">
        <v>5.4794520547945206E-3</v>
      </c>
    </row>
    <row r="3400" spans="2:6" x14ac:dyDescent="0.25">
      <c r="B3400" s="33">
        <v>1</v>
      </c>
      <c r="C3400" t="s">
        <v>126</v>
      </c>
      <c r="D3400" t="s">
        <v>169</v>
      </c>
      <c r="E3400">
        <v>1</v>
      </c>
      <c r="F3400" s="2">
        <v>1.0958904109589041E-2</v>
      </c>
    </row>
    <row r="3401" spans="2:6" x14ac:dyDescent="0.25">
      <c r="B3401" s="33">
        <v>1</v>
      </c>
      <c r="C3401" t="s">
        <v>103</v>
      </c>
      <c r="D3401" t="s">
        <v>194</v>
      </c>
      <c r="E3401">
        <v>12</v>
      </c>
      <c r="F3401" s="2">
        <v>5.4794520547945206E-3</v>
      </c>
    </row>
    <row r="3402" spans="2:6" x14ac:dyDescent="0.25">
      <c r="B3402" s="33">
        <v>1</v>
      </c>
      <c r="C3402" t="s">
        <v>3</v>
      </c>
      <c r="D3402" t="s">
        <v>195</v>
      </c>
      <c r="E3402">
        <v>22</v>
      </c>
      <c r="F3402" s="2">
        <v>5.4794520547945206E-3</v>
      </c>
    </row>
    <row r="3403" spans="2:6" x14ac:dyDescent="0.25">
      <c r="B3403" s="33">
        <v>1</v>
      </c>
      <c r="C3403" t="s">
        <v>3</v>
      </c>
      <c r="D3403" t="s">
        <v>229</v>
      </c>
      <c r="E3403">
        <v>2</v>
      </c>
      <c r="F3403" s="2">
        <v>2.7397260273972603E-3</v>
      </c>
    </row>
    <row r="3404" spans="2:6" x14ac:dyDescent="0.25">
      <c r="B3404" s="33">
        <v>1</v>
      </c>
      <c r="C3404" t="s">
        <v>3</v>
      </c>
      <c r="D3404" t="s">
        <v>108</v>
      </c>
      <c r="E3404">
        <v>5</v>
      </c>
      <c r="F3404" s="2">
        <v>2.7397260273972603E-3</v>
      </c>
    </row>
    <row r="3405" spans="2:6" x14ac:dyDescent="0.25">
      <c r="B3405" s="33">
        <v>1</v>
      </c>
      <c r="C3405" t="s">
        <v>77</v>
      </c>
      <c r="D3405" t="s">
        <v>193</v>
      </c>
      <c r="E3405">
        <v>22</v>
      </c>
      <c r="F3405" s="2">
        <v>5.4794520547945206E-3</v>
      </c>
    </row>
    <row r="3406" spans="2:6" x14ac:dyDescent="0.25">
      <c r="B3406" s="33">
        <v>1</v>
      </c>
      <c r="C3406" t="s">
        <v>2</v>
      </c>
      <c r="D3406" t="s">
        <v>118</v>
      </c>
      <c r="E3406">
        <v>21</v>
      </c>
      <c r="F3406" s="2">
        <v>5.4794520547945206E-3</v>
      </c>
    </row>
    <row r="3407" spans="2:6" x14ac:dyDescent="0.25">
      <c r="B3407" s="33">
        <v>1</v>
      </c>
      <c r="C3407" t="s">
        <v>69</v>
      </c>
      <c r="D3407" t="s">
        <v>124</v>
      </c>
      <c r="E3407">
        <v>22</v>
      </c>
      <c r="F3407" s="2">
        <v>5.4794520547945206E-3</v>
      </c>
    </row>
    <row r="3408" spans="2:6" x14ac:dyDescent="0.25">
      <c r="B3408" s="33">
        <v>1</v>
      </c>
      <c r="C3408" t="s">
        <v>77</v>
      </c>
      <c r="D3408" t="s">
        <v>225</v>
      </c>
      <c r="E3408">
        <v>21</v>
      </c>
      <c r="F3408" s="2">
        <v>5.4794520547945206E-3</v>
      </c>
    </row>
    <row r="3409" spans="2:6" x14ac:dyDescent="0.25">
      <c r="B3409" s="33">
        <v>1</v>
      </c>
      <c r="C3409" t="s">
        <v>3</v>
      </c>
      <c r="D3409" t="s">
        <v>207</v>
      </c>
      <c r="E3409">
        <v>18</v>
      </c>
      <c r="F3409" s="2">
        <v>5.4794520547945206E-3</v>
      </c>
    </row>
    <row r="3410" spans="2:6" x14ac:dyDescent="0.25">
      <c r="B3410" s="33">
        <v>1</v>
      </c>
      <c r="C3410" t="s">
        <v>69</v>
      </c>
      <c r="D3410" t="s">
        <v>128</v>
      </c>
      <c r="E3410">
        <v>4</v>
      </c>
      <c r="F3410" s="2">
        <v>2.7397260273972603E-3</v>
      </c>
    </row>
    <row r="3411" spans="2:6" x14ac:dyDescent="0.25">
      <c r="B3411" s="33">
        <v>1</v>
      </c>
      <c r="C3411" t="s">
        <v>1</v>
      </c>
      <c r="D3411" t="s">
        <v>176</v>
      </c>
      <c r="E3411">
        <v>5</v>
      </c>
      <c r="F3411" s="2">
        <v>2.7397260273972603E-3</v>
      </c>
    </row>
    <row r="3412" spans="2:6" x14ac:dyDescent="0.25">
      <c r="B3412" s="33">
        <v>1</v>
      </c>
      <c r="C3412" t="s">
        <v>4</v>
      </c>
      <c r="D3412" t="s">
        <v>153</v>
      </c>
      <c r="E3412">
        <v>1</v>
      </c>
      <c r="F3412" s="2">
        <v>1.0958904109589041E-2</v>
      </c>
    </row>
    <row r="3413" spans="2:6" x14ac:dyDescent="0.25">
      <c r="B3413" s="33">
        <v>1</v>
      </c>
      <c r="C3413" t="s">
        <v>64</v>
      </c>
      <c r="D3413" t="s">
        <v>71</v>
      </c>
      <c r="E3413">
        <v>3</v>
      </c>
      <c r="F3413" s="2">
        <v>5.4794520547945206E-3</v>
      </c>
    </row>
    <row r="3414" spans="2:6" x14ac:dyDescent="0.25">
      <c r="B3414" s="33">
        <v>1</v>
      </c>
      <c r="C3414" t="s">
        <v>1</v>
      </c>
      <c r="D3414" t="s">
        <v>200</v>
      </c>
      <c r="E3414">
        <v>2</v>
      </c>
      <c r="F3414" s="2">
        <v>2.7397260273972603E-3</v>
      </c>
    </row>
    <row r="3415" spans="2:6" x14ac:dyDescent="0.25">
      <c r="B3415" s="33">
        <v>1</v>
      </c>
      <c r="C3415" t="s">
        <v>66</v>
      </c>
      <c r="D3415" t="s">
        <v>122</v>
      </c>
      <c r="E3415">
        <v>1</v>
      </c>
      <c r="F3415" s="2">
        <v>5.4794520547945206E-3</v>
      </c>
    </row>
    <row r="3416" spans="2:6" x14ac:dyDescent="0.25">
      <c r="B3416" s="33">
        <v>1</v>
      </c>
      <c r="C3416" t="s">
        <v>3</v>
      </c>
      <c r="D3416" t="s">
        <v>191</v>
      </c>
      <c r="E3416">
        <v>3</v>
      </c>
      <c r="F3416" s="2">
        <v>2.7397260273972603E-3</v>
      </c>
    </row>
    <row r="3417" spans="2:6" x14ac:dyDescent="0.25">
      <c r="B3417" s="33">
        <v>1</v>
      </c>
      <c r="C3417" t="s">
        <v>1</v>
      </c>
      <c r="D3417" t="s">
        <v>200</v>
      </c>
      <c r="E3417">
        <v>6</v>
      </c>
      <c r="F3417" s="2">
        <v>2.7397260273972603E-3</v>
      </c>
    </row>
    <row r="3418" spans="2:6" x14ac:dyDescent="0.25">
      <c r="B3418" s="33">
        <v>1</v>
      </c>
      <c r="C3418" t="s">
        <v>103</v>
      </c>
      <c r="D3418" t="s">
        <v>158</v>
      </c>
      <c r="E3418">
        <v>6</v>
      </c>
      <c r="F3418" s="2">
        <v>5.4794520547945206E-3</v>
      </c>
    </row>
    <row r="3419" spans="2:6" x14ac:dyDescent="0.25">
      <c r="B3419" s="33">
        <v>1</v>
      </c>
      <c r="C3419" t="s">
        <v>66</v>
      </c>
      <c r="D3419" t="s">
        <v>219</v>
      </c>
      <c r="E3419">
        <v>17</v>
      </c>
      <c r="F3419" s="2">
        <v>5.4794520547945206E-3</v>
      </c>
    </row>
    <row r="3420" spans="2:6" x14ac:dyDescent="0.25">
      <c r="B3420" s="33">
        <v>1</v>
      </c>
      <c r="C3420" t="s">
        <v>66</v>
      </c>
      <c r="D3420" t="s">
        <v>135</v>
      </c>
      <c r="E3420">
        <v>6</v>
      </c>
      <c r="F3420" s="2">
        <v>5.4794520547945206E-3</v>
      </c>
    </row>
    <row r="3421" spans="2:6" x14ac:dyDescent="0.25">
      <c r="B3421" s="33">
        <v>1</v>
      </c>
      <c r="C3421" t="s">
        <v>77</v>
      </c>
      <c r="D3421" t="s">
        <v>145</v>
      </c>
      <c r="E3421">
        <v>6</v>
      </c>
      <c r="F3421" s="2">
        <v>2.7397260273972603E-3</v>
      </c>
    </row>
    <row r="3422" spans="2:6" x14ac:dyDescent="0.25">
      <c r="B3422" s="33">
        <v>1</v>
      </c>
      <c r="C3422" t="s">
        <v>3</v>
      </c>
      <c r="D3422" t="s">
        <v>157</v>
      </c>
      <c r="E3422">
        <v>1</v>
      </c>
      <c r="F3422" s="2">
        <v>2.7397260273972603E-3</v>
      </c>
    </row>
    <row r="3423" spans="2:6" x14ac:dyDescent="0.25">
      <c r="B3423" s="33">
        <v>1</v>
      </c>
      <c r="C3423" t="s">
        <v>66</v>
      </c>
      <c r="D3423" t="s">
        <v>245</v>
      </c>
      <c r="E3423">
        <v>15</v>
      </c>
      <c r="F3423" s="2">
        <v>5.4794520547945206E-3</v>
      </c>
    </row>
    <row r="3424" spans="2:6" x14ac:dyDescent="0.25">
      <c r="B3424" s="33">
        <v>1</v>
      </c>
      <c r="C3424" t="s">
        <v>69</v>
      </c>
      <c r="D3424" t="s">
        <v>190</v>
      </c>
      <c r="E3424">
        <v>6</v>
      </c>
      <c r="F3424" s="2">
        <v>2.7397260273972603E-3</v>
      </c>
    </row>
    <row r="3425" spans="2:6" x14ac:dyDescent="0.25">
      <c r="B3425" s="33">
        <v>1</v>
      </c>
      <c r="C3425" t="s">
        <v>2</v>
      </c>
      <c r="D3425" t="s">
        <v>232</v>
      </c>
      <c r="E3425">
        <v>15</v>
      </c>
      <c r="F3425" s="2">
        <v>5.4794520547945206E-3</v>
      </c>
    </row>
    <row r="3426" spans="2:6" x14ac:dyDescent="0.25">
      <c r="B3426" s="33">
        <v>1</v>
      </c>
      <c r="C3426" t="s">
        <v>2</v>
      </c>
      <c r="D3426" t="s">
        <v>118</v>
      </c>
      <c r="E3426">
        <v>12</v>
      </c>
      <c r="F3426" s="2">
        <v>5.4794520547945206E-3</v>
      </c>
    </row>
    <row r="3427" spans="2:6" x14ac:dyDescent="0.25">
      <c r="B3427" s="33">
        <v>1</v>
      </c>
      <c r="C3427" t="s">
        <v>77</v>
      </c>
      <c r="D3427" t="s">
        <v>224</v>
      </c>
      <c r="E3427">
        <v>14</v>
      </c>
      <c r="F3427" s="2">
        <v>5.4794520547945206E-3</v>
      </c>
    </row>
    <row r="3428" spans="2:6" x14ac:dyDescent="0.25">
      <c r="B3428" s="33">
        <v>1</v>
      </c>
      <c r="C3428" t="s">
        <v>69</v>
      </c>
      <c r="D3428" t="s">
        <v>215</v>
      </c>
      <c r="E3428">
        <v>12</v>
      </c>
      <c r="F3428" s="2">
        <v>5.4794520547945206E-3</v>
      </c>
    </row>
    <row r="3429" spans="2:6" x14ac:dyDescent="0.25">
      <c r="B3429" s="33">
        <v>1</v>
      </c>
      <c r="C3429" t="s">
        <v>126</v>
      </c>
      <c r="D3429" t="s">
        <v>171</v>
      </c>
      <c r="E3429">
        <v>23</v>
      </c>
      <c r="F3429" s="2">
        <v>5.4794520547945206E-3</v>
      </c>
    </row>
    <row r="3430" spans="2:6" x14ac:dyDescent="0.25">
      <c r="B3430" s="33">
        <v>1</v>
      </c>
      <c r="C3430" t="s">
        <v>77</v>
      </c>
      <c r="D3430" t="s">
        <v>97</v>
      </c>
      <c r="E3430">
        <v>23</v>
      </c>
      <c r="F3430" s="2">
        <v>5.4794520547945206E-3</v>
      </c>
    </row>
    <row r="3431" spans="2:6" x14ac:dyDescent="0.25">
      <c r="B3431" s="33">
        <v>1</v>
      </c>
      <c r="C3431" t="s">
        <v>66</v>
      </c>
      <c r="D3431" t="s">
        <v>182</v>
      </c>
      <c r="E3431">
        <v>4</v>
      </c>
      <c r="F3431" s="2">
        <v>5.4794520547945206E-3</v>
      </c>
    </row>
    <row r="3432" spans="2:6" x14ac:dyDescent="0.25">
      <c r="B3432" s="33">
        <v>1</v>
      </c>
      <c r="C3432" t="s">
        <v>66</v>
      </c>
      <c r="D3432" t="s">
        <v>227</v>
      </c>
      <c r="E3432">
        <v>1</v>
      </c>
      <c r="F3432" s="2">
        <v>2.7397260273972603E-3</v>
      </c>
    </row>
    <row r="3433" spans="2:6" x14ac:dyDescent="0.25">
      <c r="B3433" s="33">
        <v>1</v>
      </c>
      <c r="C3433" t="s">
        <v>64</v>
      </c>
      <c r="D3433" t="s">
        <v>175</v>
      </c>
      <c r="E3433">
        <v>4</v>
      </c>
      <c r="F3433" s="2">
        <v>5.4794520547945206E-3</v>
      </c>
    </row>
    <row r="3434" spans="2:6" x14ac:dyDescent="0.25">
      <c r="B3434" s="33">
        <v>1</v>
      </c>
      <c r="C3434" t="s">
        <v>3</v>
      </c>
      <c r="D3434" t="s">
        <v>203</v>
      </c>
      <c r="E3434">
        <v>7</v>
      </c>
      <c r="F3434" s="2">
        <v>2.7397260273972603E-3</v>
      </c>
    </row>
    <row r="3435" spans="2:6" x14ac:dyDescent="0.25">
      <c r="B3435" s="33">
        <v>1</v>
      </c>
      <c r="C3435" t="s">
        <v>4</v>
      </c>
      <c r="D3435" t="s">
        <v>166</v>
      </c>
      <c r="E3435">
        <v>20</v>
      </c>
      <c r="F3435" s="2">
        <v>1.0958904109589041E-2</v>
      </c>
    </row>
    <row r="3436" spans="2:6" x14ac:dyDescent="0.25">
      <c r="B3436" s="33">
        <v>1</v>
      </c>
      <c r="C3436" t="s">
        <v>69</v>
      </c>
      <c r="D3436" t="s">
        <v>215</v>
      </c>
      <c r="E3436">
        <v>1</v>
      </c>
      <c r="F3436" s="2">
        <v>2.7397260273972603E-3</v>
      </c>
    </row>
    <row r="3437" spans="2:6" x14ac:dyDescent="0.25">
      <c r="B3437" s="33">
        <v>1</v>
      </c>
      <c r="C3437" t="s">
        <v>64</v>
      </c>
      <c r="D3437" t="s">
        <v>115</v>
      </c>
      <c r="E3437">
        <v>4</v>
      </c>
      <c r="F3437" s="2">
        <v>5.4794520547945206E-3</v>
      </c>
    </row>
    <row r="3438" spans="2:6" x14ac:dyDescent="0.25">
      <c r="B3438" s="33">
        <v>1</v>
      </c>
      <c r="C3438" t="s">
        <v>0</v>
      </c>
      <c r="D3438" t="s">
        <v>111</v>
      </c>
      <c r="E3438">
        <v>4</v>
      </c>
      <c r="F3438" s="2">
        <v>8.21917808219178E-3</v>
      </c>
    </row>
    <row r="3439" spans="2:6" x14ac:dyDescent="0.25">
      <c r="B3439" s="33">
        <v>1</v>
      </c>
      <c r="C3439" t="s">
        <v>126</v>
      </c>
      <c r="D3439" t="s">
        <v>171</v>
      </c>
      <c r="E3439">
        <v>9</v>
      </c>
      <c r="F3439" s="2">
        <v>8.21917808219178E-3</v>
      </c>
    </row>
    <row r="3440" spans="2:6" x14ac:dyDescent="0.25">
      <c r="B3440" s="33">
        <v>1</v>
      </c>
      <c r="C3440" t="s">
        <v>2</v>
      </c>
      <c r="D3440" t="s">
        <v>185</v>
      </c>
      <c r="E3440">
        <v>13</v>
      </c>
      <c r="F3440" s="2">
        <v>2.7397260273972603E-3</v>
      </c>
    </row>
    <row r="3441" spans="2:6" x14ac:dyDescent="0.25">
      <c r="B3441" s="33">
        <v>1</v>
      </c>
      <c r="C3441" t="s">
        <v>69</v>
      </c>
      <c r="D3441" t="s">
        <v>234</v>
      </c>
      <c r="E3441">
        <v>20</v>
      </c>
      <c r="F3441" s="2">
        <v>5.4794520547945206E-3</v>
      </c>
    </row>
    <row r="3442" spans="2:6" x14ac:dyDescent="0.25">
      <c r="B3442" s="33">
        <v>1</v>
      </c>
      <c r="C3442" t="s">
        <v>72</v>
      </c>
      <c r="D3442" t="s">
        <v>209</v>
      </c>
      <c r="E3442">
        <v>22</v>
      </c>
      <c r="F3442" s="2">
        <v>8.21917808219178E-3</v>
      </c>
    </row>
    <row r="3443" spans="2:6" x14ac:dyDescent="0.25">
      <c r="B3443" s="33">
        <v>1</v>
      </c>
      <c r="C3443" t="s">
        <v>77</v>
      </c>
      <c r="D3443" t="s">
        <v>225</v>
      </c>
      <c r="E3443">
        <v>5</v>
      </c>
      <c r="F3443" s="2">
        <v>2.7397260273972603E-3</v>
      </c>
    </row>
    <row r="3444" spans="2:6" x14ac:dyDescent="0.25">
      <c r="B3444" s="33">
        <v>1</v>
      </c>
      <c r="C3444" t="s">
        <v>2</v>
      </c>
      <c r="D3444" t="s">
        <v>96</v>
      </c>
      <c r="E3444">
        <v>4</v>
      </c>
      <c r="F3444" s="2">
        <v>8.21917808219178E-3</v>
      </c>
    </row>
    <row r="3445" spans="2:6" x14ac:dyDescent="0.25">
      <c r="B3445" s="33">
        <v>1</v>
      </c>
      <c r="C3445" t="s">
        <v>64</v>
      </c>
      <c r="D3445" t="s">
        <v>213</v>
      </c>
      <c r="E3445">
        <v>6</v>
      </c>
      <c r="F3445" s="2">
        <v>5.4794520547945206E-3</v>
      </c>
    </row>
    <row r="3446" spans="2:6" x14ac:dyDescent="0.25">
      <c r="B3446" s="33">
        <v>1</v>
      </c>
      <c r="C3446" t="s">
        <v>1</v>
      </c>
      <c r="D3446" t="s">
        <v>189</v>
      </c>
      <c r="E3446">
        <v>3</v>
      </c>
      <c r="F3446" s="2">
        <v>2.7397260273972603E-3</v>
      </c>
    </row>
    <row r="3447" spans="2:6" x14ac:dyDescent="0.25">
      <c r="B3447" s="33">
        <v>1</v>
      </c>
      <c r="C3447" t="s">
        <v>69</v>
      </c>
      <c r="D3447" t="s">
        <v>244</v>
      </c>
      <c r="E3447">
        <v>15</v>
      </c>
      <c r="F3447" s="2">
        <v>5.4794520547945206E-3</v>
      </c>
    </row>
    <row r="3448" spans="2:6" x14ac:dyDescent="0.25">
      <c r="B3448" s="33">
        <v>1</v>
      </c>
      <c r="C3448" t="s">
        <v>126</v>
      </c>
      <c r="D3448" t="s">
        <v>147</v>
      </c>
      <c r="E3448">
        <v>0</v>
      </c>
      <c r="F3448" s="2">
        <v>5.4794520547945206E-3</v>
      </c>
    </row>
    <row r="3449" spans="2:6" x14ac:dyDescent="0.25">
      <c r="B3449" s="33">
        <v>1</v>
      </c>
      <c r="C3449" t="s">
        <v>69</v>
      </c>
      <c r="D3449" t="s">
        <v>128</v>
      </c>
      <c r="E3449">
        <v>0</v>
      </c>
      <c r="F3449" s="2">
        <v>2.7397260273972603E-3</v>
      </c>
    </row>
    <row r="3450" spans="2:6" x14ac:dyDescent="0.25">
      <c r="B3450" s="33">
        <v>1</v>
      </c>
      <c r="C3450" t="s">
        <v>126</v>
      </c>
      <c r="D3450" t="s">
        <v>127</v>
      </c>
      <c r="E3450">
        <v>1</v>
      </c>
      <c r="F3450" s="2">
        <v>8.21917808219178E-3</v>
      </c>
    </row>
    <row r="3451" spans="2:6" x14ac:dyDescent="0.25">
      <c r="B3451" s="33">
        <v>1</v>
      </c>
      <c r="C3451" t="s">
        <v>88</v>
      </c>
      <c r="D3451" t="s">
        <v>160</v>
      </c>
      <c r="E3451">
        <v>3</v>
      </c>
      <c r="F3451" s="2">
        <v>5.4794520547945206E-3</v>
      </c>
    </row>
    <row r="3452" spans="2:6" x14ac:dyDescent="0.25">
      <c r="B3452" s="33">
        <v>1</v>
      </c>
      <c r="C3452" t="s">
        <v>72</v>
      </c>
      <c r="D3452" t="s">
        <v>209</v>
      </c>
      <c r="E3452">
        <v>1</v>
      </c>
      <c r="F3452" s="2">
        <v>2.7397260273972603E-3</v>
      </c>
    </row>
    <row r="3453" spans="2:6" x14ac:dyDescent="0.25">
      <c r="B3453" s="33">
        <v>1</v>
      </c>
      <c r="C3453" t="s">
        <v>66</v>
      </c>
      <c r="D3453" t="s">
        <v>245</v>
      </c>
      <c r="E3453">
        <v>16</v>
      </c>
      <c r="F3453" s="2">
        <v>5.4794520547945206E-3</v>
      </c>
    </row>
    <row r="3454" spans="2:6" x14ac:dyDescent="0.25">
      <c r="B3454" s="33">
        <v>1</v>
      </c>
      <c r="C3454" t="s">
        <v>6</v>
      </c>
      <c r="D3454" t="s">
        <v>44</v>
      </c>
      <c r="E3454">
        <v>2</v>
      </c>
      <c r="F3454" s="2">
        <v>2.7397260273972603E-3</v>
      </c>
    </row>
    <row r="3455" spans="2:6" x14ac:dyDescent="0.25">
      <c r="B3455" s="33">
        <v>1</v>
      </c>
      <c r="C3455" t="s">
        <v>2</v>
      </c>
      <c r="D3455" t="s">
        <v>198</v>
      </c>
      <c r="E3455">
        <v>2</v>
      </c>
      <c r="F3455" s="2">
        <v>2.7397260273972603E-3</v>
      </c>
    </row>
    <row r="3456" spans="2:6" x14ac:dyDescent="0.25">
      <c r="B3456" s="33">
        <v>1</v>
      </c>
      <c r="C3456" t="s">
        <v>3</v>
      </c>
      <c r="D3456" t="s">
        <v>229</v>
      </c>
      <c r="E3456">
        <v>15</v>
      </c>
      <c r="F3456" s="2">
        <v>5.4794520547945206E-3</v>
      </c>
    </row>
    <row r="3457" spans="2:6" x14ac:dyDescent="0.25">
      <c r="B3457" s="33">
        <v>1</v>
      </c>
      <c r="C3457" t="s">
        <v>3</v>
      </c>
      <c r="D3457" t="s">
        <v>203</v>
      </c>
      <c r="E3457">
        <v>18</v>
      </c>
      <c r="F3457" s="2">
        <v>5.4794520547945206E-3</v>
      </c>
    </row>
    <row r="3458" spans="2:6" x14ac:dyDescent="0.25">
      <c r="B3458" s="33">
        <v>1</v>
      </c>
      <c r="C3458" t="s">
        <v>69</v>
      </c>
      <c r="D3458" t="s">
        <v>140</v>
      </c>
      <c r="E3458">
        <v>23</v>
      </c>
      <c r="F3458" s="2">
        <v>5.4794520547945206E-3</v>
      </c>
    </row>
    <row r="3459" spans="2:6" x14ac:dyDescent="0.25">
      <c r="B3459" s="33">
        <v>1</v>
      </c>
      <c r="C3459" t="s">
        <v>69</v>
      </c>
      <c r="D3459" t="s">
        <v>190</v>
      </c>
      <c r="E3459">
        <v>0</v>
      </c>
      <c r="F3459" s="2">
        <v>2.7397260273972603E-3</v>
      </c>
    </row>
    <row r="3460" spans="2:6" x14ac:dyDescent="0.25">
      <c r="B3460" s="33">
        <v>1</v>
      </c>
      <c r="C3460" t="s">
        <v>66</v>
      </c>
      <c r="D3460" t="s">
        <v>168</v>
      </c>
      <c r="E3460">
        <v>5</v>
      </c>
      <c r="F3460" s="2">
        <v>2.7397260273972603E-3</v>
      </c>
    </row>
    <row r="3461" spans="2:6" x14ac:dyDescent="0.25">
      <c r="B3461" s="33">
        <v>1</v>
      </c>
      <c r="C3461" t="s">
        <v>69</v>
      </c>
      <c r="D3461" t="s">
        <v>148</v>
      </c>
      <c r="E3461">
        <v>4</v>
      </c>
      <c r="F3461" s="2">
        <v>2.7397260273972603E-3</v>
      </c>
    </row>
    <row r="3462" spans="2:6" x14ac:dyDescent="0.25">
      <c r="B3462" s="33">
        <v>1</v>
      </c>
      <c r="C3462" t="s">
        <v>69</v>
      </c>
      <c r="D3462" t="s">
        <v>234</v>
      </c>
      <c r="E3462">
        <v>13</v>
      </c>
      <c r="F3462" s="2">
        <v>5.4794520547945206E-3</v>
      </c>
    </row>
    <row r="3463" spans="2:6" x14ac:dyDescent="0.25">
      <c r="B3463" s="33">
        <v>1</v>
      </c>
      <c r="C3463" t="s">
        <v>64</v>
      </c>
      <c r="D3463" t="s">
        <v>116</v>
      </c>
      <c r="E3463">
        <v>4</v>
      </c>
      <c r="F3463" s="2">
        <v>2.7397260273972603E-3</v>
      </c>
    </row>
    <row r="3464" spans="2:6" x14ac:dyDescent="0.25">
      <c r="B3464" s="33">
        <v>1</v>
      </c>
      <c r="C3464" t="s">
        <v>77</v>
      </c>
      <c r="D3464" t="s">
        <v>205</v>
      </c>
      <c r="E3464">
        <v>3</v>
      </c>
      <c r="F3464" s="2">
        <v>2.7397260273972603E-3</v>
      </c>
    </row>
    <row r="3465" spans="2:6" x14ac:dyDescent="0.25">
      <c r="B3465" s="33">
        <v>1</v>
      </c>
      <c r="C3465" t="s">
        <v>64</v>
      </c>
      <c r="D3465" t="s">
        <v>179</v>
      </c>
      <c r="E3465">
        <v>5</v>
      </c>
      <c r="F3465" s="2">
        <v>2.7397260273972603E-3</v>
      </c>
    </row>
    <row r="3466" spans="2:6" x14ac:dyDescent="0.25">
      <c r="B3466" s="33">
        <v>1</v>
      </c>
      <c r="C3466" t="s">
        <v>66</v>
      </c>
      <c r="D3466" t="s">
        <v>238</v>
      </c>
      <c r="E3466">
        <v>15</v>
      </c>
      <c r="F3466" s="2">
        <v>5.4794520547945206E-3</v>
      </c>
    </row>
    <row r="3467" spans="2:6" x14ac:dyDescent="0.25">
      <c r="B3467" s="33">
        <v>1</v>
      </c>
      <c r="C3467" t="s">
        <v>3</v>
      </c>
      <c r="D3467" t="s">
        <v>203</v>
      </c>
      <c r="E3467">
        <v>15</v>
      </c>
      <c r="F3467" s="2">
        <v>5.4794520547945206E-3</v>
      </c>
    </row>
    <row r="3468" spans="2:6" x14ac:dyDescent="0.25">
      <c r="B3468" s="33">
        <v>1</v>
      </c>
      <c r="C3468" t="s">
        <v>4</v>
      </c>
      <c r="D3468" t="s">
        <v>178</v>
      </c>
      <c r="E3468">
        <v>21</v>
      </c>
      <c r="F3468" s="2">
        <v>8.21917808219178E-3</v>
      </c>
    </row>
    <row r="3469" spans="2:6" x14ac:dyDescent="0.25">
      <c r="B3469" s="33">
        <v>1</v>
      </c>
      <c r="C3469" t="s">
        <v>3</v>
      </c>
      <c r="D3469" t="s">
        <v>191</v>
      </c>
      <c r="E3469">
        <v>23</v>
      </c>
      <c r="F3469" s="2">
        <v>5.4794520547945206E-3</v>
      </c>
    </row>
    <row r="3470" spans="2:6" x14ac:dyDescent="0.25">
      <c r="B3470" s="33">
        <v>1</v>
      </c>
      <c r="C3470" t="s">
        <v>2</v>
      </c>
      <c r="D3470" t="s">
        <v>102</v>
      </c>
      <c r="E3470">
        <v>2</v>
      </c>
      <c r="F3470" s="2">
        <v>8.21917808219178E-3</v>
      </c>
    </row>
    <row r="3471" spans="2:6" x14ac:dyDescent="0.25">
      <c r="B3471" s="33">
        <v>1</v>
      </c>
      <c r="C3471" t="s">
        <v>3</v>
      </c>
      <c r="D3471" t="s">
        <v>203</v>
      </c>
      <c r="E3471">
        <v>3</v>
      </c>
      <c r="F3471" s="2">
        <v>2.7397260273972603E-3</v>
      </c>
    </row>
    <row r="3472" spans="2:6" x14ac:dyDescent="0.25">
      <c r="B3472" s="33">
        <v>1</v>
      </c>
      <c r="C3472" t="s">
        <v>69</v>
      </c>
      <c r="D3472" t="s">
        <v>228</v>
      </c>
      <c r="E3472">
        <v>9</v>
      </c>
      <c r="F3472" s="2">
        <v>5.4794520547945206E-3</v>
      </c>
    </row>
    <row r="3473" spans="2:6" x14ac:dyDescent="0.25">
      <c r="B3473" s="33">
        <v>1</v>
      </c>
      <c r="C3473" t="s">
        <v>2</v>
      </c>
      <c r="D3473" t="s">
        <v>96</v>
      </c>
      <c r="E3473">
        <v>2</v>
      </c>
      <c r="F3473" s="2">
        <v>8.21917808219178E-3</v>
      </c>
    </row>
    <row r="3474" spans="2:6" x14ac:dyDescent="0.25">
      <c r="B3474" s="33">
        <v>1</v>
      </c>
      <c r="C3474" t="s">
        <v>1</v>
      </c>
      <c r="D3474" t="s">
        <v>152</v>
      </c>
      <c r="E3474">
        <v>4</v>
      </c>
      <c r="F3474" s="2">
        <v>2.7397260273972603E-3</v>
      </c>
    </row>
    <row r="3475" spans="2:6" x14ac:dyDescent="0.25">
      <c r="B3475" s="33">
        <v>1</v>
      </c>
      <c r="C3475" t="s">
        <v>2</v>
      </c>
      <c r="D3475" t="s">
        <v>198</v>
      </c>
      <c r="E3475">
        <v>6</v>
      </c>
      <c r="F3475" s="2">
        <v>5.4794520547945206E-3</v>
      </c>
    </row>
    <row r="3476" spans="2:6" x14ac:dyDescent="0.25">
      <c r="B3476" s="33">
        <v>1</v>
      </c>
      <c r="C3476" t="s">
        <v>3</v>
      </c>
      <c r="D3476" t="s">
        <v>161</v>
      </c>
      <c r="E3476">
        <v>8</v>
      </c>
      <c r="F3476" s="2">
        <v>5.4794520547945206E-3</v>
      </c>
    </row>
    <row r="3477" spans="2:6" x14ac:dyDescent="0.25">
      <c r="B3477" s="33">
        <v>1</v>
      </c>
      <c r="C3477" t="s">
        <v>69</v>
      </c>
      <c r="D3477" t="s">
        <v>233</v>
      </c>
      <c r="E3477">
        <v>19</v>
      </c>
      <c r="F3477" s="2">
        <v>5.4794520547945206E-3</v>
      </c>
    </row>
    <row r="3478" spans="2:6" x14ac:dyDescent="0.25">
      <c r="B3478" s="33">
        <v>1</v>
      </c>
      <c r="C3478" t="s">
        <v>77</v>
      </c>
      <c r="D3478" t="s">
        <v>196</v>
      </c>
      <c r="E3478">
        <v>22</v>
      </c>
      <c r="F3478" s="2">
        <v>5.4794520547945206E-3</v>
      </c>
    </row>
    <row r="3479" spans="2:6" x14ac:dyDescent="0.25">
      <c r="B3479" s="33">
        <v>1</v>
      </c>
      <c r="C3479" t="s">
        <v>2</v>
      </c>
      <c r="D3479" t="s">
        <v>102</v>
      </c>
      <c r="E3479">
        <v>21</v>
      </c>
      <c r="F3479" s="2">
        <v>5.4794520547945206E-3</v>
      </c>
    </row>
    <row r="3480" spans="2:6" x14ac:dyDescent="0.25">
      <c r="B3480" s="33">
        <v>1</v>
      </c>
      <c r="C3480" t="s">
        <v>69</v>
      </c>
      <c r="D3480" t="s">
        <v>230</v>
      </c>
      <c r="E3480">
        <v>16</v>
      </c>
      <c r="F3480" s="2">
        <v>5.4794520547945206E-3</v>
      </c>
    </row>
    <row r="3481" spans="2:6" x14ac:dyDescent="0.25">
      <c r="B3481" s="33">
        <v>1</v>
      </c>
      <c r="C3481" t="s">
        <v>69</v>
      </c>
      <c r="D3481" t="s">
        <v>159</v>
      </c>
      <c r="E3481">
        <v>7</v>
      </c>
      <c r="F3481" s="2">
        <v>2.7397260273972603E-3</v>
      </c>
    </row>
    <row r="3482" spans="2:6" x14ac:dyDescent="0.25">
      <c r="B3482" s="33">
        <v>1</v>
      </c>
      <c r="C3482" t="s">
        <v>69</v>
      </c>
      <c r="D3482" t="s">
        <v>197</v>
      </c>
      <c r="E3482">
        <v>2</v>
      </c>
      <c r="F3482" s="2">
        <v>2.7397260273972603E-3</v>
      </c>
    </row>
    <row r="3483" spans="2:6" x14ac:dyDescent="0.25">
      <c r="B3483" s="33">
        <v>1</v>
      </c>
      <c r="C3483" t="s">
        <v>77</v>
      </c>
      <c r="D3483" t="s">
        <v>85</v>
      </c>
      <c r="E3483">
        <v>11</v>
      </c>
      <c r="F3483" s="2">
        <v>5.4794520547945206E-3</v>
      </c>
    </row>
    <row r="3484" spans="2:6" x14ac:dyDescent="0.25">
      <c r="B3484" s="33">
        <v>1</v>
      </c>
      <c r="C3484" t="s">
        <v>72</v>
      </c>
      <c r="D3484" t="s">
        <v>209</v>
      </c>
      <c r="E3484">
        <v>17</v>
      </c>
      <c r="F3484" s="2">
        <v>8.21917808219178E-3</v>
      </c>
    </row>
    <row r="3485" spans="2:6" x14ac:dyDescent="0.25">
      <c r="B3485" s="33">
        <v>1</v>
      </c>
      <c r="C3485" t="s">
        <v>1</v>
      </c>
      <c r="D3485" t="s">
        <v>216</v>
      </c>
      <c r="E3485">
        <v>4</v>
      </c>
      <c r="F3485" s="2">
        <v>2.7397260273972603E-3</v>
      </c>
    </row>
    <row r="3486" spans="2:6" x14ac:dyDescent="0.25">
      <c r="B3486" s="33">
        <v>1</v>
      </c>
      <c r="C3486" t="s">
        <v>77</v>
      </c>
      <c r="D3486" t="s">
        <v>192</v>
      </c>
      <c r="E3486">
        <v>10</v>
      </c>
      <c r="F3486" s="2">
        <v>5.4794520547945206E-3</v>
      </c>
    </row>
    <row r="3487" spans="2:6" x14ac:dyDescent="0.25">
      <c r="B3487" s="33">
        <v>1</v>
      </c>
      <c r="C3487" t="s">
        <v>2</v>
      </c>
      <c r="D3487" t="s">
        <v>232</v>
      </c>
      <c r="E3487">
        <v>23</v>
      </c>
      <c r="F3487" s="2">
        <v>5.4794520547945206E-3</v>
      </c>
    </row>
    <row r="3488" spans="2:6" x14ac:dyDescent="0.25">
      <c r="B3488" s="33">
        <v>1</v>
      </c>
      <c r="C3488" t="s">
        <v>2</v>
      </c>
      <c r="D3488" t="s">
        <v>118</v>
      </c>
      <c r="E3488">
        <v>16</v>
      </c>
      <c r="F3488" s="2">
        <v>2.7397260273972603E-3</v>
      </c>
    </row>
    <row r="3489" spans="2:6" x14ac:dyDescent="0.25">
      <c r="B3489" s="33">
        <v>1</v>
      </c>
      <c r="C3489" t="s">
        <v>77</v>
      </c>
      <c r="D3489" t="s">
        <v>225</v>
      </c>
      <c r="E3489">
        <v>2</v>
      </c>
      <c r="F3489" s="2">
        <v>2.7397260273972603E-3</v>
      </c>
    </row>
    <row r="3490" spans="2:6" x14ac:dyDescent="0.25">
      <c r="B3490" s="33">
        <v>1</v>
      </c>
      <c r="C3490" t="s">
        <v>69</v>
      </c>
      <c r="D3490" t="s">
        <v>184</v>
      </c>
      <c r="E3490">
        <v>1</v>
      </c>
      <c r="F3490" s="2">
        <v>2.7397260273972603E-3</v>
      </c>
    </row>
    <row r="3491" spans="2:6" x14ac:dyDescent="0.25">
      <c r="B3491" s="33">
        <v>1</v>
      </c>
      <c r="C3491" t="s">
        <v>77</v>
      </c>
      <c r="D3491" t="s">
        <v>123</v>
      </c>
      <c r="E3491">
        <v>2</v>
      </c>
      <c r="F3491" s="2">
        <v>2.7397260273972603E-3</v>
      </c>
    </row>
    <row r="3492" spans="2:6" x14ac:dyDescent="0.25">
      <c r="B3492" s="33">
        <v>1</v>
      </c>
      <c r="C3492" t="s">
        <v>3</v>
      </c>
      <c r="D3492" t="s">
        <v>229</v>
      </c>
      <c r="E3492">
        <v>18</v>
      </c>
      <c r="F3492" s="2">
        <v>5.4794520547945206E-3</v>
      </c>
    </row>
    <row r="3493" spans="2:6" x14ac:dyDescent="0.25">
      <c r="B3493" s="33">
        <v>1</v>
      </c>
      <c r="C3493" t="s">
        <v>64</v>
      </c>
      <c r="D3493" t="s">
        <v>213</v>
      </c>
      <c r="E3493">
        <v>20</v>
      </c>
      <c r="F3493" s="2">
        <v>5.4794520547945206E-3</v>
      </c>
    </row>
    <row r="3494" spans="2:6" x14ac:dyDescent="0.25">
      <c r="B3494" s="33">
        <v>1</v>
      </c>
      <c r="C3494" t="s">
        <v>2</v>
      </c>
      <c r="D3494" t="s">
        <v>185</v>
      </c>
      <c r="E3494">
        <v>0</v>
      </c>
      <c r="F3494" s="2">
        <v>5.4794520547945206E-3</v>
      </c>
    </row>
    <row r="3495" spans="2:6" x14ac:dyDescent="0.25">
      <c r="B3495" s="33">
        <v>1</v>
      </c>
      <c r="C3495" t="s">
        <v>66</v>
      </c>
      <c r="D3495" t="s">
        <v>245</v>
      </c>
      <c r="E3495">
        <v>7</v>
      </c>
      <c r="F3495" s="2">
        <v>2.7397260273972603E-3</v>
      </c>
    </row>
    <row r="3496" spans="2:6" x14ac:dyDescent="0.25">
      <c r="B3496" s="33">
        <v>1</v>
      </c>
      <c r="C3496" t="s">
        <v>103</v>
      </c>
      <c r="D3496" t="s">
        <v>141</v>
      </c>
      <c r="E3496">
        <v>3</v>
      </c>
      <c r="F3496" s="2">
        <v>2.7397260273972603E-3</v>
      </c>
    </row>
    <row r="3497" spans="2:6" x14ac:dyDescent="0.25">
      <c r="B3497" s="33">
        <v>1</v>
      </c>
      <c r="C3497" t="s">
        <v>77</v>
      </c>
      <c r="D3497" t="s">
        <v>192</v>
      </c>
      <c r="E3497">
        <v>11</v>
      </c>
      <c r="F3497" s="2">
        <v>5.4794520547945206E-3</v>
      </c>
    </row>
    <row r="3498" spans="2:6" x14ac:dyDescent="0.25">
      <c r="B3498" s="33">
        <v>1</v>
      </c>
      <c r="C3498" t="s">
        <v>72</v>
      </c>
      <c r="D3498" t="s">
        <v>240</v>
      </c>
      <c r="E3498">
        <v>17</v>
      </c>
      <c r="F3498" s="2">
        <v>2.7397260273972603E-3</v>
      </c>
    </row>
    <row r="3499" spans="2:6" x14ac:dyDescent="0.25">
      <c r="B3499" s="33">
        <v>1</v>
      </c>
      <c r="C3499" t="s">
        <v>77</v>
      </c>
      <c r="D3499" t="s">
        <v>177</v>
      </c>
      <c r="E3499">
        <v>22</v>
      </c>
      <c r="F3499" s="2">
        <v>5.4794520547945206E-3</v>
      </c>
    </row>
    <row r="3500" spans="2:6" x14ac:dyDescent="0.25">
      <c r="B3500" s="33">
        <v>1</v>
      </c>
      <c r="C3500" t="s">
        <v>88</v>
      </c>
      <c r="D3500" t="s">
        <v>201</v>
      </c>
      <c r="E3500">
        <v>23</v>
      </c>
      <c r="F3500" s="2">
        <v>5.4794520547945206E-3</v>
      </c>
    </row>
    <row r="3501" spans="2:6" x14ac:dyDescent="0.25">
      <c r="B3501" s="33">
        <v>1</v>
      </c>
      <c r="C3501" t="s">
        <v>77</v>
      </c>
      <c r="D3501" t="s">
        <v>177</v>
      </c>
      <c r="E3501">
        <v>6</v>
      </c>
      <c r="F3501" s="2">
        <v>2.7397260273972603E-3</v>
      </c>
    </row>
    <row r="3502" spans="2:6" x14ac:dyDescent="0.25">
      <c r="B3502" s="33">
        <v>1</v>
      </c>
      <c r="C3502" t="s">
        <v>66</v>
      </c>
      <c r="D3502" t="s">
        <v>235</v>
      </c>
      <c r="E3502">
        <v>1</v>
      </c>
      <c r="F3502" s="2">
        <v>2.7397260273972603E-3</v>
      </c>
    </row>
    <row r="3503" spans="2:6" x14ac:dyDescent="0.25">
      <c r="B3503" s="33">
        <v>1</v>
      </c>
      <c r="C3503" t="s">
        <v>77</v>
      </c>
      <c r="D3503" t="s">
        <v>87</v>
      </c>
      <c r="E3503">
        <v>4</v>
      </c>
      <c r="F3503" s="2">
        <v>2.7397260273972603E-3</v>
      </c>
    </row>
    <row r="3504" spans="2:6" x14ac:dyDescent="0.25">
      <c r="B3504" s="33">
        <v>1</v>
      </c>
      <c r="C3504" t="s">
        <v>3</v>
      </c>
      <c r="D3504" t="s">
        <v>207</v>
      </c>
      <c r="E3504">
        <v>2</v>
      </c>
      <c r="F3504" s="2">
        <v>2.7397260273972603E-3</v>
      </c>
    </row>
    <row r="3505" spans="2:6" x14ac:dyDescent="0.25">
      <c r="B3505" s="33">
        <v>1</v>
      </c>
      <c r="C3505" t="s">
        <v>64</v>
      </c>
      <c r="D3505" t="s">
        <v>179</v>
      </c>
      <c r="E3505">
        <v>1</v>
      </c>
      <c r="F3505" s="2">
        <v>2.7397260273972603E-3</v>
      </c>
    </row>
    <row r="3506" spans="2:6" x14ac:dyDescent="0.25">
      <c r="B3506" s="33">
        <v>1</v>
      </c>
      <c r="C3506" t="s">
        <v>3</v>
      </c>
      <c r="D3506" t="s">
        <v>207</v>
      </c>
      <c r="E3506">
        <v>22</v>
      </c>
      <c r="F3506" s="2">
        <v>5.4794520547945206E-3</v>
      </c>
    </row>
    <row r="3507" spans="2:6" x14ac:dyDescent="0.25">
      <c r="B3507" s="33">
        <v>1</v>
      </c>
      <c r="C3507" t="s">
        <v>77</v>
      </c>
      <c r="D3507" t="s">
        <v>123</v>
      </c>
      <c r="E3507">
        <v>4</v>
      </c>
      <c r="F3507" s="2">
        <v>2.7397260273972603E-3</v>
      </c>
    </row>
    <row r="3508" spans="2:6" x14ac:dyDescent="0.25">
      <c r="B3508" s="33">
        <v>1</v>
      </c>
      <c r="C3508" t="s">
        <v>126</v>
      </c>
      <c r="D3508" t="s">
        <v>169</v>
      </c>
      <c r="E3508">
        <v>3</v>
      </c>
      <c r="F3508" s="2">
        <v>2.7397260273972603E-3</v>
      </c>
    </row>
    <row r="3509" spans="2:6" x14ac:dyDescent="0.25">
      <c r="B3509" s="33">
        <v>1</v>
      </c>
      <c r="C3509" t="s">
        <v>66</v>
      </c>
      <c r="D3509" t="s">
        <v>239</v>
      </c>
      <c r="E3509">
        <v>8</v>
      </c>
      <c r="F3509" s="2">
        <v>5.4794520547945206E-3</v>
      </c>
    </row>
    <row r="3510" spans="2:6" x14ac:dyDescent="0.25">
      <c r="B3510" s="33">
        <v>1</v>
      </c>
      <c r="C3510" t="s">
        <v>77</v>
      </c>
      <c r="D3510" t="s">
        <v>85</v>
      </c>
      <c r="E3510">
        <v>12</v>
      </c>
      <c r="F3510" s="2">
        <v>5.4794520547945206E-3</v>
      </c>
    </row>
    <row r="3511" spans="2:6" x14ac:dyDescent="0.25">
      <c r="B3511" s="33">
        <v>1</v>
      </c>
      <c r="C3511" t="s">
        <v>69</v>
      </c>
      <c r="D3511" t="s">
        <v>228</v>
      </c>
      <c r="E3511">
        <v>13</v>
      </c>
      <c r="F3511" s="2">
        <v>5.4794520547945206E-3</v>
      </c>
    </row>
    <row r="3512" spans="2:6" x14ac:dyDescent="0.25">
      <c r="B3512" s="33">
        <v>1</v>
      </c>
      <c r="C3512" t="s">
        <v>69</v>
      </c>
      <c r="D3512" t="s">
        <v>228</v>
      </c>
      <c r="E3512">
        <v>16</v>
      </c>
      <c r="F3512" s="2">
        <v>2.7397260273972603E-3</v>
      </c>
    </row>
    <row r="3513" spans="2:6" x14ac:dyDescent="0.25">
      <c r="B3513" s="33">
        <v>1</v>
      </c>
      <c r="C3513" t="s">
        <v>69</v>
      </c>
      <c r="D3513" t="s">
        <v>215</v>
      </c>
      <c r="E3513">
        <v>2</v>
      </c>
      <c r="F3513" s="2">
        <v>2.7397260273972603E-3</v>
      </c>
    </row>
    <row r="3514" spans="2:6" x14ac:dyDescent="0.25">
      <c r="B3514" s="33">
        <v>1</v>
      </c>
      <c r="C3514" t="s">
        <v>103</v>
      </c>
      <c r="D3514" t="s">
        <v>158</v>
      </c>
      <c r="E3514">
        <v>5</v>
      </c>
      <c r="F3514" s="2">
        <v>8.21917808219178E-3</v>
      </c>
    </row>
    <row r="3515" spans="2:6" x14ac:dyDescent="0.25">
      <c r="B3515" s="33">
        <v>1</v>
      </c>
      <c r="C3515" t="s">
        <v>3</v>
      </c>
      <c r="D3515" t="s">
        <v>119</v>
      </c>
      <c r="E3515">
        <v>6</v>
      </c>
      <c r="F3515" s="2">
        <v>2.7397260273972603E-3</v>
      </c>
    </row>
    <row r="3516" spans="2:6" x14ac:dyDescent="0.25">
      <c r="B3516" s="33">
        <v>1</v>
      </c>
      <c r="C3516" t="s">
        <v>69</v>
      </c>
      <c r="D3516" t="s">
        <v>220</v>
      </c>
      <c r="E3516">
        <v>23</v>
      </c>
      <c r="F3516" s="2">
        <v>2.7397260273972603E-3</v>
      </c>
    </row>
    <row r="3517" spans="2:6" x14ac:dyDescent="0.25">
      <c r="B3517" s="33">
        <v>1</v>
      </c>
      <c r="C3517" t="s">
        <v>72</v>
      </c>
      <c r="D3517" t="s">
        <v>240</v>
      </c>
      <c r="E3517">
        <v>18</v>
      </c>
      <c r="F3517" s="2">
        <v>2.7397260273972603E-3</v>
      </c>
    </row>
    <row r="3518" spans="2:6" x14ac:dyDescent="0.25">
      <c r="B3518" s="33">
        <v>1</v>
      </c>
      <c r="C3518" t="s">
        <v>103</v>
      </c>
      <c r="D3518" t="s">
        <v>137</v>
      </c>
      <c r="E3518">
        <v>2</v>
      </c>
      <c r="F3518" s="2">
        <v>2.7397260273972603E-3</v>
      </c>
    </row>
    <row r="3519" spans="2:6" x14ac:dyDescent="0.25">
      <c r="B3519" s="33">
        <v>1</v>
      </c>
      <c r="C3519" t="s">
        <v>103</v>
      </c>
      <c r="D3519" t="s">
        <v>137</v>
      </c>
      <c r="E3519">
        <v>3</v>
      </c>
      <c r="F3519" s="2">
        <v>8.21917808219178E-3</v>
      </c>
    </row>
    <row r="3520" spans="2:6" x14ac:dyDescent="0.25">
      <c r="B3520" s="33">
        <v>1</v>
      </c>
      <c r="C3520" t="s">
        <v>74</v>
      </c>
      <c r="D3520" t="s">
        <v>221</v>
      </c>
      <c r="E3520">
        <v>0</v>
      </c>
      <c r="F3520" s="2">
        <v>5.4794520547945206E-3</v>
      </c>
    </row>
    <row r="3521" spans="2:6" x14ac:dyDescent="0.25">
      <c r="B3521" s="33">
        <v>1</v>
      </c>
      <c r="C3521" t="s">
        <v>126</v>
      </c>
      <c r="D3521" t="s">
        <v>127</v>
      </c>
      <c r="E3521">
        <v>12</v>
      </c>
      <c r="F3521" s="2">
        <v>1.643835616438356E-2</v>
      </c>
    </row>
    <row r="3522" spans="2:6" x14ac:dyDescent="0.25">
      <c r="B3522" s="33">
        <v>1</v>
      </c>
      <c r="C3522" t="s">
        <v>69</v>
      </c>
      <c r="D3522" t="s">
        <v>86</v>
      </c>
      <c r="E3522">
        <v>5</v>
      </c>
      <c r="F3522" s="2">
        <v>2.7397260273972603E-3</v>
      </c>
    </row>
    <row r="3523" spans="2:6" x14ac:dyDescent="0.25">
      <c r="B3523" s="33">
        <v>1</v>
      </c>
      <c r="C3523" t="s">
        <v>103</v>
      </c>
      <c r="D3523" t="s">
        <v>45</v>
      </c>
      <c r="E3523">
        <v>3</v>
      </c>
      <c r="F3523" s="2">
        <v>2.7397260273972603E-3</v>
      </c>
    </row>
    <row r="3524" spans="2:6" x14ac:dyDescent="0.25">
      <c r="B3524" s="33">
        <v>1</v>
      </c>
      <c r="C3524" t="s">
        <v>66</v>
      </c>
      <c r="D3524" t="s">
        <v>212</v>
      </c>
      <c r="E3524">
        <v>23</v>
      </c>
      <c r="F3524" s="2">
        <v>5.4794520547945206E-3</v>
      </c>
    </row>
    <row r="3525" spans="2:6" x14ac:dyDescent="0.25">
      <c r="B3525" s="33">
        <v>1</v>
      </c>
      <c r="C3525" t="s">
        <v>66</v>
      </c>
      <c r="D3525" t="s">
        <v>227</v>
      </c>
      <c r="E3525">
        <v>20</v>
      </c>
      <c r="F3525" s="2">
        <v>5.4794520547945206E-3</v>
      </c>
    </row>
    <row r="3526" spans="2:6" x14ac:dyDescent="0.25">
      <c r="B3526" s="33">
        <v>1</v>
      </c>
      <c r="C3526" t="s">
        <v>69</v>
      </c>
      <c r="D3526" t="s">
        <v>70</v>
      </c>
      <c r="E3526">
        <v>3</v>
      </c>
      <c r="F3526" s="2">
        <v>2.7397260273972603E-3</v>
      </c>
    </row>
    <row r="3527" spans="2:6" x14ac:dyDescent="0.25">
      <c r="B3527" s="33">
        <v>1</v>
      </c>
      <c r="C3527" t="s">
        <v>2</v>
      </c>
      <c r="D3527" t="s">
        <v>185</v>
      </c>
      <c r="E3527">
        <v>4</v>
      </c>
      <c r="F3527" s="2">
        <v>2.7397260273972603E-3</v>
      </c>
    </row>
    <row r="3528" spans="2:6" x14ac:dyDescent="0.25">
      <c r="B3528" s="33">
        <v>1</v>
      </c>
      <c r="C3528" t="s">
        <v>2</v>
      </c>
      <c r="D3528" t="s">
        <v>118</v>
      </c>
      <c r="E3528">
        <v>7</v>
      </c>
      <c r="F3528" s="2">
        <v>2.7397260273972603E-3</v>
      </c>
    </row>
    <row r="3529" spans="2:6" x14ac:dyDescent="0.25">
      <c r="B3529" s="33">
        <v>1</v>
      </c>
      <c r="C3529" t="s">
        <v>2</v>
      </c>
      <c r="D3529" t="s">
        <v>242</v>
      </c>
      <c r="E3529">
        <v>9</v>
      </c>
      <c r="F3529" s="2">
        <v>2.7397260273972603E-3</v>
      </c>
    </row>
    <row r="3530" spans="2:6" x14ac:dyDescent="0.25">
      <c r="B3530" s="33">
        <v>1</v>
      </c>
      <c r="C3530" t="s">
        <v>77</v>
      </c>
      <c r="D3530" t="s">
        <v>98</v>
      </c>
      <c r="E3530">
        <v>20</v>
      </c>
      <c r="F3530" s="2">
        <v>2.7397260273972603E-3</v>
      </c>
    </row>
    <row r="3531" spans="2:6" x14ac:dyDescent="0.25">
      <c r="B3531" s="33">
        <v>1</v>
      </c>
      <c r="C3531" t="s">
        <v>77</v>
      </c>
      <c r="D3531" t="s">
        <v>87</v>
      </c>
      <c r="E3531">
        <v>3</v>
      </c>
      <c r="F3531" s="2">
        <v>2.7397260273972603E-3</v>
      </c>
    </row>
    <row r="3532" spans="2:6" x14ac:dyDescent="0.25">
      <c r="B3532" s="33">
        <v>1</v>
      </c>
      <c r="C3532" t="s">
        <v>6</v>
      </c>
      <c r="D3532" t="s">
        <v>25</v>
      </c>
      <c r="E3532">
        <v>3</v>
      </c>
      <c r="F3532" s="2">
        <v>2.7397260273972603E-3</v>
      </c>
    </row>
    <row r="3533" spans="2:6" x14ac:dyDescent="0.25">
      <c r="B3533" s="33">
        <v>1</v>
      </c>
      <c r="C3533" t="s">
        <v>1</v>
      </c>
      <c r="D3533" t="s">
        <v>189</v>
      </c>
      <c r="E3533">
        <v>6</v>
      </c>
      <c r="F3533" s="2">
        <v>2.7397260273972603E-3</v>
      </c>
    </row>
    <row r="3534" spans="2:6" x14ac:dyDescent="0.25">
      <c r="B3534" s="33">
        <v>1</v>
      </c>
      <c r="C3534" t="s">
        <v>3</v>
      </c>
      <c r="D3534" t="s">
        <v>229</v>
      </c>
      <c r="E3534">
        <v>7</v>
      </c>
      <c r="F3534" s="2">
        <v>2.7397260273972603E-3</v>
      </c>
    </row>
    <row r="3535" spans="2:6" x14ac:dyDescent="0.25">
      <c r="B3535" s="33">
        <v>1</v>
      </c>
      <c r="C3535" t="s">
        <v>66</v>
      </c>
      <c r="D3535" t="s">
        <v>219</v>
      </c>
      <c r="E3535">
        <v>15</v>
      </c>
      <c r="F3535" s="2">
        <v>5.4794520547945206E-3</v>
      </c>
    </row>
    <row r="3536" spans="2:6" x14ac:dyDescent="0.25">
      <c r="B3536" s="33">
        <v>1</v>
      </c>
      <c r="C3536" t="s">
        <v>1</v>
      </c>
      <c r="D3536" t="s">
        <v>216</v>
      </c>
      <c r="E3536">
        <v>11</v>
      </c>
      <c r="F3536" s="2">
        <v>8.21917808219178E-3</v>
      </c>
    </row>
    <row r="3537" spans="2:6" x14ac:dyDescent="0.25">
      <c r="B3537" s="33">
        <v>1</v>
      </c>
      <c r="C3537" t="s">
        <v>1</v>
      </c>
      <c r="D3537" t="s">
        <v>214</v>
      </c>
      <c r="E3537">
        <v>9</v>
      </c>
      <c r="F3537" s="2">
        <v>8.21917808219178E-3</v>
      </c>
    </row>
    <row r="3538" spans="2:6" x14ac:dyDescent="0.25">
      <c r="B3538" s="33">
        <v>1</v>
      </c>
      <c r="C3538" t="s">
        <v>66</v>
      </c>
      <c r="D3538" t="s">
        <v>235</v>
      </c>
      <c r="E3538">
        <v>4</v>
      </c>
      <c r="F3538" s="2">
        <v>2.7397260273972603E-3</v>
      </c>
    </row>
    <row r="3539" spans="2:6" x14ac:dyDescent="0.25">
      <c r="B3539" s="33">
        <v>1</v>
      </c>
      <c r="C3539" t="s">
        <v>126</v>
      </c>
      <c r="D3539" t="s">
        <v>171</v>
      </c>
      <c r="E3539">
        <v>0</v>
      </c>
      <c r="F3539" s="2">
        <v>8.21917808219178E-3</v>
      </c>
    </row>
    <row r="3540" spans="2:6" x14ac:dyDescent="0.25">
      <c r="B3540" s="33">
        <v>1</v>
      </c>
      <c r="C3540" t="s">
        <v>77</v>
      </c>
      <c r="D3540" t="s">
        <v>177</v>
      </c>
      <c r="E3540">
        <v>18</v>
      </c>
      <c r="F3540" s="2">
        <v>2.7397260273972603E-3</v>
      </c>
    </row>
    <row r="3541" spans="2:6" x14ac:dyDescent="0.25">
      <c r="B3541" s="33">
        <v>1</v>
      </c>
      <c r="C3541" t="s">
        <v>1</v>
      </c>
      <c r="D3541" t="s">
        <v>200</v>
      </c>
      <c r="E3541">
        <v>22</v>
      </c>
      <c r="F3541" s="2">
        <v>2.7397260273972603E-3</v>
      </c>
    </row>
    <row r="3542" spans="2:6" x14ac:dyDescent="0.25">
      <c r="B3542" s="33">
        <v>1</v>
      </c>
      <c r="C3542" t="s">
        <v>3</v>
      </c>
      <c r="D3542" t="s">
        <v>229</v>
      </c>
      <c r="E3542">
        <v>0</v>
      </c>
      <c r="F3542" s="2">
        <v>2.7397260273972603E-3</v>
      </c>
    </row>
    <row r="3543" spans="2:6" x14ac:dyDescent="0.25">
      <c r="B3543" s="33">
        <v>1</v>
      </c>
      <c r="C3543" t="s">
        <v>69</v>
      </c>
      <c r="D3543" t="s">
        <v>86</v>
      </c>
      <c r="E3543">
        <v>2</v>
      </c>
      <c r="F3543" s="2">
        <v>2.7397260273972603E-3</v>
      </c>
    </row>
    <row r="3544" spans="2:6" x14ac:dyDescent="0.25">
      <c r="B3544" s="33">
        <v>1</v>
      </c>
      <c r="C3544" t="s">
        <v>77</v>
      </c>
      <c r="D3544" t="s">
        <v>192</v>
      </c>
      <c r="E3544">
        <v>6</v>
      </c>
      <c r="F3544" s="2">
        <v>2.7397260273972603E-3</v>
      </c>
    </row>
    <row r="3545" spans="2:6" x14ac:dyDescent="0.25">
      <c r="B3545" s="33">
        <v>1</v>
      </c>
      <c r="C3545" t="s">
        <v>77</v>
      </c>
      <c r="D3545" t="s">
        <v>204</v>
      </c>
      <c r="E3545">
        <v>0</v>
      </c>
      <c r="F3545" s="2">
        <v>2.7397260273972603E-3</v>
      </c>
    </row>
    <row r="3546" spans="2:6" x14ac:dyDescent="0.25">
      <c r="B3546" s="33">
        <v>1</v>
      </c>
      <c r="C3546" t="s">
        <v>4</v>
      </c>
      <c r="D3546" t="s">
        <v>178</v>
      </c>
      <c r="E3546">
        <v>1</v>
      </c>
      <c r="F3546" s="2">
        <v>5.4794520547945206E-3</v>
      </c>
    </row>
    <row r="3547" spans="2:6" x14ac:dyDescent="0.25">
      <c r="B3547" s="33">
        <v>1</v>
      </c>
      <c r="C3547" t="s">
        <v>3</v>
      </c>
      <c r="D3547" t="s">
        <v>229</v>
      </c>
      <c r="E3547">
        <v>14</v>
      </c>
      <c r="F3547" s="2">
        <v>5.4794520547945206E-3</v>
      </c>
    </row>
    <row r="3548" spans="2:6" x14ac:dyDescent="0.25">
      <c r="B3548" s="33">
        <v>1</v>
      </c>
      <c r="C3548" t="s">
        <v>2</v>
      </c>
      <c r="D3548" t="s">
        <v>185</v>
      </c>
      <c r="E3548">
        <v>6</v>
      </c>
      <c r="F3548" s="2">
        <v>1.0958904109589041E-2</v>
      </c>
    </row>
    <row r="3549" spans="2:6" x14ac:dyDescent="0.25">
      <c r="B3549" s="33">
        <v>1</v>
      </c>
      <c r="C3549" t="s">
        <v>69</v>
      </c>
      <c r="D3549" t="s">
        <v>220</v>
      </c>
      <c r="E3549">
        <v>15</v>
      </c>
      <c r="F3549" s="2">
        <v>2.7397260273972603E-3</v>
      </c>
    </row>
    <row r="3550" spans="2:6" x14ac:dyDescent="0.25">
      <c r="B3550" s="33">
        <v>1</v>
      </c>
      <c r="C3550" t="s">
        <v>3</v>
      </c>
      <c r="D3550" t="s">
        <v>188</v>
      </c>
      <c r="E3550">
        <v>21</v>
      </c>
      <c r="F3550" s="2">
        <v>5.4794520547945206E-3</v>
      </c>
    </row>
    <row r="3551" spans="2:6" x14ac:dyDescent="0.25">
      <c r="B3551" s="33">
        <v>1</v>
      </c>
      <c r="C3551" t="s">
        <v>3</v>
      </c>
      <c r="D3551" t="s">
        <v>186</v>
      </c>
      <c r="E3551">
        <v>3</v>
      </c>
      <c r="F3551" s="2">
        <v>2.7397260273972603E-3</v>
      </c>
    </row>
    <row r="3552" spans="2:6" x14ac:dyDescent="0.25">
      <c r="B3552" s="33">
        <v>1</v>
      </c>
      <c r="C3552" t="s">
        <v>6</v>
      </c>
      <c r="D3552" t="s">
        <v>44</v>
      </c>
      <c r="E3552">
        <v>3</v>
      </c>
      <c r="F3552" s="2">
        <v>2.7397260273972603E-3</v>
      </c>
    </row>
    <row r="3553" spans="2:6" x14ac:dyDescent="0.25">
      <c r="B3553" s="33">
        <v>1</v>
      </c>
      <c r="C3553" t="s">
        <v>103</v>
      </c>
      <c r="D3553" t="s">
        <v>167</v>
      </c>
      <c r="E3553">
        <v>7</v>
      </c>
      <c r="F3553" s="2">
        <v>5.4794520547945206E-3</v>
      </c>
    </row>
    <row r="3554" spans="2:6" x14ac:dyDescent="0.25">
      <c r="B3554" s="33">
        <v>1</v>
      </c>
      <c r="C3554" t="s">
        <v>69</v>
      </c>
      <c r="D3554" t="s">
        <v>233</v>
      </c>
      <c r="E3554">
        <v>15</v>
      </c>
      <c r="F3554" s="2">
        <v>2.7397260273972603E-3</v>
      </c>
    </row>
    <row r="3555" spans="2:6" x14ac:dyDescent="0.25">
      <c r="B3555" s="33">
        <v>1</v>
      </c>
      <c r="C3555" t="s">
        <v>3</v>
      </c>
      <c r="D3555" t="s">
        <v>138</v>
      </c>
      <c r="E3555">
        <v>20</v>
      </c>
      <c r="F3555" s="2">
        <v>5.4794520547945206E-3</v>
      </c>
    </row>
    <row r="3556" spans="2:6" x14ac:dyDescent="0.25">
      <c r="B3556" s="33">
        <v>1</v>
      </c>
      <c r="C3556" t="s">
        <v>66</v>
      </c>
      <c r="D3556" t="s">
        <v>245</v>
      </c>
      <c r="E3556">
        <v>0</v>
      </c>
      <c r="F3556" s="2">
        <v>2.7397260273972603E-3</v>
      </c>
    </row>
    <row r="3557" spans="2:6" x14ac:dyDescent="0.25">
      <c r="B3557" s="33">
        <v>1</v>
      </c>
      <c r="C3557" t="s">
        <v>64</v>
      </c>
      <c r="D3557" t="s">
        <v>179</v>
      </c>
      <c r="E3557">
        <v>2</v>
      </c>
      <c r="F3557" s="2">
        <v>2.7397260273972603E-3</v>
      </c>
    </row>
    <row r="3558" spans="2:6" x14ac:dyDescent="0.25">
      <c r="B3558" s="33">
        <v>1</v>
      </c>
      <c r="C3558" t="s">
        <v>69</v>
      </c>
      <c r="D3558" t="s">
        <v>233</v>
      </c>
      <c r="E3558">
        <v>21</v>
      </c>
      <c r="F3558" s="2">
        <v>2.7397260273972603E-3</v>
      </c>
    </row>
    <row r="3559" spans="2:6" x14ac:dyDescent="0.25">
      <c r="B3559" s="33">
        <v>1</v>
      </c>
      <c r="C3559" t="s">
        <v>69</v>
      </c>
      <c r="D3559" t="s">
        <v>206</v>
      </c>
      <c r="E3559">
        <v>22</v>
      </c>
      <c r="F3559" s="2">
        <v>2.7397260273972603E-3</v>
      </c>
    </row>
    <row r="3560" spans="2:6" x14ac:dyDescent="0.25">
      <c r="B3560" s="33">
        <v>1</v>
      </c>
      <c r="C3560" t="s">
        <v>77</v>
      </c>
      <c r="D3560" t="s">
        <v>224</v>
      </c>
      <c r="E3560">
        <v>21</v>
      </c>
      <c r="F3560" s="2">
        <v>2.7397260273972603E-3</v>
      </c>
    </row>
    <row r="3561" spans="2:6" x14ac:dyDescent="0.25">
      <c r="B3561" s="33">
        <v>1</v>
      </c>
      <c r="C3561" t="s">
        <v>77</v>
      </c>
      <c r="D3561" t="s">
        <v>204</v>
      </c>
      <c r="E3561">
        <v>1</v>
      </c>
      <c r="F3561" s="2">
        <v>2.7397260273972603E-3</v>
      </c>
    </row>
    <row r="3562" spans="2:6" x14ac:dyDescent="0.25">
      <c r="B3562" s="33">
        <v>1</v>
      </c>
      <c r="C3562" t="s">
        <v>126</v>
      </c>
      <c r="D3562" t="s">
        <v>169</v>
      </c>
      <c r="E3562">
        <v>8</v>
      </c>
      <c r="F3562" s="2">
        <v>1.3698630136986301E-2</v>
      </c>
    </row>
    <row r="3563" spans="2:6" x14ac:dyDescent="0.25">
      <c r="B3563" s="33">
        <v>1</v>
      </c>
      <c r="C3563" t="s">
        <v>6</v>
      </c>
      <c r="D3563" t="s">
        <v>42</v>
      </c>
      <c r="E3563">
        <v>3</v>
      </c>
      <c r="F3563" s="2">
        <v>2.7397260273972603E-3</v>
      </c>
    </row>
    <row r="3564" spans="2:6" x14ac:dyDescent="0.25">
      <c r="B3564" s="33">
        <v>1</v>
      </c>
      <c r="C3564" t="s">
        <v>69</v>
      </c>
      <c r="D3564" t="s">
        <v>231</v>
      </c>
      <c r="E3564">
        <v>15</v>
      </c>
      <c r="F3564" s="2">
        <v>2.7397260273972603E-3</v>
      </c>
    </row>
    <row r="3565" spans="2:6" x14ac:dyDescent="0.25">
      <c r="B3565" s="33">
        <v>1</v>
      </c>
      <c r="C3565" t="s">
        <v>77</v>
      </c>
      <c r="D3565" t="s">
        <v>193</v>
      </c>
      <c r="E3565">
        <v>4</v>
      </c>
      <c r="F3565" s="2">
        <v>2.7397260273972603E-3</v>
      </c>
    </row>
    <row r="3566" spans="2:6" x14ac:dyDescent="0.25">
      <c r="B3566" s="33">
        <v>1</v>
      </c>
      <c r="C3566" t="s">
        <v>69</v>
      </c>
      <c r="D3566" t="s">
        <v>159</v>
      </c>
      <c r="E3566">
        <v>5</v>
      </c>
      <c r="F3566" s="2">
        <v>2.7397260273972603E-3</v>
      </c>
    </row>
    <row r="3567" spans="2:6" x14ac:dyDescent="0.25">
      <c r="B3567" s="33">
        <v>1</v>
      </c>
      <c r="C3567" t="s">
        <v>69</v>
      </c>
      <c r="D3567" t="s">
        <v>236</v>
      </c>
      <c r="E3567">
        <v>16</v>
      </c>
      <c r="F3567" s="2">
        <v>2.7397260273972603E-3</v>
      </c>
    </row>
    <row r="3568" spans="2:6" x14ac:dyDescent="0.25">
      <c r="B3568" s="33">
        <v>1</v>
      </c>
      <c r="C3568" t="s">
        <v>66</v>
      </c>
      <c r="D3568" t="s">
        <v>211</v>
      </c>
      <c r="E3568">
        <v>22</v>
      </c>
      <c r="F3568" s="2">
        <v>5.4794520547945206E-3</v>
      </c>
    </row>
    <row r="3569" spans="2:6" x14ac:dyDescent="0.25">
      <c r="B3569" s="33">
        <v>1</v>
      </c>
      <c r="C3569" t="s">
        <v>69</v>
      </c>
      <c r="D3569" t="s">
        <v>124</v>
      </c>
      <c r="E3569">
        <v>21</v>
      </c>
      <c r="F3569" s="2">
        <v>2.7397260273972603E-3</v>
      </c>
    </row>
    <row r="3570" spans="2:6" x14ac:dyDescent="0.25">
      <c r="B3570" s="33">
        <v>1</v>
      </c>
      <c r="C3570" t="s">
        <v>66</v>
      </c>
      <c r="D3570" t="s">
        <v>238</v>
      </c>
      <c r="E3570">
        <v>2</v>
      </c>
      <c r="F3570" s="2">
        <v>2.7397260273972603E-3</v>
      </c>
    </row>
    <row r="3571" spans="2:6" x14ac:dyDescent="0.25">
      <c r="B3571" s="33">
        <v>1</v>
      </c>
      <c r="C3571" t="s">
        <v>69</v>
      </c>
      <c r="D3571" t="s">
        <v>220</v>
      </c>
      <c r="E3571">
        <v>7</v>
      </c>
      <c r="F3571" s="2">
        <v>2.7397260273972603E-3</v>
      </c>
    </row>
    <row r="3572" spans="2:6" x14ac:dyDescent="0.25">
      <c r="B3572" s="33">
        <v>1</v>
      </c>
      <c r="C3572" t="s">
        <v>69</v>
      </c>
      <c r="D3572" t="s">
        <v>218</v>
      </c>
      <c r="E3572">
        <v>20</v>
      </c>
      <c r="F3572" s="2">
        <v>2.7397260273972603E-3</v>
      </c>
    </row>
    <row r="3573" spans="2:6" x14ac:dyDescent="0.25">
      <c r="B3573" s="33">
        <v>1</v>
      </c>
      <c r="C3573" t="s">
        <v>69</v>
      </c>
      <c r="D3573" t="s">
        <v>231</v>
      </c>
      <c r="E3573">
        <v>23</v>
      </c>
      <c r="F3573" s="2">
        <v>2.7397260273972603E-3</v>
      </c>
    </row>
    <row r="3574" spans="2:6" x14ac:dyDescent="0.25">
      <c r="B3574" s="33">
        <v>1</v>
      </c>
      <c r="C3574" t="s">
        <v>126</v>
      </c>
      <c r="D3574" t="s">
        <v>147</v>
      </c>
      <c r="E3574">
        <v>2</v>
      </c>
      <c r="F3574" s="2">
        <v>8.21917808219178E-3</v>
      </c>
    </row>
    <row r="3575" spans="2:6" x14ac:dyDescent="0.25">
      <c r="B3575" s="33">
        <v>1</v>
      </c>
      <c r="C3575" t="s">
        <v>72</v>
      </c>
      <c r="D3575" t="s">
        <v>187</v>
      </c>
      <c r="E3575">
        <v>3</v>
      </c>
      <c r="F3575" s="2">
        <v>2.7397260273972603E-3</v>
      </c>
    </row>
    <row r="3576" spans="2:6" x14ac:dyDescent="0.25">
      <c r="B3576" s="33">
        <v>1</v>
      </c>
      <c r="C3576" t="s">
        <v>77</v>
      </c>
      <c r="D3576" t="s">
        <v>123</v>
      </c>
      <c r="E3576">
        <v>8</v>
      </c>
      <c r="F3576" s="2">
        <v>5.4794520547945206E-3</v>
      </c>
    </row>
    <row r="3577" spans="2:6" x14ac:dyDescent="0.25">
      <c r="B3577" s="33">
        <v>1</v>
      </c>
      <c r="C3577" t="s">
        <v>2</v>
      </c>
      <c r="D3577" t="s">
        <v>232</v>
      </c>
      <c r="E3577">
        <v>3</v>
      </c>
      <c r="F3577" s="2">
        <v>2.7397260273972603E-3</v>
      </c>
    </row>
    <row r="3578" spans="2:6" x14ac:dyDescent="0.25">
      <c r="B3578" s="33">
        <v>1</v>
      </c>
      <c r="C3578" t="s">
        <v>3</v>
      </c>
      <c r="D3578" t="s">
        <v>180</v>
      </c>
      <c r="E3578">
        <v>2</v>
      </c>
      <c r="F3578" s="2">
        <v>2.7397260273972603E-3</v>
      </c>
    </row>
    <row r="3579" spans="2:6" x14ac:dyDescent="0.25">
      <c r="B3579" s="33">
        <v>1</v>
      </c>
      <c r="C3579" t="s">
        <v>66</v>
      </c>
      <c r="D3579" t="s">
        <v>235</v>
      </c>
      <c r="E3579">
        <v>2</v>
      </c>
      <c r="F3579" s="2">
        <v>2.7397260273972603E-3</v>
      </c>
    </row>
    <row r="3580" spans="2:6" x14ac:dyDescent="0.25">
      <c r="B3580" s="33">
        <v>1</v>
      </c>
      <c r="C3580" t="s">
        <v>64</v>
      </c>
      <c r="D3580" t="s">
        <v>213</v>
      </c>
      <c r="E3580">
        <v>22</v>
      </c>
      <c r="F3580" s="2">
        <v>5.4794520547945206E-3</v>
      </c>
    </row>
    <row r="3581" spans="2:6" x14ac:dyDescent="0.25">
      <c r="B3581" s="33">
        <v>1</v>
      </c>
      <c r="C3581" t="s">
        <v>72</v>
      </c>
      <c r="D3581" t="s">
        <v>209</v>
      </c>
      <c r="E3581">
        <v>0</v>
      </c>
      <c r="F3581" s="2">
        <v>2.7397260273972603E-3</v>
      </c>
    </row>
    <row r="3582" spans="2:6" x14ac:dyDescent="0.25">
      <c r="B3582" s="33">
        <v>1</v>
      </c>
      <c r="C3582" t="s">
        <v>3</v>
      </c>
      <c r="D3582" t="s">
        <v>108</v>
      </c>
      <c r="E3582">
        <v>2</v>
      </c>
      <c r="F3582" s="2">
        <v>2.7397260273972603E-3</v>
      </c>
    </row>
    <row r="3583" spans="2:6" x14ac:dyDescent="0.25">
      <c r="B3583" s="33">
        <v>1</v>
      </c>
      <c r="C3583" t="s">
        <v>77</v>
      </c>
      <c r="D3583" t="s">
        <v>205</v>
      </c>
      <c r="E3583">
        <v>22</v>
      </c>
      <c r="F3583" s="2">
        <v>2.7397260273972603E-3</v>
      </c>
    </row>
    <row r="3584" spans="2:6" x14ac:dyDescent="0.25">
      <c r="B3584" s="33">
        <v>1</v>
      </c>
      <c r="C3584" t="s">
        <v>88</v>
      </c>
      <c r="D3584" t="s">
        <v>201</v>
      </c>
      <c r="E3584">
        <v>4</v>
      </c>
      <c r="F3584" s="2">
        <v>2.7397260273972603E-3</v>
      </c>
    </row>
    <row r="3585" spans="2:6" x14ac:dyDescent="0.25">
      <c r="B3585" s="33">
        <v>1</v>
      </c>
      <c r="C3585" t="s">
        <v>3</v>
      </c>
      <c r="D3585" t="s">
        <v>138</v>
      </c>
      <c r="E3585">
        <v>1</v>
      </c>
      <c r="F3585" s="2">
        <v>2.7397260273972603E-3</v>
      </c>
    </row>
    <row r="3586" spans="2:6" x14ac:dyDescent="0.25">
      <c r="B3586" s="33">
        <v>1</v>
      </c>
      <c r="C3586" t="s">
        <v>69</v>
      </c>
      <c r="D3586" t="s">
        <v>223</v>
      </c>
      <c r="E3586">
        <v>4</v>
      </c>
      <c r="F3586" s="2">
        <v>2.7397260273972603E-3</v>
      </c>
    </row>
    <row r="3587" spans="2:6" x14ac:dyDescent="0.25">
      <c r="B3587" s="33">
        <v>1</v>
      </c>
      <c r="C3587" t="s">
        <v>1</v>
      </c>
      <c r="D3587" t="s">
        <v>216</v>
      </c>
      <c r="E3587">
        <v>8</v>
      </c>
      <c r="F3587" s="2">
        <v>5.4794520547945206E-3</v>
      </c>
    </row>
    <row r="3588" spans="2:6" x14ac:dyDescent="0.25">
      <c r="B3588" s="33">
        <v>1</v>
      </c>
      <c r="C3588" t="s">
        <v>66</v>
      </c>
      <c r="D3588" t="s">
        <v>238</v>
      </c>
      <c r="E3588">
        <v>8</v>
      </c>
      <c r="F3588" s="2">
        <v>5.4794520547945206E-3</v>
      </c>
    </row>
    <row r="3589" spans="2:6" x14ac:dyDescent="0.25">
      <c r="B3589" s="33">
        <v>1</v>
      </c>
      <c r="C3589" t="s">
        <v>69</v>
      </c>
      <c r="D3589" t="s">
        <v>246</v>
      </c>
      <c r="E3589">
        <v>18</v>
      </c>
      <c r="F3589" s="2">
        <v>2.7397260273972603E-3</v>
      </c>
    </row>
    <row r="3590" spans="2:6" x14ac:dyDescent="0.25">
      <c r="B3590" s="33">
        <v>1</v>
      </c>
      <c r="C3590" t="s">
        <v>64</v>
      </c>
      <c r="D3590" t="s">
        <v>165</v>
      </c>
      <c r="E3590">
        <v>6</v>
      </c>
      <c r="F3590" s="2">
        <v>2.7397260273972603E-3</v>
      </c>
    </row>
    <row r="3591" spans="2:6" x14ac:dyDescent="0.25">
      <c r="B3591" s="33">
        <v>1</v>
      </c>
      <c r="C3591" t="s">
        <v>66</v>
      </c>
      <c r="D3591" t="s">
        <v>202</v>
      </c>
      <c r="E3591">
        <v>2</v>
      </c>
      <c r="F3591" s="2">
        <v>2.7397260273972603E-3</v>
      </c>
    </row>
    <row r="3592" spans="2:6" x14ac:dyDescent="0.25">
      <c r="B3592" s="33">
        <v>1</v>
      </c>
      <c r="C3592" t="s">
        <v>2</v>
      </c>
      <c r="D3592" t="s">
        <v>232</v>
      </c>
      <c r="E3592">
        <v>21</v>
      </c>
      <c r="F3592" s="2">
        <v>2.7397260273972603E-3</v>
      </c>
    </row>
    <row r="3593" spans="2:6" x14ac:dyDescent="0.25">
      <c r="B3593" s="33">
        <v>1</v>
      </c>
      <c r="C3593" t="s">
        <v>3</v>
      </c>
      <c r="D3593" t="s">
        <v>207</v>
      </c>
      <c r="E3593">
        <v>0</v>
      </c>
      <c r="F3593" s="2">
        <v>2.7397260273972603E-3</v>
      </c>
    </row>
    <row r="3594" spans="2:6" x14ac:dyDescent="0.25">
      <c r="B3594" s="33">
        <v>1</v>
      </c>
      <c r="C3594" t="s">
        <v>66</v>
      </c>
      <c r="D3594" t="s">
        <v>227</v>
      </c>
      <c r="E3594">
        <v>4</v>
      </c>
      <c r="F3594" s="2">
        <v>2.7397260273972603E-3</v>
      </c>
    </row>
    <row r="3595" spans="2:6" x14ac:dyDescent="0.25">
      <c r="B3595" s="33">
        <v>1</v>
      </c>
      <c r="C3595" t="s">
        <v>64</v>
      </c>
      <c r="D3595" t="s">
        <v>165</v>
      </c>
      <c r="E3595">
        <v>1</v>
      </c>
      <c r="F3595" s="2">
        <v>2.7397260273972603E-3</v>
      </c>
    </row>
    <row r="3596" spans="2:6" x14ac:dyDescent="0.25">
      <c r="B3596" s="33">
        <v>1</v>
      </c>
      <c r="C3596" t="s">
        <v>66</v>
      </c>
      <c r="D3596" t="s">
        <v>238</v>
      </c>
      <c r="E3596">
        <v>11</v>
      </c>
      <c r="F3596" s="2">
        <v>2.7397260273972603E-3</v>
      </c>
    </row>
    <row r="3597" spans="2:6" x14ac:dyDescent="0.25">
      <c r="B3597" s="33">
        <v>1</v>
      </c>
      <c r="C3597" t="s">
        <v>3</v>
      </c>
      <c r="D3597" t="s">
        <v>203</v>
      </c>
      <c r="E3597">
        <v>13</v>
      </c>
      <c r="F3597" s="2">
        <v>5.4794520547945206E-3</v>
      </c>
    </row>
    <row r="3598" spans="2:6" x14ac:dyDescent="0.25">
      <c r="B3598" s="33">
        <v>1</v>
      </c>
      <c r="C3598" t="s">
        <v>88</v>
      </c>
      <c r="D3598" t="s">
        <v>201</v>
      </c>
      <c r="E3598">
        <v>1</v>
      </c>
      <c r="F3598" s="2">
        <v>2.7397260273972603E-3</v>
      </c>
    </row>
    <row r="3599" spans="2:6" x14ac:dyDescent="0.25">
      <c r="B3599" s="33">
        <v>1</v>
      </c>
      <c r="C3599" t="s">
        <v>69</v>
      </c>
      <c r="D3599" t="s">
        <v>183</v>
      </c>
      <c r="E3599">
        <v>23</v>
      </c>
      <c r="F3599" s="2">
        <v>2.7397260273972603E-3</v>
      </c>
    </row>
    <row r="3600" spans="2:6" x14ac:dyDescent="0.25">
      <c r="B3600" s="33">
        <v>1</v>
      </c>
      <c r="C3600" t="s">
        <v>66</v>
      </c>
      <c r="D3600" t="s">
        <v>239</v>
      </c>
      <c r="E3600">
        <v>5</v>
      </c>
      <c r="F3600" s="2">
        <v>2.7397260273972603E-3</v>
      </c>
    </row>
    <row r="3601" spans="2:6" x14ac:dyDescent="0.25">
      <c r="B3601" s="33">
        <v>1</v>
      </c>
      <c r="C3601" t="s">
        <v>69</v>
      </c>
      <c r="D3601" t="s">
        <v>215</v>
      </c>
      <c r="E3601">
        <v>15</v>
      </c>
      <c r="F3601" s="2">
        <v>2.7397260273972603E-3</v>
      </c>
    </row>
    <row r="3602" spans="2:6" x14ac:dyDescent="0.25">
      <c r="B3602" s="33">
        <v>1</v>
      </c>
      <c r="C3602" t="s">
        <v>77</v>
      </c>
      <c r="D3602" t="s">
        <v>193</v>
      </c>
      <c r="E3602">
        <v>14</v>
      </c>
      <c r="F3602" s="2">
        <v>5.4794520547945206E-3</v>
      </c>
    </row>
    <row r="3603" spans="2:6" x14ac:dyDescent="0.25">
      <c r="B3603" s="33">
        <v>1</v>
      </c>
      <c r="C3603" t="s">
        <v>69</v>
      </c>
      <c r="D3603" t="s">
        <v>237</v>
      </c>
      <c r="E3603">
        <v>18</v>
      </c>
      <c r="F3603" s="2">
        <v>2.7397260273972603E-3</v>
      </c>
    </row>
    <row r="3604" spans="2:6" x14ac:dyDescent="0.25">
      <c r="B3604" s="33">
        <v>1</v>
      </c>
      <c r="C3604" t="s">
        <v>3</v>
      </c>
      <c r="D3604" t="s">
        <v>161</v>
      </c>
      <c r="E3604">
        <v>4</v>
      </c>
      <c r="F3604" s="2">
        <v>2.7397260273972603E-3</v>
      </c>
    </row>
    <row r="3605" spans="2:6" x14ac:dyDescent="0.25">
      <c r="B3605" s="33">
        <v>1</v>
      </c>
      <c r="C3605" t="s">
        <v>69</v>
      </c>
      <c r="D3605" t="s">
        <v>243</v>
      </c>
      <c r="E3605">
        <v>8</v>
      </c>
      <c r="F3605" s="2">
        <v>2.7397260273972603E-3</v>
      </c>
    </row>
    <row r="3606" spans="2:6" x14ac:dyDescent="0.25">
      <c r="B3606" s="33">
        <v>1</v>
      </c>
      <c r="C3606" t="s">
        <v>3</v>
      </c>
      <c r="D3606" t="s">
        <v>188</v>
      </c>
      <c r="E3606">
        <v>9</v>
      </c>
      <c r="F3606" s="2">
        <v>5.4794520547945206E-3</v>
      </c>
    </row>
    <row r="3607" spans="2:6" x14ac:dyDescent="0.25">
      <c r="B3607" s="33">
        <v>1</v>
      </c>
      <c r="C3607" t="s">
        <v>4</v>
      </c>
      <c r="D3607" t="s">
        <v>178</v>
      </c>
      <c r="E3607">
        <v>12</v>
      </c>
      <c r="F3607" s="2">
        <v>8.21917808219178E-3</v>
      </c>
    </row>
    <row r="3608" spans="2:6" x14ac:dyDescent="0.25">
      <c r="B3608" s="33">
        <v>1</v>
      </c>
      <c r="C3608" t="s">
        <v>77</v>
      </c>
      <c r="D3608" t="s">
        <v>210</v>
      </c>
      <c r="E3608">
        <v>14</v>
      </c>
      <c r="F3608" s="2">
        <v>5.4794520547945206E-3</v>
      </c>
    </row>
    <row r="3609" spans="2:6" x14ac:dyDescent="0.25">
      <c r="B3609" s="33">
        <v>1</v>
      </c>
      <c r="C3609" t="s">
        <v>66</v>
      </c>
      <c r="D3609" t="s">
        <v>202</v>
      </c>
      <c r="E3609">
        <v>3</v>
      </c>
      <c r="F3609" s="2">
        <v>2.7397260273972603E-3</v>
      </c>
    </row>
    <row r="3610" spans="2:6" x14ac:dyDescent="0.25">
      <c r="B3610" s="33">
        <v>1</v>
      </c>
      <c r="C3610" t="s">
        <v>2</v>
      </c>
      <c r="D3610" t="s">
        <v>242</v>
      </c>
      <c r="E3610">
        <v>11</v>
      </c>
      <c r="F3610" s="2">
        <v>2.7397260273972603E-3</v>
      </c>
    </row>
    <row r="3611" spans="2:6" x14ac:dyDescent="0.25">
      <c r="B3611" s="33">
        <v>1</v>
      </c>
      <c r="C3611" t="s">
        <v>69</v>
      </c>
      <c r="D3611" t="s">
        <v>197</v>
      </c>
      <c r="E3611">
        <v>8</v>
      </c>
      <c r="F3611" s="2">
        <v>2.7397260273972603E-3</v>
      </c>
    </row>
    <row r="3612" spans="2:6" x14ac:dyDescent="0.25">
      <c r="B3612" s="33">
        <v>1</v>
      </c>
      <c r="C3612" t="s">
        <v>2</v>
      </c>
      <c r="D3612" t="s">
        <v>198</v>
      </c>
      <c r="E3612">
        <v>13</v>
      </c>
      <c r="F3612" s="2">
        <v>2.7397260273972603E-3</v>
      </c>
    </row>
    <row r="3613" spans="2:6" x14ac:dyDescent="0.25">
      <c r="B3613" s="33">
        <v>1</v>
      </c>
      <c r="C3613" t="s">
        <v>3</v>
      </c>
      <c r="D3613" t="s">
        <v>226</v>
      </c>
      <c r="E3613">
        <v>13</v>
      </c>
      <c r="F3613" s="2">
        <v>5.4794520547945206E-3</v>
      </c>
    </row>
    <row r="3614" spans="2:6" x14ac:dyDescent="0.25">
      <c r="B3614" s="33">
        <v>1</v>
      </c>
      <c r="C3614" t="s">
        <v>69</v>
      </c>
      <c r="D3614" t="s">
        <v>223</v>
      </c>
      <c r="E3614">
        <v>20</v>
      </c>
      <c r="F3614" s="2">
        <v>2.7397260273972603E-3</v>
      </c>
    </row>
    <row r="3615" spans="2:6" x14ac:dyDescent="0.25">
      <c r="B3615" s="33">
        <v>1</v>
      </c>
      <c r="C3615" t="s">
        <v>77</v>
      </c>
      <c r="D3615" t="s">
        <v>136</v>
      </c>
      <c r="E3615">
        <v>5</v>
      </c>
      <c r="F3615" s="2">
        <v>2.7397260273972603E-3</v>
      </c>
    </row>
    <row r="3616" spans="2:6" x14ac:dyDescent="0.25">
      <c r="B3616" s="33">
        <v>1</v>
      </c>
      <c r="C3616" t="s">
        <v>77</v>
      </c>
      <c r="D3616" t="s">
        <v>224</v>
      </c>
      <c r="E3616">
        <v>15</v>
      </c>
      <c r="F3616" s="2">
        <v>5.4794520547945206E-3</v>
      </c>
    </row>
    <row r="3617" spans="2:6" x14ac:dyDescent="0.25">
      <c r="B3617" s="33">
        <v>1</v>
      </c>
      <c r="C3617" t="s">
        <v>103</v>
      </c>
      <c r="D3617" t="s">
        <v>104</v>
      </c>
      <c r="E3617">
        <v>1</v>
      </c>
      <c r="F3617" s="2">
        <v>1.0958904109589041E-2</v>
      </c>
    </row>
    <row r="3618" spans="2:6" x14ac:dyDescent="0.25">
      <c r="B3618" s="33">
        <v>1</v>
      </c>
      <c r="C3618" t="s">
        <v>3</v>
      </c>
      <c r="D3618" t="s">
        <v>226</v>
      </c>
      <c r="E3618">
        <v>6</v>
      </c>
      <c r="F3618" s="2">
        <v>2.7397260273972603E-3</v>
      </c>
    </row>
    <row r="3619" spans="2:6" x14ac:dyDescent="0.25">
      <c r="B3619" s="33">
        <v>1</v>
      </c>
      <c r="C3619" t="s">
        <v>77</v>
      </c>
      <c r="D3619" t="s">
        <v>210</v>
      </c>
      <c r="E3619">
        <v>21</v>
      </c>
      <c r="F3619" s="2">
        <v>2.7397260273972603E-3</v>
      </c>
    </row>
    <row r="3620" spans="2:6" x14ac:dyDescent="0.25">
      <c r="B3620" s="33">
        <v>1</v>
      </c>
      <c r="C3620" t="s">
        <v>3</v>
      </c>
      <c r="D3620" t="s">
        <v>186</v>
      </c>
      <c r="E3620">
        <v>12</v>
      </c>
      <c r="F3620" s="2">
        <v>5.4794520547945206E-3</v>
      </c>
    </row>
    <row r="3621" spans="2:6" x14ac:dyDescent="0.25">
      <c r="B3621" s="33">
        <v>1</v>
      </c>
      <c r="C3621" t="s">
        <v>66</v>
      </c>
      <c r="D3621" t="s">
        <v>235</v>
      </c>
      <c r="E3621">
        <v>16</v>
      </c>
      <c r="F3621" s="2">
        <v>5.4794520547945206E-3</v>
      </c>
    </row>
    <row r="3622" spans="2:6" x14ac:dyDescent="0.25">
      <c r="B3622" s="33">
        <v>1</v>
      </c>
      <c r="C3622" t="s">
        <v>6</v>
      </c>
      <c r="D3622" t="s">
        <v>43</v>
      </c>
      <c r="E3622">
        <v>2</v>
      </c>
      <c r="F3622" s="2">
        <v>2.7397260273972603E-3</v>
      </c>
    </row>
    <row r="3623" spans="2:6" x14ac:dyDescent="0.25">
      <c r="B3623" s="33">
        <v>1</v>
      </c>
      <c r="C3623" t="s">
        <v>69</v>
      </c>
      <c r="D3623" t="s">
        <v>190</v>
      </c>
      <c r="E3623">
        <v>5</v>
      </c>
      <c r="F3623" s="2">
        <v>2.7397260273972603E-3</v>
      </c>
    </row>
    <row r="3624" spans="2:6" x14ac:dyDescent="0.25">
      <c r="B3624" s="33">
        <v>1</v>
      </c>
      <c r="C3624" t="s">
        <v>74</v>
      </c>
      <c r="D3624" t="s">
        <v>105</v>
      </c>
      <c r="E3624">
        <v>2</v>
      </c>
      <c r="F3624" s="2">
        <v>5.4794520547945206E-3</v>
      </c>
    </row>
    <row r="3625" spans="2:6" x14ac:dyDescent="0.25">
      <c r="B3625" s="33">
        <v>1</v>
      </c>
      <c r="C3625" t="s">
        <v>4</v>
      </c>
      <c r="D3625" t="s">
        <v>106</v>
      </c>
      <c r="E3625">
        <v>2</v>
      </c>
      <c r="F3625" s="2">
        <v>8.21917808219178E-3</v>
      </c>
    </row>
    <row r="3626" spans="2:6" x14ac:dyDescent="0.25">
      <c r="B3626" s="33">
        <v>1</v>
      </c>
      <c r="C3626" t="s">
        <v>69</v>
      </c>
      <c r="D3626" t="s">
        <v>236</v>
      </c>
      <c r="E3626">
        <v>17</v>
      </c>
      <c r="F3626" s="2">
        <v>2.7397260273972603E-3</v>
      </c>
    </row>
    <row r="3627" spans="2:6" x14ac:dyDescent="0.25">
      <c r="B3627" s="33">
        <v>1</v>
      </c>
      <c r="C3627" t="s">
        <v>2</v>
      </c>
      <c r="D3627" t="s">
        <v>102</v>
      </c>
      <c r="E3627">
        <v>1</v>
      </c>
      <c r="F3627" s="2">
        <v>2.1917808219178082E-2</v>
      </c>
    </row>
    <row r="3628" spans="2:6" x14ac:dyDescent="0.25">
      <c r="B3628" s="33">
        <v>1</v>
      </c>
      <c r="C3628" t="s">
        <v>6</v>
      </c>
      <c r="D3628" t="s">
        <v>44</v>
      </c>
      <c r="E3628">
        <v>19</v>
      </c>
      <c r="F3628" s="2">
        <v>2.7397260273972603E-3</v>
      </c>
    </row>
    <row r="3629" spans="2:6" x14ac:dyDescent="0.25">
      <c r="B3629" s="33">
        <v>1</v>
      </c>
      <c r="C3629" t="s">
        <v>66</v>
      </c>
      <c r="D3629" t="s">
        <v>227</v>
      </c>
      <c r="E3629">
        <v>21</v>
      </c>
      <c r="F3629" s="2">
        <v>5.4794520547945206E-3</v>
      </c>
    </row>
    <row r="3630" spans="2:6" x14ac:dyDescent="0.25">
      <c r="B3630" s="33">
        <v>1</v>
      </c>
      <c r="C3630" t="s">
        <v>2</v>
      </c>
      <c r="D3630" t="s">
        <v>170</v>
      </c>
      <c r="E3630">
        <v>3</v>
      </c>
      <c r="F3630" s="2">
        <v>1.3698630136986301E-2</v>
      </c>
    </row>
    <row r="3631" spans="2:6" x14ac:dyDescent="0.25">
      <c r="B3631" s="33">
        <v>1</v>
      </c>
      <c r="C3631" t="s">
        <v>103</v>
      </c>
      <c r="D3631" t="s">
        <v>45</v>
      </c>
      <c r="E3631">
        <v>5</v>
      </c>
      <c r="F3631" s="2">
        <v>2.7397260273972603E-3</v>
      </c>
    </row>
    <row r="3632" spans="2:6" x14ac:dyDescent="0.25">
      <c r="B3632" s="33">
        <v>1</v>
      </c>
      <c r="C3632" t="s">
        <v>69</v>
      </c>
      <c r="D3632" t="s">
        <v>86</v>
      </c>
      <c r="E3632">
        <v>6</v>
      </c>
      <c r="F3632" s="2">
        <v>2.7397260273972603E-3</v>
      </c>
    </row>
    <row r="3633" spans="2:6" x14ac:dyDescent="0.25">
      <c r="B3633" s="33">
        <v>1</v>
      </c>
      <c r="C3633" t="s">
        <v>66</v>
      </c>
      <c r="D3633" t="s">
        <v>235</v>
      </c>
      <c r="E3633">
        <v>3</v>
      </c>
      <c r="F3633" s="2">
        <v>2.7397260273972603E-3</v>
      </c>
    </row>
    <row r="3634" spans="2:6" x14ac:dyDescent="0.25">
      <c r="B3634" s="33">
        <v>1</v>
      </c>
      <c r="C3634" t="s">
        <v>2</v>
      </c>
      <c r="D3634" t="s">
        <v>185</v>
      </c>
      <c r="E3634">
        <v>23</v>
      </c>
      <c r="F3634" s="2">
        <v>2.7397260273972603E-3</v>
      </c>
    </row>
    <row r="3635" spans="2:6" x14ac:dyDescent="0.25">
      <c r="B3635" s="33">
        <v>1</v>
      </c>
      <c r="C3635" t="s">
        <v>3</v>
      </c>
      <c r="D3635" t="s">
        <v>108</v>
      </c>
      <c r="E3635">
        <v>23</v>
      </c>
      <c r="F3635" s="2">
        <v>2.7397260273972603E-3</v>
      </c>
    </row>
    <row r="3636" spans="2:6" x14ac:dyDescent="0.25">
      <c r="B3636" s="33">
        <v>1</v>
      </c>
      <c r="C3636" t="s">
        <v>103</v>
      </c>
      <c r="D3636" t="s">
        <v>158</v>
      </c>
      <c r="E3636">
        <v>23</v>
      </c>
      <c r="F3636" s="2">
        <v>2.7397260273972603E-3</v>
      </c>
    </row>
    <row r="3637" spans="2:6" x14ac:dyDescent="0.25">
      <c r="B3637" s="33">
        <v>1</v>
      </c>
      <c r="C3637" t="s">
        <v>126</v>
      </c>
      <c r="D3637" t="s">
        <v>131</v>
      </c>
      <c r="E3637">
        <v>2</v>
      </c>
      <c r="F3637" s="2">
        <v>8.21917808219178E-3</v>
      </c>
    </row>
    <row r="3638" spans="2:6" x14ac:dyDescent="0.25">
      <c r="B3638" s="33">
        <v>1</v>
      </c>
      <c r="C3638" t="s">
        <v>103</v>
      </c>
      <c r="D3638" t="s">
        <v>137</v>
      </c>
      <c r="E3638">
        <v>5</v>
      </c>
      <c r="F3638" s="2">
        <v>2.7397260273972603E-3</v>
      </c>
    </row>
    <row r="3639" spans="2:6" x14ac:dyDescent="0.25">
      <c r="B3639" s="33">
        <v>1</v>
      </c>
      <c r="C3639" t="s">
        <v>3</v>
      </c>
      <c r="D3639" t="s">
        <v>108</v>
      </c>
      <c r="E3639">
        <v>8</v>
      </c>
      <c r="F3639" s="2">
        <v>5.4794520547945206E-3</v>
      </c>
    </row>
    <row r="3640" spans="2:6" x14ac:dyDescent="0.25">
      <c r="B3640" s="33">
        <v>1</v>
      </c>
      <c r="C3640" t="s">
        <v>2</v>
      </c>
      <c r="D3640" t="s">
        <v>198</v>
      </c>
      <c r="E3640">
        <v>0</v>
      </c>
      <c r="F3640" s="2">
        <v>2.7397260273972603E-3</v>
      </c>
    </row>
    <row r="3641" spans="2:6" x14ac:dyDescent="0.25">
      <c r="B3641" s="33">
        <v>1</v>
      </c>
      <c r="C3641" t="s">
        <v>126</v>
      </c>
      <c r="D3641" t="s">
        <v>131</v>
      </c>
      <c r="E3641">
        <v>5</v>
      </c>
      <c r="F3641" s="2">
        <v>5.4794520547945206E-3</v>
      </c>
    </row>
    <row r="3642" spans="2:6" x14ac:dyDescent="0.25">
      <c r="B3642" s="33">
        <v>1</v>
      </c>
      <c r="C3642" t="s">
        <v>126</v>
      </c>
      <c r="D3642" t="s">
        <v>127</v>
      </c>
      <c r="E3642">
        <v>5</v>
      </c>
      <c r="F3642" s="2">
        <v>5.4794520547945206E-3</v>
      </c>
    </row>
    <row r="3643" spans="2:6" x14ac:dyDescent="0.25">
      <c r="B3643" s="33">
        <v>1</v>
      </c>
      <c r="C3643" t="s">
        <v>3</v>
      </c>
      <c r="D3643" t="s">
        <v>157</v>
      </c>
      <c r="E3643">
        <v>12</v>
      </c>
      <c r="F3643" s="2">
        <v>5.4794520547945206E-3</v>
      </c>
    </row>
    <row r="3644" spans="2:6" x14ac:dyDescent="0.25">
      <c r="B3644" s="33">
        <v>1</v>
      </c>
      <c r="C3644" t="s">
        <v>69</v>
      </c>
      <c r="D3644" t="s">
        <v>215</v>
      </c>
      <c r="E3644">
        <v>20</v>
      </c>
      <c r="F3644" s="2">
        <v>2.7397260273972603E-3</v>
      </c>
    </row>
    <row r="3645" spans="2:6" x14ac:dyDescent="0.25">
      <c r="B3645" s="33">
        <v>1</v>
      </c>
      <c r="C3645" t="s">
        <v>103</v>
      </c>
      <c r="D3645" t="s">
        <v>45</v>
      </c>
      <c r="E3645">
        <v>2</v>
      </c>
      <c r="F3645" s="2">
        <v>5.4794520547945206E-3</v>
      </c>
    </row>
    <row r="3646" spans="2:6" x14ac:dyDescent="0.25">
      <c r="B3646" s="33">
        <v>1</v>
      </c>
      <c r="C3646" t="s">
        <v>1</v>
      </c>
      <c r="D3646" t="s">
        <v>189</v>
      </c>
      <c r="E3646">
        <v>4</v>
      </c>
      <c r="F3646" s="2">
        <v>2.7397260273972603E-3</v>
      </c>
    </row>
    <row r="3647" spans="2:6" x14ac:dyDescent="0.25">
      <c r="B3647" s="33">
        <v>1</v>
      </c>
      <c r="C3647" t="s">
        <v>66</v>
      </c>
      <c r="D3647" t="s">
        <v>227</v>
      </c>
      <c r="E3647">
        <v>12</v>
      </c>
      <c r="F3647" s="2">
        <v>2.7397260273972603E-3</v>
      </c>
    </row>
    <row r="3648" spans="2:6" x14ac:dyDescent="0.25">
      <c r="B3648" s="33">
        <v>1</v>
      </c>
      <c r="C3648" t="s">
        <v>77</v>
      </c>
      <c r="D3648" t="s">
        <v>205</v>
      </c>
      <c r="E3648">
        <v>20</v>
      </c>
      <c r="F3648" s="2">
        <v>2.7397260273972603E-3</v>
      </c>
    </row>
    <row r="3649" spans="2:6" x14ac:dyDescent="0.25">
      <c r="B3649" s="33">
        <v>1</v>
      </c>
      <c r="C3649" t="s">
        <v>77</v>
      </c>
      <c r="D3649" t="s">
        <v>225</v>
      </c>
      <c r="E3649">
        <v>14</v>
      </c>
      <c r="F3649" s="2">
        <v>5.4794520547945206E-3</v>
      </c>
    </row>
    <row r="3650" spans="2:6" x14ac:dyDescent="0.25">
      <c r="B3650" s="33">
        <v>1</v>
      </c>
      <c r="C3650" t="s">
        <v>2</v>
      </c>
      <c r="D3650" t="s">
        <v>118</v>
      </c>
      <c r="E3650">
        <v>18</v>
      </c>
      <c r="F3650" s="2">
        <v>2.7397260273972603E-3</v>
      </c>
    </row>
    <row r="3651" spans="2:6" x14ac:dyDescent="0.25">
      <c r="B3651" s="33">
        <v>1</v>
      </c>
      <c r="C3651" t="s">
        <v>77</v>
      </c>
      <c r="D3651" t="s">
        <v>85</v>
      </c>
      <c r="E3651">
        <v>5</v>
      </c>
      <c r="F3651" s="2">
        <v>2.7397260273972603E-3</v>
      </c>
    </row>
    <row r="3652" spans="2:6" x14ac:dyDescent="0.25">
      <c r="B3652" s="33">
        <v>1</v>
      </c>
      <c r="C3652" t="s">
        <v>66</v>
      </c>
      <c r="D3652" t="s">
        <v>135</v>
      </c>
      <c r="E3652">
        <v>4</v>
      </c>
      <c r="F3652" s="2">
        <v>2.7397260273972603E-3</v>
      </c>
    </row>
    <row r="3653" spans="2:6" x14ac:dyDescent="0.25">
      <c r="B3653" s="33">
        <v>1</v>
      </c>
      <c r="C3653" t="s">
        <v>69</v>
      </c>
      <c r="D3653" t="s">
        <v>124</v>
      </c>
      <c r="E3653">
        <v>6</v>
      </c>
      <c r="F3653" s="2">
        <v>2.7397260273972603E-3</v>
      </c>
    </row>
    <row r="3654" spans="2:6" x14ac:dyDescent="0.25">
      <c r="B3654" s="33">
        <v>1</v>
      </c>
      <c r="C3654" t="s">
        <v>77</v>
      </c>
      <c r="D3654" t="s">
        <v>145</v>
      </c>
      <c r="E3654">
        <v>23</v>
      </c>
      <c r="F3654" s="2">
        <v>2.7397260273972603E-3</v>
      </c>
    </row>
    <row r="3655" spans="2:6" x14ac:dyDescent="0.25">
      <c r="B3655" s="33">
        <v>1</v>
      </c>
      <c r="C3655" t="s">
        <v>126</v>
      </c>
      <c r="D3655" t="s">
        <v>131</v>
      </c>
      <c r="E3655">
        <v>4</v>
      </c>
      <c r="F3655" s="2">
        <v>5.4794520547945206E-3</v>
      </c>
    </row>
    <row r="3656" spans="2:6" x14ac:dyDescent="0.25">
      <c r="B3656" s="33">
        <v>1</v>
      </c>
      <c r="C3656" t="s">
        <v>69</v>
      </c>
      <c r="D3656" t="s">
        <v>230</v>
      </c>
      <c r="E3656">
        <v>21</v>
      </c>
      <c r="F3656" s="2">
        <v>2.7397260273972603E-3</v>
      </c>
    </row>
    <row r="3657" spans="2:6" x14ac:dyDescent="0.25">
      <c r="B3657" s="33">
        <v>1</v>
      </c>
      <c r="C3657" t="s">
        <v>74</v>
      </c>
      <c r="D3657" t="s">
        <v>221</v>
      </c>
      <c r="E3657">
        <v>6</v>
      </c>
      <c r="F3657" s="2">
        <v>2.7397260273972603E-3</v>
      </c>
    </row>
    <row r="3658" spans="2:6" x14ac:dyDescent="0.25">
      <c r="B3658" s="33">
        <v>1</v>
      </c>
      <c r="C3658" t="s">
        <v>69</v>
      </c>
      <c r="D3658" t="s">
        <v>183</v>
      </c>
      <c r="E3658">
        <v>0</v>
      </c>
      <c r="F3658" s="2">
        <v>2.7397260273972603E-3</v>
      </c>
    </row>
    <row r="3659" spans="2:6" x14ac:dyDescent="0.25">
      <c r="B3659" s="33">
        <v>1</v>
      </c>
      <c r="C3659" t="s">
        <v>103</v>
      </c>
      <c r="D3659" t="s">
        <v>158</v>
      </c>
      <c r="E3659">
        <v>4</v>
      </c>
      <c r="F3659" s="2">
        <v>2.7397260273972603E-3</v>
      </c>
    </row>
    <row r="3660" spans="2:6" x14ac:dyDescent="0.25">
      <c r="B3660" s="33">
        <v>1</v>
      </c>
      <c r="C3660" t="s">
        <v>69</v>
      </c>
      <c r="D3660" t="s">
        <v>218</v>
      </c>
      <c r="E3660">
        <v>4</v>
      </c>
      <c r="F3660" s="2">
        <v>2.7397260273972603E-3</v>
      </c>
    </row>
    <row r="3661" spans="2:6" x14ac:dyDescent="0.25">
      <c r="B3661" s="33">
        <v>1</v>
      </c>
      <c r="C3661" t="s">
        <v>77</v>
      </c>
      <c r="D3661" t="s">
        <v>78</v>
      </c>
      <c r="E3661">
        <v>22</v>
      </c>
      <c r="F3661" s="2">
        <v>2.7397260273972603E-3</v>
      </c>
    </row>
    <row r="3662" spans="2:6" x14ac:dyDescent="0.25">
      <c r="B3662" s="33">
        <v>1</v>
      </c>
      <c r="C3662" t="s">
        <v>66</v>
      </c>
      <c r="D3662" t="s">
        <v>235</v>
      </c>
      <c r="E3662">
        <v>20</v>
      </c>
      <c r="F3662" s="2">
        <v>2.7397260273972603E-3</v>
      </c>
    </row>
    <row r="3663" spans="2:6" x14ac:dyDescent="0.25">
      <c r="B3663" s="33">
        <v>1</v>
      </c>
      <c r="C3663" t="s">
        <v>3</v>
      </c>
      <c r="D3663" t="s">
        <v>173</v>
      </c>
      <c r="E3663">
        <v>3</v>
      </c>
      <c r="F3663" s="2">
        <v>2.7397260273972603E-3</v>
      </c>
    </row>
    <row r="3664" spans="2:6" x14ac:dyDescent="0.25">
      <c r="B3664" s="33">
        <v>1</v>
      </c>
      <c r="C3664" t="s">
        <v>3</v>
      </c>
      <c r="D3664" t="s">
        <v>180</v>
      </c>
      <c r="E3664">
        <v>3</v>
      </c>
      <c r="F3664" s="2">
        <v>2.7397260273972603E-3</v>
      </c>
    </row>
    <row r="3665" spans="2:6" x14ac:dyDescent="0.25">
      <c r="B3665" s="33">
        <v>1</v>
      </c>
      <c r="C3665" t="s">
        <v>6</v>
      </c>
      <c r="D3665" t="s">
        <v>44</v>
      </c>
      <c r="E3665">
        <v>20</v>
      </c>
      <c r="F3665" s="2">
        <v>2.7397260273972603E-3</v>
      </c>
    </row>
    <row r="3666" spans="2:6" x14ac:dyDescent="0.25">
      <c r="B3666" s="33">
        <v>1</v>
      </c>
      <c r="C3666" t="s">
        <v>66</v>
      </c>
      <c r="D3666" t="s">
        <v>238</v>
      </c>
      <c r="E3666">
        <v>0</v>
      </c>
      <c r="F3666" s="2">
        <v>2.7397260273972603E-3</v>
      </c>
    </row>
    <row r="3667" spans="2:6" x14ac:dyDescent="0.25">
      <c r="B3667" s="33">
        <v>1</v>
      </c>
      <c r="C3667" t="s">
        <v>69</v>
      </c>
      <c r="D3667" t="s">
        <v>128</v>
      </c>
      <c r="E3667">
        <v>2</v>
      </c>
      <c r="F3667" s="2">
        <v>2.7397260273972603E-3</v>
      </c>
    </row>
    <row r="3668" spans="2:6" x14ac:dyDescent="0.25">
      <c r="B3668" s="33">
        <v>1</v>
      </c>
      <c r="C3668" t="s">
        <v>69</v>
      </c>
      <c r="D3668" t="s">
        <v>228</v>
      </c>
      <c r="E3668">
        <v>8</v>
      </c>
      <c r="F3668" s="2">
        <v>2.7397260273972603E-3</v>
      </c>
    </row>
    <row r="3669" spans="2:6" x14ac:dyDescent="0.25">
      <c r="B3669" s="33">
        <v>1</v>
      </c>
      <c r="C3669" t="s">
        <v>77</v>
      </c>
      <c r="D3669" t="s">
        <v>177</v>
      </c>
      <c r="E3669">
        <v>14</v>
      </c>
      <c r="F3669" s="2">
        <v>2.7397260273972603E-3</v>
      </c>
    </row>
    <row r="3670" spans="2:6" x14ac:dyDescent="0.25">
      <c r="B3670" s="33">
        <v>1</v>
      </c>
      <c r="C3670" t="s">
        <v>2</v>
      </c>
      <c r="D3670" t="s">
        <v>242</v>
      </c>
      <c r="E3670">
        <v>19</v>
      </c>
      <c r="F3670" s="2">
        <v>2.7397260273972603E-3</v>
      </c>
    </row>
    <row r="3671" spans="2:6" x14ac:dyDescent="0.25">
      <c r="B3671" s="33">
        <v>1</v>
      </c>
      <c r="C3671" t="s">
        <v>69</v>
      </c>
      <c r="D3671" t="s">
        <v>237</v>
      </c>
      <c r="E3671">
        <v>0</v>
      </c>
      <c r="F3671" s="2">
        <v>2.7397260273972603E-3</v>
      </c>
    </row>
    <row r="3672" spans="2:6" x14ac:dyDescent="0.25">
      <c r="B3672" s="33">
        <v>1</v>
      </c>
      <c r="C3672" t="s">
        <v>69</v>
      </c>
      <c r="D3672" t="s">
        <v>154</v>
      </c>
      <c r="E3672">
        <v>5</v>
      </c>
      <c r="F3672" s="2">
        <v>2.7397260273972603E-3</v>
      </c>
    </row>
    <row r="3673" spans="2:6" x14ac:dyDescent="0.25">
      <c r="B3673" s="33">
        <v>1</v>
      </c>
      <c r="C3673" t="s">
        <v>4</v>
      </c>
      <c r="D3673" t="s">
        <v>153</v>
      </c>
      <c r="E3673">
        <v>2</v>
      </c>
      <c r="F3673" s="2">
        <v>2.7397260273972603E-3</v>
      </c>
    </row>
    <row r="3674" spans="2:6" x14ac:dyDescent="0.25">
      <c r="B3674" s="33">
        <v>1</v>
      </c>
      <c r="C3674" t="s">
        <v>88</v>
      </c>
      <c r="D3674" t="s">
        <v>201</v>
      </c>
      <c r="E3674">
        <v>3</v>
      </c>
      <c r="F3674" s="2">
        <v>2.7397260273972603E-3</v>
      </c>
    </row>
    <row r="3675" spans="2:6" x14ac:dyDescent="0.25">
      <c r="B3675" s="33">
        <v>1</v>
      </c>
      <c r="C3675" t="s">
        <v>3</v>
      </c>
      <c r="D3675" t="s">
        <v>226</v>
      </c>
      <c r="E3675">
        <v>20</v>
      </c>
      <c r="F3675" s="2">
        <v>2.7397260273972603E-3</v>
      </c>
    </row>
    <row r="3676" spans="2:6" x14ac:dyDescent="0.25">
      <c r="B3676" s="33">
        <v>1</v>
      </c>
      <c r="C3676" t="s">
        <v>64</v>
      </c>
      <c r="D3676" t="s">
        <v>121</v>
      </c>
      <c r="E3676">
        <v>4</v>
      </c>
      <c r="F3676" s="2">
        <v>2.7397260273972603E-3</v>
      </c>
    </row>
    <row r="3677" spans="2:6" x14ac:dyDescent="0.25">
      <c r="B3677" s="33">
        <v>1</v>
      </c>
      <c r="C3677" t="s">
        <v>69</v>
      </c>
      <c r="D3677" t="s">
        <v>199</v>
      </c>
      <c r="E3677">
        <v>1</v>
      </c>
      <c r="F3677" s="2">
        <v>2.7397260273972603E-3</v>
      </c>
    </row>
    <row r="3678" spans="2:6" x14ac:dyDescent="0.25">
      <c r="B3678" s="33">
        <v>1</v>
      </c>
      <c r="C3678" t="s">
        <v>66</v>
      </c>
      <c r="D3678" t="s">
        <v>122</v>
      </c>
      <c r="E3678">
        <v>3</v>
      </c>
      <c r="F3678" s="2">
        <v>2.7397260273972603E-3</v>
      </c>
    </row>
    <row r="3679" spans="2:6" x14ac:dyDescent="0.25">
      <c r="B3679" s="33">
        <v>1</v>
      </c>
      <c r="C3679" t="s">
        <v>3</v>
      </c>
      <c r="D3679" t="s">
        <v>191</v>
      </c>
      <c r="E3679">
        <v>5</v>
      </c>
      <c r="F3679" s="2">
        <v>2.7397260273972603E-3</v>
      </c>
    </row>
    <row r="3680" spans="2:6" x14ac:dyDescent="0.25">
      <c r="B3680" s="33">
        <v>1</v>
      </c>
      <c r="C3680" t="s">
        <v>77</v>
      </c>
      <c r="D3680" t="s">
        <v>210</v>
      </c>
      <c r="E3680">
        <v>4</v>
      </c>
      <c r="F3680" s="2">
        <v>2.7397260273972603E-3</v>
      </c>
    </row>
    <row r="3681" spans="2:6" x14ac:dyDescent="0.25">
      <c r="B3681" s="33">
        <v>1</v>
      </c>
      <c r="C3681" t="s">
        <v>2</v>
      </c>
      <c r="D3681" t="s">
        <v>242</v>
      </c>
      <c r="E3681">
        <v>13</v>
      </c>
      <c r="F3681" s="2">
        <v>2.7397260273972603E-3</v>
      </c>
    </row>
    <row r="3682" spans="2:6" x14ac:dyDescent="0.25">
      <c r="B3682" s="33">
        <v>1</v>
      </c>
      <c r="C3682" t="s">
        <v>69</v>
      </c>
      <c r="D3682" t="s">
        <v>113</v>
      </c>
      <c r="E3682">
        <v>5</v>
      </c>
      <c r="F3682" s="2">
        <v>2.7397260273972603E-3</v>
      </c>
    </row>
    <row r="3683" spans="2:6" x14ac:dyDescent="0.25">
      <c r="B3683" s="33">
        <v>1</v>
      </c>
      <c r="C3683" t="s">
        <v>66</v>
      </c>
      <c r="D3683" t="s">
        <v>219</v>
      </c>
      <c r="E3683">
        <v>10</v>
      </c>
      <c r="F3683" s="2">
        <v>2.7397260273972603E-3</v>
      </c>
    </row>
    <row r="3684" spans="2:6" x14ac:dyDescent="0.25">
      <c r="B3684" s="33">
        <v>1</v>
      </c>
      <c r="C3684" t="s">
        <v>126</v>
      </c>
      <c r="D3684" t="s">
        <v>169</v>
      </c>
      <c r="E3684">
        <v>22</v>
      </c>
      <c r="F3684" s="2">
        <v>2.7397260273972603E-3</v>
      </c>
    </row>
    <row r="3685" spans="2:6" x14ac:dyDescent="0.25">
      <c r="B3685" s="33">
        <v>1</v>
      </c>
      <c r="C3685" t="s">
        <v>6</v>
      </c>
      <c r="D3685" t="s">
        <v>25</v>
      </c>
      <c r="E3685">
        <v>6</v>
      </c>
      <c r="F3685" s="2">
        <v>2.7397260273972603E-3</v>
      </c>
    </row>
    <row r="3686" spans="2:6" x14ac:dyDescent="0.25">
      <c r="B3686" s="33">
        <v>1</v>
      </c>
      <c r="C3686" t="s">
        <v>77</v>
      </c>
      <c r="D3686" t="s">
        <v>204</v>
      </c>
      <c r="E3686">
        <v>5</v>
      </c>
      <c r="F3686" s="2">
        <v>2.7397260273972603E-3</v>
      </c>
    </row>
    <row r="3687" spans="2:6" x14ac:dyDescent="0.25">
      <c r="B3687" s="33">
        <v>1</v>
      </c>
      <c r="C3687" t="s">
        <v>103</v>
      </c>
      <c r="D3687" t="s">
        <v>194</v>
      </c>
      <c r="E3687">
        <v>2</v>
      </c>
      <c r="F3687" s="2">
        <v>2.7397260273972603E-3</v>
      </c>
    </row>
    <row r="3688" spans="2:6" x14ac:dyDescent="0.25">
      <c r="B3688" s="33">
        <v>1</v>
      </c>
      <c r="C3688" t="s">
        <v>103</v>
      </c>
      <c r="D3688" t="s">
        <v>104</v>
      </c>
      <c r="E3688">
        <v>2</v>
      </c>
      <c r="F3688" s="2">
        <v>5.4794520547945206E-3</v>
      </c>
    </row>
    <row r="3689" spans="2:6" x14ac:dyDescent="0.25">
      <c r="B3689" s="33">
        <v>1</v>
      </c>
      <c r="C3689" t="s">
        <v>77</v>
      </c>
      <c r="D3689" t="s">
        <v>204</v>
      </c>
      <c r="E3689">
        <v>6</v>
      </c>
      <c r="F3689" s="2">
        <v>2.7397260273972603E-3</v>
      </c>
    </row>
    <row r="3690" spans="2:6" x14ac:dyDescent="0.25">
      <c r="B3690" s="33">
        <v>1</v>
      </c>
      <c r="C3690" t="s">
        <v>3</v>
      </c>
      <c r="D3690" t="s">
        <v>161</v>
      </c>
      <c r="E3690">
        <v>13</v>
      </c>
      <c r="F3690" s="2">
        <v>2.7397260273972603E-3</v>
      </c>
    </row>
    <row r="3691" spans="2:6" x14ac:dyDescent="0.25">
      <c r="B3691" s="33">
        <v>1</v>
      </c>
      <c r="C3691" t="s">
        <v>69</v>
      </c>
      <c r="D3691" t="s">
        <v>199</v>
      </c>
      <c r="E3691">
        <v>23</v>
      </c>
      <c r="F3691" s="2">
        <v>2.7397260273972603E-3</v>
      </c>
    </row>
    <row r="3692" spans="2:6" x14ac:dyDescent="0.25">
      <c r="B3692" s="33">
        <v>1</v>
      </c>
      <c r="C3692" t="s">
        <v>77</v>
      </c>
      <c r="D3692" t="s">
        <v>224</v>
      </c>
      <c r="E3692">
        <v>5</v>
      </c>
      <c r="F3692" s="2">
        <v>2.7397260273972603E-3</v>
      </c>
    </row>
    <row r="3693" spans="2:6" x14ac:dyDescent="0.25">
      <c r="B3693" s="33">
        <v>1</v>
      </c>
      <c r="C3693" t="s">
        <v>77</v>
      </c>
      <c r="D3693" t="s">
        <v>98</v>
      </c>
      <c r="E3693">
        <v>5</v>
      </c>
      <c r="F3693" s="2">
        <v>2.7397260273972603E-3</v>
      </c>
    </row>
    <row r="3694" spans="2:6" x14ac:dyDescent="0.25">
      <c r="B3694" s="33">
        <v>1</v>
      </c>
      <c r="C3694" t="s">
        <v>69</v>
      </c>
      <c r="D3694" t="s">
        <v>197</v>
      </c>
      <c r="E3694">
        <v>12</v>
      </c>
      <c r="F3694" s="2">
        <v>2.7397260273972603E-3</v>
      </c>
    </row>
    <row r="3695" spans="2:6" x14ac:dyDescent="0.25">
      <c r="B3695" s="33">
        <v>1</v>
      </c>
      <c r="C3695" t="s">
        <v>74</v>
      </c>
      <c r="D3695" t="s">
        <v>221</v>
      </c>
      <c r="E3695">
        <v>1</v>
      </c>
      <c r="F3695" s="2">
        <v>2.7397260273972603E-3</v>
      </c>
    </row>
    <row r="3696" spans="2:6" x14ac:dyDescent="0.25">
      <c r="B3696" s="33">
        <v>1</v>
      </c>
      <c r="C3696" t="s">
        <v>3</v>
      </c>
      <c r="D3696" t="s">
        <v>188</v>
      </c>
      <c r="E3696">
        <v>1</v>
      </c>
      <c r="F3696" s="2">
        <v>2.7397260273972603E-3</v>
      </c>
    </row>
    <row r="3697" spans="2:6" x14ac:dyDescent="0.25">
      <c r="B3697" s="33">
        <v>1</v>
      </c>
      <c r="C3697" t="s">
        <v>126</v>
      </c>
      <c r="D3697" t="s">
        <v>169</v>
      </c>
      <c r="E3697">
        <v>7</v>
      </c>
      <c r="F3697" s="2">
        <v>2.7397260273972603E-3</v>
      </c>
    </row>
    <row r="3698" spans="2:6" x14ac:dyDescent="0.25">
      <c r="B3698" s="33">
        <v>1</v>
      </c>
      <c r="C3698" t="s">
        <v>69</v>
      </c>
      <c r="D3698" t="s">
        <v>231</v>
      </c>
      <c r="E3698">
        <v>12</v>
      </c>
      <c r="F3698" s="2">
        <v>2.7397260273972603E-3</v>
      </c>
    </row>
    <row r="3699" spans="2:6" x14ac:dyDescent="0.25">
      <c r="B3699" s="33">
        <v>1</v>
      </c>
      <c r="C3699" t="s">
        <v>64</v>
      </c>
      <c r="D3699" t="s">
        <v>165</v>
      </c>
      <c r="E3699">
        <v>5</v>
      </c>
      <c r="F3699" s="2">
        <v>2.7397260273972603E-3</v>
      </c>
    </row>
    <row r="3700" spans="2:6" x14ac:dyDescent="0.25">
      <c r="B3700" s="33">
        <v>1</v>
      </c>
      <c r="C3700" t="s">
        <v>77</v>
      </c>
      <c r="D3700" t="s">
        <v>98</v>
      </c>
      <c r="E3700">
        <v>10</v>
      </c>
      <c r="F3700" s="2">
        <v>2.7397260273972603E-3</v>
      </c>
    </row>
    <row r="3701" spans="2:6" x14ac:dyDescent="0.25">
      <c r="B3701" s="33">
        <v>1</v>
      </c>
      <c r="C3701" t="s">
        <v>69</v>
      </c>
      <c r="D3701" t="s">
        <v>183</v>
      </c>
      <c r="E3701">
        <v>12</v>
      </c>
      <c r="F3701" s="2">
        <v>2.7397260273972603E-3</v>
      </c>
    </row>
    <row r="3702" spans="2:6" x14ac:dyDescent="0.25">
      <c r="B3702" s="33">
        <v>1</v>
      </c>
      <c r="C3702" t="s">
        <v>4</v>
      </c>
      <c r="D3702" t="s">
        <v>178</v>
      </c>
      <c r="E3702">
        <v>23</v>
      </c>
      <c r="F3702" s="2">
        <v>2.7397260273972603E-3</v>
      </c>
    </row>
    <row r="3703" spans="2:6" x14ac:dyDescent="0.25">
      <c r="B3703" s="33">
        <v>1</v>
      </c>
      <c r="C3703" t="s">
        <v>69</v>
      </c>
      <c r="D3703" t="s">
        <v>234</v>
      </c>
      <c r="E3703">
        <v>15</v>
      </c>
      <c r="F3703" s="2">
        <v>2.7397260273972603E-3</v>
      </c>
    </row>
    <row r="3704" spans="2:6" x14ac:dyDescent="0.25">
      <c r="B3704" s="33">
        <v>1</v>
      </c>
      <c r="C3704" t="s">
        <v>69</v>
      </c>
      <c r="D3704" t="s">
        <v>241</v>
      </c>
      <c r="E3704">
        <v>13</v>
      </c>
      <c r="F3704" s="2">
        <v>2.7397260273972603E-3</v>
      </c>
    </row>
    <row r="3705" spans="2:6" x14ac:dyDescent="0.25">
      <c r="B3705" s="33">
        <v>1</v>
      </c>
      <c r="C3705" t="s">
        <v>64</v>
      </c>
      <c r="D3705" t="s">
        <v>222</v>
      </c>
      <c r="E3705">
        <v>16</v>
      </c>
      <c r="F3705" s="2">
        <v>5.4794520547945206E-3</v>
      </c>
    </row>
    <row r="3706" spans="2:6" x14ac:dyDescent="0.25">
      <c r="B3706" s="33">
        <v>1</v>
      </c>
      <c r="C3706" t="s">
        <v>3</v>
      </c>
      <c r="D3706" t="s">
        <v>186</v>
      </c>
      <c r="E3706">
        <v>23</v>
      </c>
      <c r="F3706" s="2">
        <v>2.7397260273972603E-3</v>
      </c>
    </row>
    <row r="3707" spans="2:6" x14ac:dyDescent="0.25">
      <c r="B3707" s="33">
        <v>1</v>
      </c>
      <c r="C3707" t="s">
        <v>3</v>
      </c>
      <c r="D3707" t="s">
        <v>186</v>
      </c>
      <c r="E3707">
        <v>1</v>
      </c>
      <c r="F3707" s="2">
        <v>2.7397260273972603E-3</v>
      </c>
    </row>
    <row r="3708" spans="2:6" x14ac:dyDescent="0.25">
      <c r="B3708" s="33">
        <v>1</v>
      </c>
      <c r="C3708" t="s">
        <v>3</v>
      </c>
      <c r="D3708" t="s">
        <v>229</v>
      </c>
      <c r="E3708">
        <v>10</v>
      </c>
      <c r="F3708" s="2">
        <v>2.7397260273972603E-3</v>
      </c>
    </row>
    <row r="3709" spans="2:6" x14ac:dyDescent="0.25">
      <c r="B3709" s="33">
        <v>1</v>
      </c>
      <c r="C3709" t="s">
        <v>77</v>
      </c>
      <c r="D3709" t="s">
        <v>142</v>
      </c>
      <c r="E3709">
        <v>6</v>
      </c>
      <c r="F3709" s="2">
        <v>2.7397260273972603E-3</v>
      </c>
    </row>
    <row r="3710" spans="2:6" x14ac:dyDescent="0.25">
      <c r="B3710" s="33">
        <v>1</v>
      </c>
      <c r="C3710" t="s">
        <v>4</v>
      </c>
      <c r="D3710" t="s">
        <v>178</v>
      </c>
      <c r="E3710">
        <v>3</v>
      </c>
      <c r="F3710" s="2">
        <v>5.4794520547945206E-3</v>
      </c>
    </row>
    <row r="3711" spans="2:6" x14ac:dyDescent="0.25">
      <c r="B3711" s="33">
        <v>1</v>
      </c>
      <c r="C3711" t="s">
        <v>69</v>
      </c>
      <c r="D3711" t="s">
        <v>128</v>
      </c>
      <c r="E3711">
        <v>23</v>
      </c>
      <c r="F3711" s="2">
        <v>2.7397260273972603E-3</v>
      </c>
    </row>
    <row r="3712" spans="2:6" x14ac:dyDescent="0.25">
      <c r="B3712" s="33">
        <v>1</v>
      </c>
      <c r="C3712" t="s">
        <v>69</v>
      </c>
      <c r="D3712" t="s">
        <v>113</v>
      </c>
      <c r="E3712">
        <v>6</v>
      </c>
      <c r="F3712" s="2">
        <v>2.7397260273972603E-3</v>
      </c>
    </row>
    <row r="3713" spans="2:6" x14ac:dyDescent="0.25">
      <c r="B3713" s="33">
        <v>1</v>
      </c>
      <c r="C3713" t="s">
        <v>69</v>
      </c>
      <c r="D3713" t="s">
        <v>231</v>
      </c>
      <c r="E3713">
        <v>19</v>
      </c>
      <c r="F3713" s="2">
        <v>2.7397260273972603E-3</v>
      </c>
    </row>
    <row r="3714" spans="2:6" x14ac:dyDescent="0.25">
      <c r="B3714" s="33">
        <v>1</v>
      </c>
      <c r="C3714" t="s">
        <v>77</v>
      </c>
      <c r="D3714" t="s">
        <v>210</v>
      </c>
      <c r="E3714">
        <v>3</v>
      </c>
      <c r="F3714" s="2">
        <v>2.7397260273972603E-3</v>
      </c>
    </row>
    <row r="3715" spans="2:6" x14ac:dyDescent="0.25">
      <c r="B3715" s="33">
        <v>1</v>
      </c>
      <c r="C3715" t="s">
        <v>77</v>
      </c>
      <c r="D3715" t="s">
        <v>193</v>
      </c>
      <c r="E3715">
        <v>23</v>
      </c>
      <c r="F3715" s="2">
        <v>2.7397260273972603E-3</v>
      </c>
    </row>
    <row r="3716" spans="2:6" x14ac:dyDescent="0.25">
      <c r="B3716" s="33">
        <v>1</v>
      </c>
      <c r="C3716" t="s">
        <v>0</v>
      </c>
      <c r="D3716" t="s">
        <v>133</v>
      </c>
      <c r="E3716">
        <v>5</v>
      </c>
      <c r="F3716" s="2">
        <v>5.4794520547945206E-3</v>
      </c>
    </row>
    <row r="3717" spans="2:6" x14ac:dyDescent="0.25">
      <c r="B3717" s="33">
        <v>1</v>
      </c>
      <c r="C3717" t="s">
        <v>1</v>
      </c>
      <c r="D3717" t="s">
        <v>155</v>
      </c>
      <c r="E3717">
        <v>2</v>
      </c>
      <c r="F3717" s="2">
        <v>2.7397260273972603E-3</v>
      </c>
    </row>
    <row r="3718" spans="2:6" x14ac:dyDescent="0.25">
      <c r="B3718" s="33">
        <v>1</v>
      </c>
      <c r="C3718" t="s">
        <v>77</v>
      </c>
      <c r="D3718" t="s">
        <v>162</v>
      </c>
      <c r="E3718">
        <v>5</v>
      </c>
      <c r="F3718" s="2">
        <v>2.7397260273972603E-3</v>
      </c>
    </row>
    <row r="3719" spans="2:6" x14ac:dyDescent="0.25">
      <c r="B3719" s="33">
        <v>1</v>
      </c>
      <c r="C3719" t="s">
        <v>77</v>
      </c>
      <c r="D3719" t="s">
        <v>146</v>
      </c>
      <c r="E3719">
        <v>6</v>
      </c>
      <c r="F3719" s="2">
        <v>2.7397260273972603E-3</v>
      </c>
    </row>
    <row r="3720" spans="2:6" x14ac:dyDescent="0.25">
      <c r="B3720" s="33">
        <v>1</v>
      </c>
      <c r="C3720" t="s">
        <v>69</v>
      </c>
      <c r="D3720" t="s">
        <v>237</v>
      </c>
      <c r="E3720">
        <v>9</v>
      </c>
      <c r="F3720" s="2">
        <v>2.7397260273972603E-3</v>
      </c>
    </row>
    <row r="3721" spans="2:6" x14ac:dyDescent="0.25">
      <c r="B3721" s="33">
        <v>1</v>
      </c>
      <c r="C3721" t="s">
        <v>69</v>
      </c>
      <c r="D3721" t="s">
        <v>159</v>
      </c>
      <c r="E3721">
        <v>21</v>
      </c>
      <c r="F3721" s="2">
        <v>2.7397260273972603E-3</v>
      </c>
    </row>
    <row r="3722" spans="2:6" x14ac:dyDescent="0.25">
      <c r="B3722" s="33">
        <v>1</v>
      </c>
      <c r="C3722" t="s">
        <v>77</v>
      </c>
      <c r="D3722" t="s">
        <v>210</v>
      </c>
      <c r="E3722">
        <v>6</v>
      </c>
      <c r="F3722" s="2">
        <v>2.7397260273972603E-3</v>
      </c>
    </row>
    <row r="3723" spans="2:6" x14ac:dyDescent="0.25">
      <c r="B3723" s="33">
        <v>1</v>
      </c>
      <c r="C3723" t="s">
        <v>126</v>
      </c>
      <c r="D3723" t="s">
        <v>147</v>
      </c>
      <c r="E3723">
        <v>4</v>
      </c>
      <c r="F3723" s="2">
        <v>2.7397260273972603E-3</v>
      </c>
    </row>
    <row r="3724" spans="2:6" x14ac:dyDescent="0.25">
      <c r="B3724" s="33">
        <v>1</v>
      </c>
      <c r="C3724" t="s">
        <v>66</v>
      </c>
      <c r="D3724" t="s">
        <v>239</v>
      </c>
      <c r="E3724">
        <v>13</v>
      </c>
      <c r="F3724" s="2">
        <v>2.7397260273972603E-3</v>
      </c>
    </row>
    <row r="3725" spans="2:6" x14ac:dyDescent="0.25">
      <c r="B3725" s="33">
        <v>1</v>
      </c>
      <c r="C3725" t="s">
        <v>77</v>
      </c>
      <c r="D3725" t="s">
        <v>83</v>
      </c>
      <c r="E3725">
        <v>6</v>
      </c>
      <c r="F3725" s="2">
        <v>2.7397260273972603E-3</v>
      </c>
    </row>
    <row r="3726" spans="2:6" x14ac:dyDescent="0.25">
      <c r="B3726" s="33">
        <v>1</v>
      </c>
      <c r="C3726" t="s">
        <v>64</v>
      </c>
      <c r="D3726" t="s">
        <v>213</v>
      </c>
      <c r="E3726">
        <v>14</v>
      </c>
      <c r="F3726" s="2">
        <v>5.4794520547945206E-3</v>
      </c>
    </row>
    <row r="3727" spans="2:6" x14ac:dyDescent="0.25">
      <c r="B3727" s="33">
        <v>1</v>
      </c>
      <c r="C3727" t="s">
        <v>69</v>
      </c>
      <c r="D3727" t="s">
        <v>218</v>
      </c>
      <c r="E3727">
        <v>3</v>
      </c>
      <c r="F3727" s="2">
        <v>2.7397260273972603E-3</v>
      </c>
    </row>
    <row r="3728" spans="2:6" x14ac:dyDescent="0.25">
      <c r="B3728" s="33">
        <v>1</v>
      </c>
      <c r="C3728" t="s">
        <v>126</v>
      </c>
      <c r="D3728" t="s">
        <v>171</v>
      </c>
      <c r="E3728">
        <v>12</v>
      </c>
      <c r="F3728" s="2">
        <v>8.21917808219178E-3</v>
      </c>
    </row>
    <row r="3729" spans="2:6" x14ac:dyDescent="0.25">
      <c r="B3729" s="33">
        <v>1</v>
      </c>
      <c r="C3729" t="s">
        <v>69</v>
      </c>
      <c r="D3729" t="s">
        <v>132</v>
      </c>
      <c r="E3729">
        <v>4</v>
      </c>
      <c r="F3729" s="2">
        <v>2.7397260273972603E-3</v>
      </c>
    </row>
    <row r="3730" spans="2:6" x14ac:dyDescent="0.25">
      <c r="B3730" s="33">
        <v>1</v>
      </c>
      <c r="C3730" t="s">
        <v>69</v>
      </c>
      <c r="D3730" t="s">
        <v>181</v>
      </c>
      <c r="E3730">
        <v>14</v>
      </c>
      <c r="F3730" s="2">
        <v>2.7397260273972603E-3</v>
      </c>
    </row>
    <row r="3731" spans="2:6" x14ac:dyDescent="0.25">
      <c r="B3731" s="33">
        <v>1</v>
      </c>
      <c r="C3731" t="s">
        <v>64</v>
      </c>
      <c r="D3731" t="s">
        <v>222</v>
      </c>
      <c r="E3731">
        <v>14</v>
      </c>
      <c r="F3731" s="2">
        <v>2.7397260273972603E-3</v>
      </c>
    </row>
    <row r="3732" spans="2:6" x14ac:dyDescent="0.25">
      <c r="B3732" s="33">
        <v>1</v>
      </c>
      <c r="C3732" t="s">
        <v>66</v>
      </c>
      <c r="D3732" t="s">
        <v>227</v>
      </c>
      <c r="E3732">
        <v>0</v>
      </c>
      <c r="F3732" s="2">
        <v>2.7397260273972603E-3</v>
      </c>
    </row>
    <row r="3733" spans="2:6" x14ac:dyDescent="0.25">
      <c r="B3733" s="33">
        <v>1</v>
      </c>
      <c r="C3733" t="s">
        <v>69</v>
      </c>
      <c r="D3733" t="s">
        <v>243</v>
      </c>
      <c r="E3733">
        <v>22</v>
      </c>
      <c r="F3733" s="2">
        <v>2.7397260273972603E-3</v>
      </c>
    </row>
    <row r="3734" spans="2:6" x14ac:dyDescent="0.25">
      <c r="B3734" s="33">
        <v>1</v>
      </c>
      <c r="C3734" t="s">
        <v>69</v>
      </c>
      <c r="D3734" t="s">
        <v>197</v>
      </c>
      <c r="E3734">
        <v>20</v>
      </c>
      <c r="F3734" s="2">
        <v>2.7397260273972603E-3</v>
      </c>
    </row>
    <row r="3735" spans="2:6" x14ac:dyDescent="0.25">
      <c r="B3735" s="33">
        <v>1</v>
      </c>
      <c r="C3735" t="s">
        <v>1</v>
      </c>
      <c r="D3735" t="s">
        <v>189</v>
      </c>
      <c r="E3735">
        <v>5</v>
      </c>
      <c r="F3735" s="2">
        <v>2.7397260273972603E-3</v>
      </c>
    </row>
    <row r="3736" spans="2:6" x14ac:dyDescent="0.25">
      <c r="B3736" s="33">
        <v>1</v>
      </c>
      <c r="C3736" t="s">
        <v>3</v>
      </c>
      <c r="D3736" t="s">
        <v>195</v>
      </c>
      <c r="E3736">
        <v>17</v>
      </c>
      <c r="F3736" s="2">
        <v>2.7397260273972603E-3</v>
      </c>
    </row>
    <row r="3737" spans="2:6" x14ac:dyDescent="0.25">
      <c r="B3737" s="33">
        <v>1</v>
      </c>
      <c r="C3737" t="s">
        <v>66</v>
      </c>
      <c r="D3737" t="s">
        <v>211</v>
      </c>
      <c r="E3737">
        <v>23</v>
      </c>
      <c r="F3737" s="2">
        <v>2.7397260273972603E-3</v>
      </c>
    </row>
    <row r="3738" spans="2:6" x14ac:dyDescent="0.25">
      <c r="B3738" s="33">
        <v>1</v>
      </c>
      <c r="C3738" t="s">
        <v>69</v>
      </c>
      <c r="D3738" t="s">
        <v>230</v>
      </c>
      <c r="E3738">
        <v>1</v>
      </c>
      <c r="F3738" s="2">
        <v>2.7397260273972603E-3</v>
      </c>
    </row>
    <row r="3739" spans="2:6" x14ac:dyDescent="0.25">
      <c r="B3739" s="33">
        <v>1</v>
      </c>
      <c r="C3739" t="s">
        <v>69</v>
      </c>
      <c r="D3739" t="s">
        <v>181</v>
      </c>
      <c r="E3739">
        <v>7</v>
      </c>
      <c r="F3739" s="2">
        <v>2.7397260273972603E-3</v>
      </c>
    </row>
    <row r="3740" spans="2:6" x14ac:dyDescent="0.25">
      <c r="B3740" s="33">
        <v>1</v>
      </c>
      <c r="C3740" t="s">
        <v>2</v>
      </c>
      <c r="D3740" t="s">
        <v>185</v>
      </c>
      <c r="E3740">
        <v>18</v>
      </c>
      <c r="F3740" s="2">
        <v>2.7397260273972603E-3</v>
      </c>
    </row>
    <row r="3741" spans="2:6" x14ac:dyDescent="0.25">
      <c r="B3741" s="33">
        <v>1</v>
      </c>
      <c r="C3741" t="s">
        <v>69</v>
      </c>
      <c r="D3741" t="s">
        <v>148</v>
      </c>
      <c r="E3741">
        <v>2</v>
      </c>
      <c r="F3741" s="2">
        <v>2.7397260273972603E-3</v>
      </c>
    </row>
    <row r="3742" spans="2:6" x14ac:dyDescent="0.25">
      <c r="B3742" s="33">
        <v>1</v>
      </c>
      <c r="C3742" t="s">
        <v>77</v>
      </c>
      <c r="D3742" t="s">
        <v>83</v>
      </c>
      <c r="E3742">
        <v>2</v>
      </c>
      <c r="F3742" s="2">
        <v>2.7397260273972603E-3</v>
      </c>
    </row>
    <row r="3743" spans="2:6" x14ac:dyDescent="0.25">
      <c r="B3743" s="33">
        <v>1</v>
      </c>
      <c r="C3743" t="s">
        <v>69</v>
      </c>
      <c r="D3743" t="s">
        <v>70</v>
      </c>
      <c r="E3743">
        <v>5</v>
      </c>
      <c r="F3743" s="2">
        <v>2.7397260273972603E-3</v>
      </c>
    </row>
    <row r="3744" spans="2:6" x14ac:dyDescent="0.25">
      <c r="B3744" s="33">
        <v>1</v>
      </c>
      <c r="C3744" t="s">
        <v>77</v>
      </c>
      <c r="D3744" t="s">
        <v>224</v>
      </c>
      <c r="E3744">
        <v>8</v>
      </c>
      <c r="F3744" s="2">
        <v>2.7397260273972603E-3</v>
      </c>
    </row>
    <row r="3745" spans="2:6" x14ac:dyDescent="0.25">
      <c r="B3745" s="33">
        <v>1</v>
      </c>
      <c r="C3745" t="s">
        <v>69</v>
      </c>
      <c r="D3745" t="s">
        <v>237</v>
      </c>
      <c r="E3745">
        <v>17</v>
      </c>
      <c r="F3745" s="2">
        <v>2.7397260273972603E-3</v>
      </c>
    </row>
    <row r="3746" spans="2:6" x14ac:dyDescent="0.25">
      <c r="B3746" s="33">
        <v>1</v>
      </c>
      <c r="C3746" t="s">
        <v>2</v>
      </c>
      <c r="D3746" t="s">
        <v>118</v>
      </c>
      <c r="E3746">
        <v>6</v>
      </c>
      <c r="F3746" s="2">
        <v>5.4794520547945206E-3</v>
      </c>
    </row>
    <row r="3747" spans="2:6" x14ac:dyDescent="0.25">
      <c r="B3747" s="33">
        <v>1</v>
      </c>
      <c r="C3747" t="s">
        <v>2</v>
      </c>
      <c r="D3747" t="s">
        <v>118</v>
      </c>
      <c r="E3747">
        <v>10</v>
      </c>
      <c r="F3747" s="2">
        <v>2.7397260273972603E-3</v>
      </c>
    </row>
    <row r="3748" spans="2:6" x14ac:dyDescent="0.25">
      <c r="B3748" s="33">
        <v>1</v>
      </c>
      <c r="C3748" t="s">
        <v>69</v>
      </c>
      <c r="D3748" t="s">
        <v>184</v>
      </c>
      <c r="E3748">
        <v>4</v>
      </c>
      <c r="F3748" s="2">
        <v>2.7397260273972603E-3</v>
      </c>
    </row>
    <row r="3749" spans="2:6" x14ac:dyDescent="0.25">
      <c r="B3749" s="33">
        <v>1</v>
      </c>
      <c r="C3749" t="s">
        <v>77</v>
      </c>
      <c r="D3749" t="s">
        <v>210</v>
      </c>
      <c r="E3749">
        <v>23</v>
      </c>
      <c r="F3749" s="2">
        <v>2.7397260273972603E-3</v>
      </c>
    </row>
    <row r="3750" spans="2:6" x14ac:dyDescent="0.25">
      <c r="B3750" s="33">
        <v>1</v>
      </c>
      <c r="C3750" t="s">
        <v>3</v>
      </c>
      <c r="D3750" t="s">
        <v>186</v>
      </c>
      <c r="E3750">
        <v>5</v>
      </c>
      <c r="F3750" s="2">
        <v>2.7397260273972603E-3</v>
      </c>
    </row>
    <row r="3751" spans="2:6" x14ac:dyDescent="0.25">
      <c r="B3751" s="33">
        <v>1</v>
      </c>
      <c r="C3751" t="s">
        <v>77</v>
      </c>
      <c r="D3751" t="s">
        <v>177</v>
      </c>
      <c r="E3751">
        <v>17</v>
      </c>
      <c r="F3751" s="2">
        <v>2.7397260273972603E-3</v>
      </c>
    </row>
    <row r="3752" spans="2:6" x14ac:dyDescent="0.25">
      <c r="B3752" s="33">
        <v>1</v>
      </c>
      <c r="C3752" t="s">
        <v>1</v>
      </c>
      <c r="D3752" t="s">
        <v>176</v>
      </c>
      <c r="E3752">
        <v>2</v>
      </c>
      <c r="F3752" s="2">
        <v>2.7397260273972603E-3</v>
      </c>
    </row>
    <row r="3753" spans="2:6" x14ac:dyDescent="0.25">
      <c r="B3753" s="33">
        <v>1</v>
      </c>
      <c r="C3753" t="s">
        <v>66</v>
      </c>
      <c r="D3753" t="s">
        <v>235</v>
      </c>
      <c r="E3753">
        <v>21</v>
      </c>
      <c r="F3753" s="2">
        <v>2.7397260273972603E-3</v>
      </c>
    </row>
    <row r="3754" spans="2:6" x14ac:dyDescent="0.25">
      <c r="B3754" s="33">
        <v>1</v>
      </c>
      <c r="C3754" t="s">
        <v>66</v>
      </c>
      <c r="D3754" t="s">
        <v>168</v>
      </c>
      <c r="E3754">
        <v>4</v>
      </c>
      <c r="F3754" s="2">
        <v>2.7397260273972603E-3</v>
      </c>
    </row>
    <row r="3755" spans="2:6" x14ac:dyDescent="0.25">
      <c r="B3755" s="33">
        <v>1</v>
      </c>
      <c r="C3755" t="s">
        <v>3</v>
      </c>
      <c r="D3755" t="s">
        <v>191</v>
      </c>
      <c r="E3755">
        <v>4</v>
      </c>
      <c r="F3755" s="2">
        <v>2.7397260273972603E-3</v>
      </c>
    </row>
    <row r="3756" spans="2:6" x14ac:dyDescent="0.25">
      <c r="B3756" s="33">
        <v>1</v>
      </c>
      <c r="C3756" t="s">
        <v>69</v>
      </c>
      <c r="D3756" t="s">
        <v>154</v>
      </c>
      <c r="E3756">
        <v>2</v>
      </c>
      <c r="F3756" s="2">
        <v>2.7397260273972603E-3</v>
      </c>
    </row>
    <row r="3757" spans="2:6" x14ac:dyDescent="0.25">
      <c r="B3757" s="33">
        <v>1</v>
      </c>
      <c r="C3757" t="s">
        <v>69</v>
      </c>
      <c r="D3757" t="s">
        <v>228</v>
      </c>
      <c r="E3757">
        <v>20</v>
      </c>
      <c r="F3757" s="2">
        <v>2.7397260273972603E-3</v>
      </c>
    </row>
    <row r="3758" spans="2:6" x14ac:dyDescent="0.25">
      <c r="B3758" s="33">
        <v>1</v>
      </c>
      <c r="C3758" t="s">
        <v>69</v>
      </c>
      <c r="D3758" t="s">
        <v>228</v>
      </c>
      <c r="E3758">
        <v>0</v>
      </c>
      <c r="F3758" s="2">
        <v>2.7397260273972603E-3</v>
      </c>
    </row>
    <row r="3759" spans="2:6" x14ac:dyDescent="0.25">
      <c r="B3759" s="33">
        <v>1</v>
      </c>
      <c r="C3759" t="s">
        <v>66</v>
      </c>
      <c r="D3759" t="s">
        <v>245</v>
      </c>
      <c r="E3759">
        <v>14</v>
      </c>
      <c r="F3759" s="2">
        <v>2.7397260273972603E-3</v>
      </c>
    </row>
    <row r="3760" spans="2:6" x14ac:dyDescent="0.25">
      <c r="B3760" s="33">
        <v>1</v>
      </c>
      <c r="C3760" t="s">
        <v>77</v>
      </c>
      <c r="D3760" t="s">
        <v>205</v>
      </c>
      <c r="E3760">
        <v>7</v>
      </c>
      <c r="F3760" s="2">
        <v>2.7397260273972603E-3</v>
      </c>
    </row>
    <row r="3761" spans="2:6" x14ac:dyDescent="0.25">
      <c r="B3761" s="33">
        <v>1</v>
      </c>
      <c r="C3761" t="s">
        <v>2</v>
      </c>
      <c r="D3761" t="s">
        <v>185</v>
      </c>
      <c r="E3761">
        <v>3</v>
      </c>
      <c r="F3761" s="2">
        <v>5.4794520547945206E-3</v>
      </c>
    </row>
    <row r="3762" spans="2:6" x14ac:dyDescent="0.25">
      <c r="B3762" s="33">
        <v>1</v>
      </c>
      <c r="C3762" t="s">
        <v>69</v>
      </c>
      <c r="D3762" t="s">
        <v>132</v>
      </c>
      <c r="E3762">
        <v>3</v>
      </c>
      <c r="F3762" s="2">
        <v>2.7397260273972603E-3</v>
      </c>
    </row>
    <row r="3763" spans="2:6" x14ac:dyDescent="0.25">
      <c r="B3763" s="33">
        <v>1</v>
      </c>
      <c r="C3763" t="s">
        <v>72</v>
      </c>
      <c r="D3763" t="s">
        <v>240</v>
      </c>
      <c r="E3763">
        <v>8</v>
      </c>
      <c r="F3763" s="2">
        <v>2.7397260273972603E-3</v>
      </c>
    </row>
    <row r="3764" spans="2:6" x14ac:dyDescent="0.25">
      <c r="B3764" s="33">
        <v>1</v>
      </c>
      <c r="C3764" t="s">
        <v>103</v>
      </c>
      <c r="D3764" t="s">
        <v>158</v>
      </c>
      <c r="E3764">
        <v>3</v>
      </c>
      <c r="F3764" s="2">
        <v>5.4794520547945206E-3</v>
      </c>
    </row>
    <row r="3765" spans="2:6" x14ac:dyDescent="0.25">
      <c r="B3765" s="33">
        <v>1</v>
      </c>
      <c r="C3765" t="s">
        <v>1</v>
      </c>
      <c r="D3765" t="s">
        <v>214</v>
      </c>
      <c r="E3765">
        <v>6</v>
      </c>
      <c r="F3765" s="2">
        <v>2.7397260273972603E-3</v>
      </c>
    </row>
    <row r="3766" spans="2:6" x14ac:dyDescent="0.25">
      <c r="B3766" s="33">
        <v>1</v>
      </c>
      <c r="C3766" t="s">
        <v>69</v>
      </c>
      <c r="D3766" t="s">
        <v>154</v>
      </c>
      <c r="E3766">
        <v>3</v>
      </c>
      <c r="F3766" s="2">
        <v>2.7397260273972603E-3</v>
      </c>
    </row>
    <row r="3767" spans="2:6" x14ac:dyDescent="0.25">
      <c r="B3767" s="33">
        <v>1</v>
      </c>
      <c r="C3767" t="s">
        <v>77</v>
      </c>
      <c r="D3767" t="s">
        <v>177</v>
      </c>
      <c r="E3767">
        <v>21</v>
      </c>
      <c r="F3767" s="2">
        <v>2.7397260273972603E-3</v>
      </c>
    </row>
    <row r="3768" spans="2:6" x14ac:dyDescent="0.25">
      <c r="B3768" s="33">
        <v>1</v>
      </c>
      <c r="C3768" t="s">
        <v>69</v>
      </c>
      <c r="D3768" t="s">
        <v>230</v>
      </c>
      <c r="E3768">
        <v>2</v>
      </c>
      <c r="F3768" s="2">
        <v>2.7397260273972603E-3</v>
      </c>
    </row>
    <row r="3769" spans="2:6" x14ac:dyDescent="0.25">
      <c r="B3769" s="33">
        <v>1</v>
      </c>
      <c r="C3769" t="s">
        <v>3</v>
      </c>
      <c r="D3769" t="s">
        <v>79</v>
      </c>
      <c r="E3769">
        <v>5</v>
      </c>
      <c r="F3769" s="2">
        <v>2.7397260273972603E-3</v>
      </c>
    </row>
    <row r="3770" spans="2:6" x14ac:dyDescent="0.25">
      <c r="B3770" s="33">
        <v>1</v>
      </c>
      <c r="C3770" t="s">
        <v>69</v>
      </c>
      <c r="D3770" t="s">
        <v>184</v>
      </c>
      <c r="E3770">
        <v>15</v>
      </c>
      <c r="F3770" s="2">
        <v>2.7397260273972603E-3</v>
      </c>
    </row>
    <row r="3771" spans="2:6" x14ac:dyDescent="0.25">
      <c r="B3771" s="33">
        <v>1</v>
      </c>
      <c r="C3771" t="s">
        <v>69</v>
      </c>
      <c r="D3771" t="s">
        <v>234</v>
      </c>
      <c r="E3771">
        <v>8</v>
      </c>
      <c r="F3771" s="2">
        <v>2.7397260273972603E-3</v>
      </c>
    </row>
    <row r="3772" spans="2:6" x14ac:dyDescent="0.25">
      <c r="B3772" s="33">
        <v>1</v>
      </c>
      <c r="C3772" t="s">
        <v>72</v>
      </c>
      <c r="D3772" t="s">
        <v>163</v>
      </c>
      <c r="E3772">
        <v>3</v>
      </c>
      <c r="F3772" s="2">
        <v>2.7397260273972603E-3</v>
      </c>
    </row>
    <row r="3773" spans="2:6" x14ac:dyDescent="0.25">
      <c r="B3773" s="33">
        <v>1</v>
      </c>
      <c r="C3773" t="s">
        <v>69</v>
      </c>
      <c r="D3773" t="s">
        <v>231</v>
      </c>
      <c r="E3773">
        <v>22</v>
      </c>
      <c r="F3773" s="2">
        <v>2.7397260273972603E-3</v>
      </c>
    </row>
    <row r="3774" spans="2:6" x14ac:dyDescent="0.25">
      <c r="B3774" s="33">
        <v>1</v>
      </c>
      <c r="C3774" t="s">
        <v>69</v>
      </c>
      <c r="D3774" t="s">
        <v>206</v>
      </c>
      <c r="E3774">
        <v>3</v>
      </c>
      <c r="F3774" s="2">
        <v>2.7397260273972603E-3</v>
      </c>
    </row>
    <row r="3775" spans="2:6" x14ac:dyDescent="0.25">
      <c r="B3775" s="33">
        <v>1</v>
      </c>
      <c r="C3775" t="s">
        <v>6</v>
      </c>
      <c r="D3775" t="s">
        <v>38</v>
      </c>
      <c r="E3775">
        <v>3</v>
      </c>
      <c r="F3775" s="2">
        <v>2.7397260273972603E-3</v>
      </c>
    </row>
    <row r="3776" spans="2:6" x14ac:dyDescent="0.25">
      <c r="B3776" s="33">
        <v>1</v>
      </c>
      <c r="C3776" t="s">
        <v>103</v>
      </c>
      <c r="D3776" t="s">
        <v>141</v>
      </c>
      <c r="E3776">
        <v>4</v>
      </c>
      <c r="F3776" s="2">
        <v>2.7397260273972603E-3</v>
      </c>
    </row>
    <row r="3777" spans="2:6" x14ac:dyDescent="0.25">
      <c r="B3777" s="33">
        <v>1</v>
      </c>
      <c r="C3777" t="s">
        <v>69</v>
      </c>
      <c r="D3777" t="s">
        <v>233</v>
      </c>
      <c r="E3777">
        <v>4</v>
      </c>
      <c r="F3777" s="2">
        <v>2.7397260273972603E-3</v>
      </c>
    </row>
    <row r="3778" spans="2:6" x14ac:dyDescent="0.25">
      <c r="B3778" s="33">
        <v>1</v>
      </c>
      <c r="C3778" t="s">
        <v>1</v>
      </c>
      <c r="D3778" t="s">
        <v>217</v>
      </c>
      <c r="E3778">
        <v>3</v>
      </c>
      <c r="F3778" s="2">
        <v>2.7397260273972603E-3</v>
      </c>
    </row>
    <row r="3779" spans="2:6" x14ac:dyDescent="0.25">
      <c r="B3779" s="33">
        <v>1</v>
      </c>
      <c r="C3779" t="s">
        <v>69</v>
      </c>
      <c r="D3779" t="s">
        <v>230</v>
      </c>
      <c r="E3779">
        <v>14</v>
      </c>
      <c r="F3779" s="2">
        <v>2.7397260273972603E-3</v>
      </c>
    </row>
    <row r="3780" spans="2:6" x14ac:dyDescent="0.25">
      <c r="B3780" s="33">
        <v>1</v>
      </c>
      <c r="C3780" t="s">
        <v>3</v>
      </c>
      <c r="D3780" t="s">
        <v>229</v>
      </c>
      <c r="E3780">
        <v>8</v>
      </c>
      <c r="F3780" s="2">
        <v>2.7397260273972603E-3</v>
      </c>
    </row>
    <row r="3781" spans="2:6" x14ac:dyDescent="0.25">
      <c r="B3781" s="33">
        <v>1</v>
      </c>
      <c r="C3781" t="s">
        <v>64</v>
      </c>
      <c r="D3781" t="s">
        <v>213</v>
      </c>
      <c r="E3781">
        <v>8</v>
      </c>
      <c r="F3781" s="2">
        <v>2.7397260273972603E-3</v>
      </c>
    </row>
    <row r="3782" spans="2:6" x14ac:dyDescent="0.25">
      <c r="B3782" s="33">
        <v>1</v>
      </c>
      <c r="C3782" t="s">
        <v>69</v>
      </c>
      <c r="D3782" t="s">
        <v>220</v>
      </c>
      <c r="E3782">
        <v>22</v>
      </c>
      <c r="F3782" s="2">
        <v>2.7397260273972603E-3</v>
      </c>
    </row>
    <row r="3783" spans="2:6" x14ac:dyDescent="0.25">
      <c r="B3783" s="33">
        <v>1</v>
      </c>
      <c r="C3783" t="s">
        <v>3</v>
      </c>
      <c r="D3783" t="s">
        <v>119</v>
      </c>
      <c r="E3783">
        <v>2</v>
      </c>
      <c r="F3783" s="2">
        <v>2.7397260273972603E-3</v>
      </c>
    </row>
    <row r="3784" spans="2:6" x14ac:dyDescent="0.25">
      <c r="B3784" s="33">
        <v>1</v>
      </c>
      <c r="C3784" t="s">
        <v>77</v>
      </c>
      <c r="D3784" t="s">
        <v>196</v>
      </c>
      <c r="E3784">
        <v>3</v>
      </c>
      <c r="F3784" s="2">
        <v>2.7397260273972603E-3</v>
      </c>
    </row>
    <row r="3785" spans="2:6" x14ac:dyDescent="0.25">
      <c r="B3785" s="33">
        <v>1</v>
      </c>
      <c r="C3785" t="s">
        <v>66</v>
      </c>
      <c r="D3785" t="s">
        <v>227</v>
      </c>
      <c r="E3785">
        <v>7</v>
      </c>
      <c r="F3785" s="2">
        <v>2.7397260273972603E-3</v>
      </c>
    </row>
    <row r="3786" spans="2:6" x14ac:dyDescent="0.25">
      <c r="B3786" s="33">
        <v>1</v>
      </c>
      <c r="C3786" t="s">
        <v>69</v>
      </c>
      <c r="D3786" t="s">
        <v>223</v>
      </c>
      <c r="E3786">
        <v>23</v>
      </c>
      <c r="F3786" s="2">
        <v>2.7397260273972603E-3</v>
      </c>
    </row>
    <row r="3787" spans="2:6" x14ac:dyDescent="0.25">
      <c r="B3787" s="33">
        <v>1</v>
      </c>
      <c r="C3787" t="s">
        <v>69</v>
      </c>
      <c r="D3787" t="s">
        <v>230</v>
      </c>
      <c r="E3787">
        <v>4</v>
      </c>
      <c r="F3787" s="2">
        <v>2.7397260273972603E-3</v>
      </c>
    </row>
    <row r="3788" spans="2:6" x14ac:dyDescent="0.25">
      <c r="B3788" s="33">
        <v>1</v>
      </c>
      <c r="C3788" t="s">
        <v>3</v>
      </c>
      <c r="D3788" t="s">
        <v>161</v>
      </c>
      <c r="E3788">
        <v>5</v>
      </c>
      <c r="F3788" s="2">
        <v>2.7397260273972603E-3</v>
      </c>
    </row>
    <row r="3789" spans="2:6" x14ac:dyDescent="0.25">
      <c r="B3789" s="33">
        <v>1</v>
      </c>
      <c r="C3789" t="s">
        <v>77</v>
      </c>
      <c r="D3789" t="s">
        <v>204</v>
      </c>
      <c r="E3789">
        <v>20</v>
      </c>
      <c r="F3789" s="2">
        <v>2.7397260273972603E-3</v>
      </c>
    </row>
    <row r="3790" spans="2:6" x14ac:dyDescent="0.25">
      <c r="B3790" s="33">
        <v>1</v>
      </c>
      <c r="C3790" t="s">
        <v>77</v>
      </c>
      <c r="D3790" t="s">
        <v>196</v>
      </c>
      <c r="E3790">
        <v>2</v>
      </c>
      <c r="F3790" s="2">
        <v>2.7397260273972603E-3</v>
      </c>
    </row>
    <row r="3791" spans="2:6" x14ac:dyDescent="0.25">
      <c r="B3791" s="33">
        <v>1</v>
      </c>
      <c r="C3791" t="s">
        <v>69</v>
      </c>
      <c r="D3791" t="s">
        <v>124</v>
      </c>
      <c r="E3791">
        <v>5</v>
      </c>
      <c r="F3791" s="2">
        <v>2.7397260273972603E-3</v>
      </c>
    </row>
    <row r="3792" spans="2:6" x14ac:dyDescent="0.25">
      <c r="B3792" s="33">
        <v>1</v>
      </c>
      <c r="C3792" t="s">
        <v>103</v>
      </c>
      <c r="D3792" t="s">
        <v>45</v>
      </c>
      <c r="E3792">
        <v>4</v>
      </c>
      <c r="F3792" s="2">
        <v>2.7397260273972603E-3</v>
      </c>
    </row>
    <row r="3793" spans="2:6" x14ac:dyDescent="0.25">
      <c r="B3793" s="33">
        <v>1</v>
      </c>
      <c r="C3793" t="s">
        <v>4</v>
      </c>
      <c r="D3793" t="s">
        <v>178</v>
      </c>
      <c r="E3793">
        <v>5</v>
      </c>
      <c r="F3793" s="2">
        <v>2.7397260273972603E-3</v>
      </c>
    </row>
    <row r="3794" spans="2:6" x14ac:dyDescent="0.25">
      <c r="B3794" s="33">
        <v>1</v>
      </c>
      <c r="C3794" t="s">
        <v>3</v>
      </c>
      <c r="D3794" t="s">
        <v>226</v>
      </c>
      <c r="E3794">
        <v>7</v>
      </c>
      <c r="F3794" s="2">
        <v>2.7397260273972603E-3</v>
      </c>
    </row>
    <row r="3795" spans="2:6" x14ac:dyDescent="0.25">
      <c r="B3795" s="33">
        <v>1</v>
      </c>
      <c r="C3795" t="s">
        <v>69</v>
      </c>
      <c r="D3795" t="s">
        <v>181</v>
      </c>
      <c r="E3795">
        <v>0</v>
      </c>
      <c r="F3795" s="2">
        <v>2.7397260273972603E-3</v>
      </c>
    </row>
    <row r="3796" spans="2:6" x14ac:dyDescent="0.25">
      <c r="B3796" s="33">
        <v>1</v>
      </c>
      <c r="C3796" t="s">
        <v>66</v>
      </c>
      <c r="D3796" t="s">
        <v>238</v>
      </c>
      <c r="E3796">
        <v>13</v>
      </c>
      <c r="F3796" s="2">
        <v>2.7397260273972603E-3</v>
      </c>
    </row>
    <row r="3797" spans="2:6" x14ac:dyDescent="0.25">
      <c r="B3797" s="33">
        <v>1</v>
      </c>
      <c r="C3797" t="s">
        <v>77</v>
      </c>
      <c r="D3797" t="s">
        <v>98</v>
      </c>
      <c r="E3797">
        <v>12</v>
      </c>
      <c r="F3797" s="2">
        <v>2.7397260273972603E-3</v>
      </c>
    </row>
    <row r="3798" spans="2:6" x14ac:dyDescent="0.25">
      <c r="B3798" s="33">
        <v>1</v>
      </c>
      <c r="C3798" t="s">
        <v>66</v>
      </c>
      <c r="D3798" t="s">
        <v>212</v>
      </c>
      <c r="E3798">
        <v>1</v>
      </c>
      <c r="F3798" s="2">
        <v>2.7397260273972603E-3</v>
      </c>
    </row>
    <row r="3799" spans="2:6" x14ac:dyDescent="0.25">
      <c r="B3799" s="33">
        <v>1</v>
      </c>
      <c r="C3799" t="s">
        <v>4</v>
      </c>
      <c r="D3799" t="s">
        <v>166</v>
      </c>
      <c r="E3799">
        <v>4</v>
      </c>
      <c r="F3799" s="2">
        <v>5.4794520547945206E-3</v>
      </c>
    </row>
    <row r="3800" spans="2:6" x14ac:dyDescent="0.25">
      <c r="B3800" s="33">
        <v>1</v>
      </c>
      <c r="C3800" t="s">
        <v>66</v>
      </c>
      <c r="D3800" t="s">
        <v>212</v>
      </c>
      <c r="E3800">
        <v>12</v>
      </c>
      <c r="F3800" s="2">
        <v>2.7397260273972603E-3</v>
      </c>
    </row>
    <row r="3801" spans="2:6" x14ac:dyDescent="0.25">
      <c r="B3801" s="33">
        <v>1</v>
      </c>
      <c r="C3801" t="s">
        <v>64</v>
      </c>
      <c r="D3801" t="s">
        <v>222</v>
      </c>
      <c r="E3801">
        <v>12</v>
      </c>
      <c r="F3801" s="2">
        <v>2.7397260273972603E-3</v>
      </c>
    </row>
    <row r="3802" spans="2:6" x14ac:dyDescent="0.25">
      <c r="B3802" s="33">
        <v>1</v>
      </c>
      <c r="C3802" t="s">
        <v>69</v>
      </c>
      <c r="D3802" t="s">
        <v>124</v>
      </c>
      <c r="E3802">
        <v>3</v>
      </c>
      <c r="F3802" s="2">
        <v>2.7397260273972603E-3</v>
      </c>
    </row>
    <row r="3803" spans="2:6" x14ac:dyDescent="0.25">
      <c r="B3803" s="33">
        <v>1</v>
      </c>
      <c r="C3803" t="s">
        <v>1</v>
      </c>
      <c r="D3803" t="s">
        <v>176</v>
      </c>
      <c r="E3803">
        <v>6</v>
      </c>
      <c r="F3803" s="2">
        <v>2.7397260273972603E-3</v>
      </c>
    </row>
    <row r="3804" spans="2:6" x14ac:dyDescent="0.25">
      <c r="B3804" s="33">
        <v>1</v>
      </c>
      <c r="C3804" t="s">
        <v>77</v>
      </c>
      <c r="D3804" t="s">
        <v>225</v>
      </c>
      <c r="E3804">
        <v>12</v>
      </c>
      <c r="F3804" s="2">
        <v>2.7397260273972603E-3</v>
      </c>
    </row>
    <row r="3805" spans="2:6" x14ac:dyDescent="0.25">
      <c r="B3805" s="33">
        <v>1</v>
      </c>
      <c r="C3805" t="s">
        <v>69</v>
      </c>
      <c r="D3805" t="s">
        <v>220</v>
      </c>
      <c r="E3805">
        <v>21</v>
      </c>
      <c r="F3805" s="2">
        <v>2.7397260273972603E-3</v>
      </c>
    </row>
    <row r="3806" spans="2:6" x14ac:dyDescent="0.25">
      <c r="B3806" s="33">
        <v>1</v>
      </c>
      <c r="C3806" t="s">
        <v>3</v>
      </c>
      <c r="D3806" t="s">
        <v>208</v>
      </c>
      <c r="E3806">
        <v>2</v>
      </c>
      <c r="F3806" s="2">
        <v>2.7397260273972603E-3</v>
      </c>
    </row>
    <row r="3807" spans="2:6" x14ac:dyDescent="0.25">
      <c r="B3807" s="33">
        <v>1</v>
      </c>
      <c r="C3807" t="s">
        <v>74</v>
      </c>
      <c r="D3807" t="s">
        <v>221</v>
      </c>
      <c r="E3807">
        <v>3</v>
      </c>
      <c r="F3807" s="2">
        <v>2.7397260273972603E-3</v>
      </c>
    </row>
    <row r="3808" spans="2:6" x14ac:dyDescent="0.25">
      <c r="B3808" s="33">
        <v>1</v>
      </c>
      <c r="C3808" t="s">
        <v>2</v>
      </c>
      <c r="D3808" t="s">
        <v>198</v>
      </c>
      <c r="E3808">
        <v>18</v>
      </c>
      <c r="F3808" s="2">
        <v>2.7397260273972603E-3</v>
      </c>
    </row>
    <row r="3809" spans="2:6" x14ac:dyDescent="0.25">
      <c r="B3809" s="33">
        <v>1</v>
      </c>
      <c r="C3809" t="s">
        <v>103</v>
      </c>
      <c r="D3809" t="s">
        <v>139</v>
      </c>
      <c r="E3809">
        <v>1</v>
      </c>
      <c r="F3809" s="2">
        <v>2.7397260273972603E-3</v>
      </c>
    </row>
    <row r="3810" spans="2:6" x14ac:dyDescent="0.25">
      <c r="B3810" s="33">
        <v>1</v>
      </c>
      <c r="C3810" t="s">
        <v>69</v>
      </c>
      <c r="D3810" t="s">
        <v>183</v>
      </c>
      <c r="E3810">
        <v>6</v>
      </c>
      <c r="F3810" s="2">
        <v>2.7397260273972603E-3</v>
      </c>
    </row>
    <row r="3811" spans="2:6" x14ac:dyDescent="0.25">
      <c r="B3811" s="33">
        <v>1</v>
      </c>
      <c r="C3811" t="s">
        <v>103</v>
      </c>
      <c r="D3811" t="s">
        <v>141</v>
      </c>
      <c r="E3811">
        <v>2</v>
      </c>
      <c r="F3811" s="2">
        <v>5.4794520547945206E-3</v>
      </c>
    </row>
    <row r="3812" spans="2:6" x14ac:dyDescent="0.25">
      <c r="B3812" s="33">
        <v>1</v>
      </c>
      <c r="C3812" t="s">
        <v>77</v>
      </c>
      <c r="D3812" t="s">
        <v>205</v>
      </c>
      <c r="E3812">
        <v>14</v>
      </c>
      <c r="F3812" s="2">
        <v>2.7397260273972603E-3</v>
      </c>
    </row>
    <row r="3813" spans="2:6" x14ac:dyDescent="0.25">
      <c r="B3813" s="33">
        <v>1</v>
      </c>
      <c r="C3813" t="s">
        <v>3</v>
      </c>
      <c r="D3813" t="s">
        <v>161</v>
      </c>
      <c r="E3813">
        <v>21</v>
      </c>
      <c r="F3813" s="2">
        <v>2.7397260273972603E-3</v>
      </c>
    </row>
    <row r="3814" spans="2:6" x14ac:dyDescent="0.25">
      <c r="B3814" s="33">
        <v>1</v>
      </c>
      <c r="C3814" t="s">
        <v>69</v>
      </c>
      <c r="D3814" t="s">
        <v>70</v>
      </c>
      <c r="E3814">
        <v>6</v>
      </c>
      <c r="F3814" s="2">
        <v>2.7397260273972603E-3</v>
      </c>
    </row>
    <row r="3815" spans="2:6" x14ac:dyDescent="0.25">
      <c r="B3815" s="33">
        <v>1</v>
      </c>
      <c r="C3815" t="s">
        <v>0</v>
      </c>
      <c r="D3815" t="s">
        <v>150</v>
      </c>
      <c r="E3815">
        <v>4</v>
      </c>
      <c r="F3815" s="2">
        <v>5.4794520547945206E-3</v>
      </c>
    </row>
    <row r="3816" spans="2:6" x14ac:dyDescent="0.25">
      <c r="B3816" s="33">
        <v>1</v>
      </c>
      <c r="C3816" t="s">
        <v>69</v>
      </c>
      <c r="D3816" t="s">
        <v>220</v>
      </c>
      <c r="E3816">
        <v>20</v>
      </c>
      <c r="F3816" s="2">
        <v>2.7397260273972603E-3</v>
      </c>
    </row>
    <row r="3817" spans="2:6" x14ac:dyDescent="0.25">
      <c r="B3817" s="33">
        <v>1</v>
      </c>
      <c r="C3817" t="s">
        <v>4</v>
      </c>
      <c r="D3817" t="s">
        <v>166</v>
      </c>
      <c r="E3817">
        <v>5</v>
      </c>
      <c r="F3817" s="2">
        <v>2.7397260273972603E-3</v>
      </c>
    </row>
    <row r="3818" spans="2:6" x14ac:dyDescent="0.25">
      <c r="B3818" s="33">
        <v>1</v>
      </c>
      <c r="C3818" t="s">
        <v>69</v>
      </c>
      <c r="D3818" t="s">
        <v>206</v>
      </c>
      <c r="E3818">
        <v>20</v>
      </c>
      <c r="F3818" s="2">
        <v>2.7397260273972603E-3</v>
      </c>
    </row>
    <row r="3819" spans="2:6" x14ac:dyDescent="0.25">
      <c r="B3819" s="33">
        <v>1</v>
      </c>
      <c r="C3819" t="s">
        <v>69</v>
      </c>
      <c r="D3819" t="s">
        <v>124</v>
      </c>
      <c r="E3819">
        <v>1</v>
      </c>
      <c r="F3819" s="2">
        <v>2.7397260273972603E-3</v>
      </c>
    </row>
    <row r="3820" spans="2:6" x14ac:dyDescent="0.25">
      <c r="B3820" s="33">
        <v>1</v>
      </c>
      <c r="C3820" t="s">
        <v>69</v>
      </c>
      <c r="D3820" t="s">
        <v>181</v>
      </c>
      <c r="E3820">
        <v>13</v>
      </c>
      <c r="F3820" s="2">
        <v>2.7397260273972603E-3</v>
      </c>
    </row>
    <row r="3821" spans="2:6" x14ac:dyDescent="0.25">
      <c r="B3821" s="33">
        <v>1</v>
      </c>
      <c r="C3821" t="s">
        <v>69</v>
      </c>
      <c r="D3821" t="s">
        <v>197</v>
      </c>
      <c r="E3821">
        <v>19</v>
      </c>
      <c r="F3821" s="2">
        <v>2.7397260273972603E-3</v>
      </c>
    </row>
    <row r="3822" spans="2:6" x14ac:dyDescent="0.25">
      <c r="B3822" s="33">
        <v>1</v>
      </c>
      <c r="C3822" t="s">
        <v>69</v>
      </c>
      <c r="D3822" t="s">
        <v>243</v>
      </c>
      <c r="E3822">
        <v>16</v>
      </c>
      <c r="F3822" s="2">
        <v>2.7397260273972603E-3</v>
      </c>
    </row>
    <row r="3823" spans="2:6" x14ac:dyDescent="0.25">
      <c r="B3823" s="33">
        <v>1</v>
      </c>
      <c r="C3823" t="s">
        <v>69</v>
      </c>
      <c r="D3823" t="s">
        <v>246</v>
      </c>
      <c r="E3823">
        <v>2</v>
      </c>
      <c r="F3823" s="2">
        <v>2.7397260273972603E-3</v>
      </c>
    </row>
    <row r="3824" spans="2:6" x14ac:dyDescent="0.25">
      <c r="B3824" s="33">
        <v>1</v>
      </c>
      <c r="C3824" t="s">
        <v>77</v>
      </c>
      <c r="D3824" t="s">
        <v>83</v>
      </c>
      <c r="E3824">
        <v>23</v>
      </c>
      <c r="F3824" s="2">
        <v>2.7397260273972603E-3</v>
      </c>
    </row>
    <row r="3825" spans="2:6" x14ac:dyDescent="0.25">
      <c r="B3825" s="33">
        <v>1</v>
      </c>
      <c r="C3825" t="s">
        <v>77</v>
      </c>
      <c r="D3825" t="s">
        <v>210</v>
      </c>
      <c r="E3825">
        <v>2</v>
      </c>
      <c r="F3825" s="2">
        <v>2.7397260273972603E-3</v>
      </c>
    </row>
    <row r="3826" spans="2:6" x14ac:dyDescent="0.25">
      <c r="B3826" s="33">
        <v>1</v>
      </c>
      <c r="C3826" t="s">
        <v>69</v>
      </c>
      <c r="D3826" t="s">
        <v>190</v>
      </c>
      <c r="E3826">
        <v>1</v>
      </c>
      <c r="F3826" s="2">
        <v>2.7397260273972603E-3</v>
      </c>
    </row>
    <row r="3827" spans="2:6" x14ac:dyDescent="0.25">
      <c r="B3827" s="33">
        <v>1</v>
      </c>
      <c r="C3827" t="s">
        <v>69</v>
      </c>
      <c r="D3827" t="s">
        <v>243</v>
      </c>
      <c r="E3827">
        <v>10</v>
      </c>
      <c r="F3827" s="2">
        <v>2.7397260273972603E-3</v>
      </c>
    </row>
    <row r="3828" spans="2:6" x14ac:dyDescent="0.25">
      <c r="B3828" s="33">
        <v>1</v>
      </c>
      <c r="C3828" t="s">
        <v>77</v>
      </c>
      <c r="D3828" t="s">
        <v>204</v>
      </c>
      <c r="E3828">
        <v>18</v>
      </c>
      <c r="F3828" s="2">
        <v>2.7397260273972603E-3</v>
      </c>
    </row>
    <row r="3829" spans="2:6" x14ac:dyDescent="0.25">
      <c r="B3829" s="33">
        <v>1</v>
      </c>
      <c r="C3829" t="s">
        <v>77</v>
      </c>
      <c r="D3829" t="s">
        <v>224</v>
      </c>
      <c r="E3829">
        <v>19</v>
      </c>
      <c r="F3829" s="2">
        <v>2.7397260273972603E-3</v>
      </c>
    </row>
    <row r="3830" spans="2:6" x14ac:dyDescent="0.25">
      <c r="B3830" s="33">
        <v>1</v>
      </c>
      <c r="C3830" t="s">
        <v>77</v>
      </c>
      <c r="D3830" t="s">
        <v>97</v>
      </c>
      <c r="E3830">
        <v>3</v>
      </c>
      <c r="F3830" s="2">
        <v>2.7397260273972603E-3</v>
      </c>
    </row>
    <row r="3831" spans="2:6" x14ac:dyDescent="0.25">
      <c r="B3831" s="33">
        <v>1</v>
      </c>
      <c r="C3831" t="s">
        <v>77</v>
      </c>
      <c r="D3831" t="s">
        <v>145</v>
      </c>
      <c r="E3831">
        <v>4</v>
      </c>
      <c r="F3831" s="2">
        <v>2.7397260273972603E-3</v>
      </c>
    </row>
    <row r="3832" spans="2:6" x14ac:dyDescent="0.25">
      <c r="B3832" s="33">
        <v>1</v>
      </c>
      <c r="C3832" t="s">
        <v>69</v>
      </c>
      <c r="D3832" t="s">
        <v>223</v>
      </c>
      <c r="E3832">
        <v>16</v>
      </c>
      <c r="F3832" s="2">
        <v>2.7397260273972603E-3</v>
      </c>
    </row>
    <row r="3833" spans="2:6" x14ac:dyDescent="0.25">
      <c r="B3833" s="33">
        <v>1</v>
      </c>
      <c r="C3833" t="s">
        <v>3</v>
      </c>
      <c r="D3833" t="s">
        <v>119</v>
      </c>
      <c r="E3833">
        <v>1</v>
      </c>
      <c r="F3833" s="2">
        <v>2.7397260273972603E-3</v>
      </c>
    </row>
    <row r="3834" spans="2:6" x14ac:dyDescent="0.25">
      <c r="B3834" s="33">
        <v>1</v>
      </c>
      <c r="C3834" t="s">
        <v>69</v>
      </c>
      <c r="D3834" t="s">
        <v>199</v>
      </c>
      <c r="E3834">
        <v>3</v>
      </c>
      <c r="F3834" s="2">
        <v>2.7397260273972603E-3</v>
      </c>
    </row>
    <row r="3835" spans="2:6" x14ac:dyDescent="0.25">
      <c r="B3835" s="33">
        <v>1</v>
      </c>
      <c r="C3835" t="s">
        <v>69</v>
      </c>
      <c r="D3835" t="s">
        <v>218</v>
      </c>
      <c r="E3835">
        <v>5</v>
      </c>
      <c r="F3835" s="2">
        <v>2.7397260273972603E-3</v>
      </c>
    </row>
    <row r="3836" spans="2:6" x14ac:dyDescent="0.25">
      <c r="B3836" s="33">
        <v>1</v>
      </c>
      <c r="C3836" t="s">
        <v>103</v>
      </c>
      <c r="D3836" t="s">
        <v>139</v>
      </c>
      <c r="E3836">
        <v>3</v>
      </c>
      <c r="F3836" s="2">
        <v>5.4794520547945206E-3</v>
      </c>
    </row>
    <row r="3837" spans="2:6" x14ac:dyDescent="0.25">
      <c r="B3837" s="33">
        <v>1</v>
      </c>
      <c r="C3837" t="s">
        <v>66</v>
      </c>
      <c r="D3837" t="s">
        <v>238</v>
      </c>
      <c r="E3837">
        <v>22</v>
      </c>
      <c r="F3837" s="2">
        <v>2.7397260273972603E-3</v>
      </c>
    </row>
    <row r="3838" spans="2:6" x14ac:dyDescent="0.25">
      <c r="B3838" s="33">
        <v>1</v>
      </c>
      <c r="C3838" t="s">
        <v>77</v>
      </c>
      <c r="D3838" t="s">
        <v>192</v>
      </c>
      <c r="E3838">
        <v>14</v>
      </c>
      <c r="F3838" s="2">
        <v>2.7397260273972603E-3</v>
      </c>
    </row>
    <row r="3839" spans="2:6" x14ac:dyDescent="0.25">
      <c r="B3839" s="33">
        <v>1</v>
      </c>
      <c r="C3839" t="s">
        <v>66</v>
      </c>
      <c r="D3839" t="s">
        <v>212</v>
      </c>
      <c r="E3839">
        <v>0</v>
      </c>
      <c r="F3839" s="2">
        <v>2.7397260273972603E-3</v>
      </c>
    </row>
    <row r="3840" spans="2:6" x14ac:dyDescent="0.25">
      <c r="B3840" s="33">
        <v>1</v>
      </c>
      <c r="C3840" t="s">
        <v>0</v>
      </c>
      <c r="D3840" t="s">
        <v>150</v>
      </c>
      <c r="E3840">
        <v>3</v>
      </c>
      <c r="F3840" s="2">
        <v>2.7397260273972603E-3</v>
      </c>
    </row>
    <row r="3841" spans="2:6" x14ac:dyDescent="0.25">
      <c r="B3841" s="33">
        <v>1</v>
      </c>
      <c r="C3841" t="s">
        <v>6</v>
      </c>
      <c r="D3841" t="s">
        <v>44</v>
      </c>
      <c r="E3841">
        <v>21</v>
      </c>
      <c r="F3841" s="2">
        <v>2.7397260273972603E-3</v>
      </c>
    </row>
    <row r="3842" spans="2:6" x14ac:dyDescent="0.25">
      <c r="B3842" s="33">
        <v>1</v>
      </c>
      <c r="C3842" t="s">
        <v>3</v>
      </c>
      <c r="D3842" t="s">
        <v>208</v>
      </c>
      <c r="E3842">
        <v>1</v>
      </c>
      <c r="F3842" s="2">
        <v>2.7397260273972603E-3</v>
      </c>
    </row>
    <row r="3843" spans="2:6" x14ac:dyDescent="0.25">
      <c r="B3843" s="33">
        <v>1</v>
      </c>
      <c r="C3843" t="s">
        <v>69</v>
      </c>
      <c r="D3843" t="s">
        <v>241</v>
      </c>
      <c r="E3843">
        <v>12</v>
      </c>
      <c r="F3843" s="2">
        <v>2.7397260273972603E-3</v>
      </c>
    </row>
    <row r="3844" spans="2:6" x14ac:dyDescent="0.25">
      <c r="B3844" s="33">
        <v>1</v>
      </c>
      <c r="C3844" t="s">
        <v>66</v>
      </c>
      <c r="D3844" t="s">
        <v>238</v>
      </c>
      <c r="E3844">
        <v>20</v>
      </c>
      <c r="F3844" s="2">
        <v>2.7397260273972603E-3</v>
      </c>
    </row>
    <row r="3845" spans="2:6" x14ac:dyDescent="0.25">
      <c r="B3845" s="33">
        <v>1</v>
      </c>
      <c r="C3845" t="s">
        <v>66</v>
      </c>
      <c r="D3845" t="s">
        <v>238</v>
      </c>
      <c r="E3845">
        <v>18</v>
      </c>
      <c r="F3845" s="2">
        <v>2.7397260273972603E-3</v>
      </c>
    </row>
    <row r="3846" spans="2:6" x14ac:dyDescent="0.25">
      <c r="B3846" s="33">
        <v>1</v>
      </c>
      <c r="C3846" t="s">
        <v>1</v>
      </c>
      <c r="D3846" t="s">
        <v>143</v>
      </c>
      <c r="E3846">
        <v>3</v>
      </c>
      <c r="F3846" s="2">
        <v>2.7397260273972603E-3</v>
      </c>
    </row>
    <row r="3847" spans="2:6" x14ac:dyDescent="0.25">
      <c r="B3847" s="33">
        <v>1</v>
      </c>
      <c r="C3847" t="s">
        <v>103</v>
      </c>
      <c r="D3847" t="s">
        <v>139</v>
      </c>
      <c r="E3847">
        <v>5</v>
      </c>
      <c r="F3847" s="2">
        <v>2.7397260273972603E-3</v>
      </c>
    </row>
    <row r="3848" spans="2:6" x14ac:dyDescent="0.25">
      <c r="B3848" s="33">
        <v>1</v>
      </c>
      <c r="C3848" t="s">
        <v>69</v>
      </c>
      <c r="D3848" t="s">
        <v>234</v>
      </c>
      <c r="E3848">
        <v>14</v>
      </c>
      <c r="F3848" s="2">
        <v>2.7397260273972603E-3</v>
      </c>
    </row>
    <row r="3849" spans="2:6" x14ac:dyDescent="0.25">
      <c r="B3849" s="33">
        <v>1</v>
      </c>
      <c r="C3849" t="s">
        <v>77</v>
      </c>
      <c r="D3849" t="s">
        <v>205</v>
      </c>
      <c r="E3849">
        <v>15</v>
      </c>
      <c r="F3849" s="2">
        <v>2.7397260273972603E-3</v>
      </c>
    </row>
    <row r="3850" spans="2:6" x14ac:dyDescent="0.25">
      <c r="B3850" s="33">
        <v>1</v>
      </c>
      <c r="C3850" t="s">
        <v>3</v>
      </c>
      <c r="D3850" t="s">
        <v>180</v>
      </c>
      <c r="E3850">
        <v>18</v>
      </c>
      <c r="F3850" s="2">
        <v>2.7397260273972603E-3</v>
      </c>
    </row>
    <row r="3851" spans="2:6" x14ac:dyDescent="0.25">
      <c r="B3851" s="33">
        <v>1</v>
      </c>
      <c r="C3851" t="s">
        <v>64</v>
      </c>
      <c r="D3851" t="s">
        <v>222</v>
      </c>
      <c r="E3851">
        <v>23</v>
      </c>
      <c r="F3851" s="2">
        <v>2.7397260273972603E-3</v>
      </c>
    </row>
    <row r="3852" spans="2:6" x14ac:dyDescent="0.25">
      <c r="B3852" s="33">
        <v>1</v>
      </c>
      <c r="C3852" t="s">
        <v>64</v>
      </c>
      <c r="D3852" t="s">
        <v>222</v>
      </c>
      <c r="E3852">
        <v>9</v>
      </c>
      <c r="F3852" s="2">
        <v>2.7397260273972603E-3</v>
      </c>
    </row>
    <row r="3853" spans="2:6" x14ac:dyDescent="0.25">
      <c r="B3853" s="33">
        <v>1</v>
      </c>
      <c r="C3853" t="s">
        <v>69</v>
      </c>
      <c r="D3853" t="s">
        <v>230</v>
      </c>
      <c r="E3853">
        <v>18</v>
      </c>
      <c r="F3853" s="2">
        <v>2.7397260273972603E-3</v>
      </c>
    </row>
    <row r="3854" spans="2:6" x14ac:dyDescent="0.25">
      <c r="B3854" s="33">
        <v>1</v>
      </c>
      <c r="C3854" t="s">
        <v>69</v>
      </c>
      <c r="D3854" t="s">
        <v>230</v>
      </c>
      <c r="E3854">
        <v>12</v>
      </c>
      <c r="F3854" s="2">
        <v>2.7397260273972603E-3</v>
      </c>
    </row>
    <row r="3855" spans="2:6" x14ac:dyDescent="0.25">
      <c r="B3855" s="33">
        <v>1</v>
      </c>
      <c r="C3855" t="s">
        <v>6</v>
      </c>
      <c r="D3855" t="s">
        <v>44</v>
      </c>
      <c r="E3855">
        <v>22</v>
      </c>
      <c r="F3855" s="2">
        <v>2.7397260273972603E-3</v>
      </c>
    </row>
    <row r="3856" spans="2:6" x14ac:dyDescent="0.25">
      <c r="B3856" s="33">
        <v>1</v>
      </c>
      <c r="C3856" t="s">
        <v>64</v>
      </c>
      <c r="D3856" t="s">
        <v>222</v>
      </c>
      <c r="E3856">
        <v>6</v>
      </c>
      <c r="F3856" s="2">
        <v>2.7397260273972603E-3</v>
      </c>
    </row>
    <row r="3857" spans="2:6" x14ac:dyDescent="0.25">
      <c r="B3857" s="33">
        <v>1</v>
      </c>
      <c r="C3857" t="s">
        <v>64</v>
      </c>
      <c r="D3857" t="s">
        <v>116</v>
      </c>
      <c r="E3857">
        <v>3</v>
      </c>
      <c r="F3857" s="2">
        <v>2.7397260273972603E-3</v>
      </c>
    </row>
    <row r="3858" spans="2:6" x14ac:dyDescent="0.25">
      <c r="B3858" s="33">
        <v>1</v>
      </c>
      <c r="C3858" t="s">
        <v>103</v>
      </c>
      <c r="D3858" t="s">
        <v>194</v>
      </c>
      <c r="E3858">
        <v>22</v>
      </c>
      <c r="F3858" s="2">
        <v>2.7397260273972603E-3</v>
      </c>
    </row>
    <row r="3859" spans="2:6" x14ac:dyDescent="0.25">
      <c r="B3859" s="33">
        <v>1</v>
      </c>
      <c r="C3859" t="s">
        <v>69</v>
      </c>
      <c r="D3859" t="s">
        <v>154</v>
      </c>
      <c r="E3859">
        <v>23</v>
      </c>
      <c r="F3859" s="2">
        <v>2.7397260273972603E-3</v>
      </c>
    </row>
    <row r="3860" spans="2:6" x14ac:dyDescent="0.25">
      <c r="B3860" s="33">
        <v>1</v>
      </c>
      <c r="C3860" t="s">
        <v>72</v>
      </c>
      <c r="D3860" t="s">
        <v>149</v>
      </c>
      <c r="E3860">
        <v>4</v>
      </c>
      <c r="F3860" s="2">
        <v>2.7397260273972603E-3</v>
      </c>
    </row>
    <row r="3861" spans="2:6" x14ac:dyDescent="0.25">
      <c r="B3861" s="33">
        <v>1</v>
      </c>
      <c r="C3861" t="s">
        <v>69</v>
      </c>
      <c r="D3861" t="s">
        <v>243</v>
      </c>
      <c r="E3861">
        <v>21</v>
      </c>
      <c r="F3861" s="2">
        <v>2.7397260273972603E-3</v>
      </c>
    </row>
    <row r="3862" spans="2:6" x14ac:dyDescent="0.25">
      <c r="B3862" s="33">
        <v>1</v>
      </c>
      <c r="C3862" t="s">
        <v>72</v>
      </c>
      <c r="D3862" t="s">
        <v>209</v>
      </c>
      <c r="E3862">
        <v>3</v>
      </c>
      <c r="F3862" s="2">
        <v>2.7397260273972603E-3</v>
      </c>
    </row>
    <row r="3863" spans="2:6" x14ac:dyDescent="0.25">
      <c r="B3863" s="33">
        <v>1</v>
      </c>
      <c r="C3863" t="s">
        <v>2</v>
      </c>
      <c r="D3863" t="s">
        <v>96</v>
      </c>
      <c r="E3863">
        <v>6</v>
      </c>
      <c r="F3863" s="2">
        <v>2.7397260273972603E-3</v>
      </c>
    </row>
    <row r="3864" spans="2:6" x14ac:dyDescent="0.25">
      <c r="B3864" s="33">
        <v>1</v>
      </c>
      <c r="C3864" t="s">
        <v>69</v>
      </c>
      <c r="D3864" t="s">
        <v>220</v>
      </c>
      <c r="E3864">
        <v>17</v>
      </c>
      <c r="F3864" s="2">
        <v>2.7397260273972603E-3</v>
      </c>
    </row>
    <row r="3865" spans="2:6" x14ac:dyDescent="0.25">
      <c r="B3865" s="33">
        <v>1</v>
      </c>
      <c r="C3865" t="s">
        <v>69</v>
      </c>
      <c r="D3865" t="s">
        <v>206</v>
      </c>
      <c r="E3865">
        <v>4</v>
      </c>
      <c r="F3865" s="2">
        <v>2.7397260273972603E-3</v>
      </c>
    </row>
    <row r="3866" spans="2:6" x14ac:dyDescent="0.25">
      <c r="B3866" s="33">
        <v>1</v>
      </c>
      <c r="C3866" t="s">
        <v>66</v>
      </c>
      <c r="D3866" t="s">
        <v>219</v>
      </c>
      <c r="E3866">
        <v>9</v>
      </c>
      <c r="F3866" s="2">
        <v>2.7397260273972603E-3</v>
      </c>
    </row>
    <row r="3867" spans="2:6" x14ac:dyDescent="0.25">
      <c r="B3867" s="33">
        <v>1</v>
      </c>
      <c r="C3867" t="s">
        <v>69</v>
      </c>
      <c r="D3867" t="s">
        <v>190</v>
      </c>
      <c r="E3867">
        <v>2</v>
      </c>
      <c r="F3867" s="2">
        <v>2.7397260273972603E-3</v>
      </c>
    </row>
    <row r="3868" spans="2:6" x14ac:dyDescent="0.25">
      <c r="B3868" s="33">
        <v>1</v>
      </c>
      <c r="C3868" t="s">
        <v>69</v>
      </c>
      <c r="D3868" t="s">
        <v>233</v>
      </c>
      <c r="E3868">
        <v>16</v>
      </c>
      <c r="F3868" s="2">
        <v>2.7397260273972603E-3</v>
      </c>
    </row>
    <row r="3869" spans="2:6" x14ac:dyDescent="0.25">
      <c r="B3869" s="33">
        <v>1</v>
      </c>
      <c r="C3869" t="s">
        <v>66</v>
      </c>
      <c r="D3869" t="s">
        <v>245</v>
      </c>
      <c r="E3869">
        <v>19</v>
      </c>
      <c r="F3869" s="2">
        <v>2.7397260273972603E-3</v>
      </c>
    </row>
    <row r="3870" spans="2:6" x14ac:dyDescent="0.25">
      <c r="B3870" s="33">
        <v>1</v>
      </c>
      <c r="C3870" t="s">
        <v>2</v>
      </c>
      <c r="D3870" t="s">
        <v>172</v>
      </c>
      <c r="E3870">
        <v>6</v>
      </c>
      <c r="F3870" s="2">
        <v>2.7397260273972603E-3</v>
      </c>
    </row>
    <row r="3871" spans="2:6" x14ac:dyDescent="0.25">
      <c r="B3871" s="33">
        <v>1</v>
      </c>
      <c r="C3871" t="s">
        <v>2</v>
      </c>
      <c r="D3871" t="s">
        <v>118</v>
      </c>
      <c r="E3871">
        <v>0</v>
      </c>
      <c r="F3871" s="2">
        <v>2.7397260273972603E-3</v>
      </c>
    </row>
    <row r="3872" spans="2:6" x14ac:dyDescent="0.25">
      <c r="B3872" s="33">
        <v>1</v>
      </c>
      <c r="C3872" t="s">
        <v>77</v>
      </c>
      <c r="D3872" t="s">
        <v>97</v>
      </c>
      <c r="E3872">
        <v>22</v>
      </c>
      <c r="F3872" s="2">
        <v>2.7397260273972603E-3</v>
      </c>
    </row>
    <row r="3873" spans="2:6" x14ac:dyDescent="0.25">
      <c r="B3873" s="33">
        <v>1</v>
      </c>
      <c r="C3873" t="s">
        <v>69</v>
      </c>
      <c r="D3873" t="s">
        <v>230</v>
      </c>
      <c r="E3873">
        <v>9</v>
      </c>
      <c r="F3873" s="2">
        <v>2.7397260273972603E-3</v>
      </c>
    </row>
    <row r="3874" spans="2:6" x14ac:dyDescent="0.25">
      <c r="B3874" s="33">
        <v>1</v>
      </c>
      <c r="C3874" t="s">
        <v>69</v>
      </c>
      <c r="D3874" t="s">
        <v>244</v>
      </c>
      <c r="E3874">
        <v>16</v>
      </c>
      <c r="F3874" s="2">
        <v>2.7397260273972603E-3</v>
      </c>
    </row>
    <row r="3875" spans="2:6" x14ac:dyDescent="0.25">
      <c r="B3875" s="33">
        <v>1</v>
      </c>
      <c r="C3875" t="s">
        <v>126</v>
      </c>
      <c r="D3875" t="s">
        <v>147</v>
      </c>
      <c r="E3875">
        <v>5</v>
      </c>
      <c r="F3875" s="2">
        <v>2.7397260273972603E-3</v>
      </c>
    </row>
    <row r="3876" spans="2:6" x14ac:dyDescent="0.25">
      <c r="B3876" s="33">
        <v>1</v>
      </c>
      <c r="C3876" t="s">
        <v>69</v>
      </c>
      <c r="D3876" t="s">
        <v>236</v>
      </c>
      <c r="E3876">
        <v>18</v>
      </c>
      <c r="F3876" s="2">
        <v>2.7397260273972603E-3</v>
      </c>
    </row>
    <row r="3877" spans="2:6" x14ac:dyDescent="0.25">
      <c r="B3877" s="33">
        <v>1</v>
      </c>
      <c r="C3877" t="s">
        <v>66</v>
      </c>
      <c r="D3877" t="s">
        <v>239</v>
      </c>
      <c r="E3877">
        <v>16</v>
      </c>
      <c r="F3877" s="2">
        <v>2.7397260273972603E-3</v>
      </c>
    </row>
    <row r="3878" spans="2:6" x14ac:dyDescent="0.25">
      <c r="B3878" s="33">
        <v>1</v>
      </c>
      <c r="C3878" t="s">
        <v>77</v>
      </c>
      <c r="D3878" t="s">
        <v>192</v>
      </c>
      <c r="E3878">
        <v>2</v>
      </c>
      <c r="F3878" s="2">
        <v>2.7397260273972603E-3</v>
      </c>
    </row>
    <row r="3879" spans="2:6" x14ac:dyDescent="0.25">
      <c r="B3879" s="33">
        <v>1</v>
      </c>
      <c r="C3879" t="s">
        <v>3</v>
      </c>
      <c r="D3879" t="s">
        <v>203</v>
      </c>
      <c r="E3879">
        <v>2</v>
      </c>
      <c r="F3879" s="2">
        <v>2.7397260273972603E-3</v>
      </c>
    </row>
    <row r="3880" spans="2:6" x14ac:dyDescent="0.25">
      <c r="B3880" s="33">
        <v>1</v>
      </c>
      <c r="C3880" t="s">
        <v>3</v>
      </c>
      <c r="D3880" t="s">
        <v>208</v>
      </c>
      <c r="E3880">
        <v>4</v>
      </c>
      <c r="F3880" s="2">
        <v>2.7397260273972603E-3</v>
      </c>
    </row>
    <row r="3881" spans="2:6" x14ac:dyDescent="0.25">
      <c r="B3881" s="33">
        <v>1</v>
      </c>
      <c r="C3881" t="s">
        <v>72</v>
      </c>
      <c r="D3881" t="s">
        <v>209</v>
      </c>
      <c r="E3881">
        <v>4</v>
      </c>
      <c r="F3881" s="2">
        <v>2.7397260273972603E-3</v>
      </c>
    </row>
    <row r="3882" spans="2:6" x14ac:dyDescent="0.25">
      <c r="B3882" s="33">
        <v>1</v>
      </c>
      <c r="C3882" t="s">
        <v>77</v>
      </c>
      <c r="D3882" t="s">
        <v>177</v>
      </c>
      <c r="E3882">
        <v>13</v>
      </c>
      <c r="F3882" s="2">
        <v>2.7397260273972603E-3</v>
      </c>
    </row>
    <row r="3883" spans="2:6" x14ac:dyDescent="0.25">
      <c r="B3883" s="33">
        <v>1</v>
      </c>
      <c r="C3883" t="s">
        <v>77</v>
      </c>
      <c r="D3883" t="s">
        <v>192</v>
      </c>
      <c r="E3883">
        <v>20</v>
      </c>
      <c r="F3883" s="2">
        <v>2.7397260273972603E-3</v>
      </c>
    </row>
    <row r="3884" spans="2:6" x14ac:dyDescent="0.25">
      <c r="B3884" s="33">
        <v>1</v>
      </c>
      <c r="C3884" t="s">
        <v>69</v>
      </c>
      <c r="D3884" t="s">
        <v>124</v>
      </c>
      <c r="E3884">
        <v>7</v>
      </c>
      <c r="F3884" s="2">
        <v>2.7397260273972603E-3</v>
      </c>
    </row>
    <row r="3885" spans="2:6" x14ac:dyDescent="0.25">
      <c r="B3885" s="33">
        <v>1</v>
      </c>
      <c r="C3885" t="s">
        <v>3</v>
      </c>
      <c r="D3885" t="s">
        <v>195</v>
      </c>
      <c r="E3885">
        <v>2</v>
      </c>
      <c r="F3885" s="2">
        <v>2.7397260273972603E-3</v>
      </c>
    </row>
    <row r="3886" spans="2:6" x14ac:dyDescent="0.25">
      <c r="B3886" s="33">
        <v>1</v>
      </c>
      <c r="C3886" t="s">
        <v>1</v>
      </c>
      <c r="D3886" t="s">
        <v>216</v>
      </c>
      <c r="E3886">
        <v>6</v>
      </c>
      <c r="F3886" s="2">
        <v>2.7397260273972603E-3</v>
      </c>
    </row>
    <row r="3887" spans="2:6" x14ac:dyDescent="0.25">
      <c r="B3887" s="33">
        <v>1</v>
      </c>
      <c r="C3887" t="s">
        <v>66</v>
      </c>
      <c r="D3887" t="s">
        <v>219</v>
      </c>
      <c r="E3887">
        <v>21</v>
      </c>
      <c r="F3887" s="2">
        <v>2.7397260273972603E-3</v>
      </c>
    </row>
    <row r="3888" spans="2:6" x14ac:dyDescent="0.25">
      <c r="B3888" s="33">
        <v>1</v>
      </c>
      <c r="C3888" t="s">
        <v>69</v>
      </c>
      <c r="D3888" t="s">
        <v>140</v>
      </c>
      <c r="E3888">
        <v>22</v>
      </c>
      <c r="F3888" s="2">
        <v>2.7397260273972603E-3</v>
      </c>
    </row>
    <row r="3889" spans="2:6" x14ac:dyDescent="0.25">
      <c r="B3889" s="33">
        <v>1</v>
      </c>
      <c r="C3889" t="s">
        <v>3</v>
      </c>
      <c r="D3889" t="s">
        <v>229</v>
      </c>
      <c r="E3889">
        <v>23</v>
      </c>
      <c r="F3889" s="2">
        <v>2.7397260273972603E-3</v>
      </c>
    </row>
    <row r="3890" spans="2:6" x14ac:dyDescent="0.25">
      <c r="B3890" s="33">
        <v>1</v>
      </c>
      <c r="C3890" t="s">
        <v>77</v>
      </c>
      <c r="D3890" t="s">
        <v>204</v>
      </c>
      <c r="E3890">
        <v>17</v>
      </c>
      <c r="F3890" s="2">
        <v>2.7397260273972603E-3</v>
      </c>
    </row>
    <row r="3891" spans="2:6" x14ac:dyDescent="0.25">
      <c r="B3891" s="33">
        <v>1</v>
      </c>
      <c r="C3891" t="s">
        <v>69</v>
      </c>
      <c r="D3891" t="s">
        <v>233</v>
      </c>
      <c r="E3891">
        <v>18</v>
      </c>
      <c r="F3891" s="2">
        <v>2.7397260273972603E-3</v>
      </c>
    </row>
    <row r="3892" spans="2:6" x14ac:dyDescent="0.25">
      <c r="B3892" s="33">
        <v>1</v>
      </c>
      <c r="C3892" t="s">
        <v>88</v>
      </c>
      <c r="D3892" t="s">
        <v>134</v>
      </c>
      <c r="E3892">
        <v>4</v>
      </c>
      <c r="F3892" s="2">
        <v>2.7397260273972603E-3</v>
      </c>
    </row>
    <row r="3893" spans="2:6" x14ac:dyDescent="0.25">
      <c r="B3893" s="33">
        <v>1</v>
      </c>
      <c r="C3893" t="s">
        <v>6</v>
      </c>
      <c r="D3893" t="s">
        <v>43</v>
      </c>
      <c r="E3893">
        <v>5</v>
      </c>
      <c r="F3893" s="2">
        <v>2.7397260273972603E-3</v>
      </c>
    </row>
    <row r="3894" spans="2:6" x14ac:dyDescent="0.25">
      <c r="B3894" s="33">
        <v>1</v>
      </c>
      <c r="C3894" t="s">
        <v>69</v>
      </c>
      <c r="D3894" t="s">
        <v>231</v>
      </c>
      <c r="E3894">
        <v>7</v>
      </c>
      <c r="F3894" s="2">
        <v>2.7397260273972603E-3</v>
      </c>
    </row>
    <row r="3895" spans="2:6" x14ac:dyDescent="0.25">
      <c r="B3895" s="33">
        <v>1</v>
      </c>
      <c r="C3895" t="s">
        <v>4</v>
      </c>
      <c r="D3895" t="s">
        <v>153</v>
      </c>
      <c r="E3895">
        <v>3</v>
      </c>
      <c r="F3895" s="2">
        <v>2.7397260273972603E-3</v>
      </c>
    </row>
    <row r="3896" spans="2:6" x14ac:dyDescent="0.25">
      <c r="B3896" s="33">
        <v>1</v>
      </c>
      <c r="C3896" t="s">
        <v>66</v>
      </c>
      <c r="D3896" t="s">
        <v>235</v>
      </c>
      <c r="E3896">
        <v>7</v>
      </c>
      <c r="F3896" s="2">
        <v>2.7397260273972603E-3</v>
      </c>
    </row>
    <row r="3897" spans="2:6" x14ac:dyDescent="0.25">
      <c r="B3897" s="33">
        <v>1</v>
      </c>
      <c r="C3897" t="s">
        <v>69</v>
      </c>
      <c r="D3897" t="s">
        <v>241</v>
      </c>
      <c r="E3897">
        <v>15</v>
      </c>
      <c r="F3897" s="2">
        <v>2.7397260273972603E-3</v>
      </c>
    </row>
    <row r="3898" spans="2:6" x14ac:dyDescent="0.25">
      <c r="B3898" s="33">
        <v>1</v>
      </c>
      <c r="C3898" t="s">
        <v>77</v>
      </c>
      <c r="D3898" t="s">
        <v>224</v>
      </c>
      <c r="E3898">
        <v>2</v>
      </c>
      <c r="F3898" s="2">
        <v>2.7397260273972603E-3</v>
      </c>
    </row>
    <row r="3899" spans="2:6" x14ac:dyDescent="0.25">
      <c r="B3899" s="33">
        <v>1</v>
      </c>
      <c r="C3899" t="s">
        <v>77</v>
      </c>
      <c r="D3899" t="s">
        <v>87</v>
      </c>
      <c r="E3899">
        <v>2</v>
      </c>
      <c r="F3899" s="2">
        <v>2.7397260273972603E-3</v>
      </c>
    </row>
    <row r="3900" spans="2:6" x14ac:dyDescent="0.25">
      <c r="B3900" s="33">
        <v>1</v>
      </c>
      <c r="C3900" t="s">
        <v>0</v>
      </c>
      <c r="D3900" t="s">
        <v>150</v>
      </c>
      <c r="E3900">
        <v>1</v>
      </c>
      <c r="F3900" s="2">
        <v>2.7397260273972603E-3</v>
      </c>
    </row>
  </sheetData>
  <mergeCells count="3">
    <mergeCell ref="A1:AH3"/>
    <mergeCell ref="B5:F5"/>
    <mergeCell ref="I5:M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DDC06-AF7C-495E-AF9E-EB3BEC38EFA2}">
  <sheetPr codeName="Sheet16">
    <tabColor theme="9" tint="0.59999389629810485"/>
  </sheetPr>
  <dimension ref="A1:BE762"/>
  <sheetViews>
    <sheetView showGridLines="0" tabSelected="1" zoomScale="90" zoomScaleNormal="60" workbookViewId="0">
      <pane ySplit="6" topLeftCell="A7" activePane="bottomLeft" state="frozen"/>
      <selection pane="bottomLeft" activeCell="B6" sqref="B6:Q762"/>
    </sheetView>
  </sheetViews>
  <sheetFormatPr defaultRowHeight="15" x14ac:dyDescent="0.25"/>
  <cols>
    <col min="2" max="2" width="14.42578125" style="3" bestFit="1" customWidth="1"/>
    <col min="3" max="3" width="6.140625" style="3" bestFit="1" customWidth="1"/>
    <col min="4" max="4" width="10.140625" style="3" bestFit="1" customWidth="1"/>
    <col min="5" max="5" width="25.7109375" style="3" bestFit="1" customWidth="1"/>
    <col min="6" max="6" width="11" style="3" bestFit="1" customWidth="1"/>
    <col min="7" max="7" width="9" style="3" bestFit="1" customWidth="1"/>
    <col min="8" max="8" width="11.28515625" style="3" bestFit="1" customWidth="1"/>
    <col min="9" max="9" width="4.5703125" style="3" bestFit="1" customWidth="1"/>
    <col min="10" max="10" width="15.42578125" style="3" bestFit="1" customWidth="1"/>
    <col min="11" max="11" width="13.28515625" style="3" bestFit="1" customWidth="1"/>
    <col min="12" max="12" width="5.85546875" style="3" hidden="1" customWidth="1"/>
    <col min="13" max="13" width="8.140625" style="3" hidden="1" customWidth="1"/>
    <col min="14" max="14" width="14.42578125" style="3" hidden="1" customWidth="1"/>
    <col min="15" max="15" width="6.5703125" style="3" hidden="1" customWidth="1"/>
    <col min="16" max="16" width="8.5703125" style="3" bestFit="1" customWidth="1"/>
    <col min="17" max="17" width="9.7109375" style="3" bestFit="1" customWidth="1"/>
    <col min="18" max="18" width="17" style="3" customWidth="1"/>
    <col min="19" max="19" width="19" bestFit="1" customWidth="1"/>
    <col min="20" max="20" width="11.28515625" bestFit="1" customWidth="1"/>
    <col min="21" max="21" width="15" bestFit="1" customWidth="1"/>
    <col min="22" max="22" width="25.85546875" bestFit="1" customWidth="1"/>
    <col min="23" max="23" width="16" bestFit="1" customWidth="1"/>
    <col min="24" max="24" width="14.140625" bestFit="1" customWidth="1"/>
    <col min="25" max="25" width="21.42578125" bestFit="1" customWidth="1"/>
    <col min="26" max="26" width="20.28515625" bestFit="1" customWidth="1"/>
    <col min="27" max="27" width="18.42578125" bestFit="1" customWidth="1"/>
    <col min="28" max="28" width="40.7109375" bestFit="1" customWidth="1"/>
    <col min="29" max="29" width="24.28515625" bestFit="1" customWidth="1"/>
    <col min="30" max="30" width="15.28515625" customWidth="1"/>
    <col min="31" max="31" width="17.42578125" bestFit="1" customWidth="1"/>
    <col min="32" max="32" width="19" bestFit="1" customWidth="1"/>
    <col min="33" max="33" width="25.85546875" bestFit="1" customWidth="1"/>
    <col min="34" max="34" width="37" bestFit="1" customWidth="1"/>
    <col min="35" max="35" width="13.140625" customWidth="1"/>
    <col min="36" max="36" width="17.28515625" bestFit="1" customWidth="1"/>
    <col min="37" max="37" width="6.140625" style="18" bestFit="1" customWidth="1"/>
    <col min="38" max="38" width="24.85546875" style="18" bestFit="1" customWidth="1"/>
    <col min="39" max="39" width="11.42578125" style="18" customWidth="1"/>
    <col min="40" max="40" width="19.140625" style="18" customWidth="1"/>
    <col min="41" max="41" width="5.85546875" customWidth="1"/>
    <col min="42" max="42" width="12.42578125" customWidth="1"/>
    <col min="43" max="43" width="8.140625" bestFit="1" customWidth="1"/>
    <col min="44" max="44" width="13.42578125" customWidth="1"/>
    <col min="45" max="45" width="14.140625" customWidth="1"/>
    <col min="49" max="49" width="15.28515625" customWidth="1"/>
    <col min="50" max="50" width="13.5703125" customWidth="1"/>
    <col min="51" max="51" width="12.42578125" customWidth="1"/>
  </cols>
  <sheetData>
    <row r="1" spans="1:57" ht="15" customHeight="1" x14ac:dyDescent="0.25">
      <c r="A1" s="57" t="s">
        <v>270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</row>
    <row r="2" spans="1:57" ht="15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</row>
    <row r="3" spans="1:57" ht="15" customHeight="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</row>
    <row r="5" spans="1:57" x14ac:dyDescent="0.25">
      <c r="B5" s="58" t="s">
        <v>322</v>
      </c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S5" s="58" t="s">
        <v>323</v>
      </c>
      <c r="T5" s="58"/>
      <c r="U5" s="58"/>
      <c r="V5" s="58"/>
      <c r="W5" s="58"/>
      <c r="X5" s="58"/>
      <c r="Y5" s="58"/>
      <c r="Z5" s="58"/>
      <c r="AA5" s="58"/>
      <c r="AB5" s="58"/>
      <c r="AC5" s="58"/>
      <c r="AF5" s="58" t="s">
        <v>324</v>
      </c>
      <c r="AG5" s="58"/>
      <c r="AH5" s="58"/>
      <c r="AJ5" s="58" t="s">
        <v>325</v>
      </c>
      <c r="AK5" s="58"/>
      <c r="AL5" s="58"/>
      <c r="AN5" s="59" t="s">
        <v>326</v>
      </c>
      <c r="AO5" s="59"/>
      <c r="AP5" s="59"/>
      <c r="AQ5" s="59"/>
      <c r="AR5" s="59"/>
    </row>
    <row r="6" spans="1:57" x14ac:dyDescent="0.25">
      <c r="B6" s="5" t="s">
        <v>257</v>
      </c>
      <c r="C6" s="5" t="s">
        <v>295</v>
      </c>
      <c r="D6" s="5" t="s">
        <v>13</v>
      </c>
      <c r="E6" s="5" t="s">
        <v>11</v>
      </c>
      <c r="F6" s="5" t="s">
        <v>47</v>
      </c>
      <c r="G6" s="5" t="s">
        <v>48</v>
      </c>
      <c r="H6" s="5" t="s">
        <v>7</v>
      </c>
      <c r="I6" s="5" t="s">
        <v>272</v>
      </c>
      <c r="J6" s="5" t="s">
        <v>302</v>
      </c>
      <c r="K6" s="5" t="s">
        <v>303</v>
      </c>
      <c r="L6" s="5" t="s">
        <v>260</v>
      </c>
      <c r="M6" s="5" t="s">
        <v>261</v>
      </c>
      <c r="N6" s="5" t="s">
        <v>262</v>
      </c>
      <c r="O6" s="5" t="s">
        <v>248</v>
      </c>
      <c r="P6" s="5" t="s">
        <v>314</v>
      </c>
      <c r="Q6" s="5" t="s">
        <v>315</v>
      </c>
      <c r="R6"/>
      <c r="S6" s="5" t="s">
        <v>257</v>
      </c>
      <c r="T6" s="5" t="s">
        <v>295</v>
      </c>
      <c r="U6" s="5" t="s">
        <v>13</v>
      </c>
      <c r="V6" s="5" t="s">
        <v>11</v>
      </c>
      <c r="W6" s="5" t="s">
        <v>47</v>
      </c>
      <c r="X6" s="5" t="s">
        <v>48</v>
      </c>
      <c r="Y6" s="5" t="s">
        <v>305</v>
      </c>
      <c r="Z6" s="5" t="s">
        <v>306</v>
      </c>
      <c r="AA6" s="5" t="s">
        <v>303</v>
      </c>
      <c r="AB6" s="5" t="s">
        <v>307</v>
      </c>
      <c r="AC6" s="5" t="s">
        <v>312</v>
      </c>
      <c r="AF6" s="5" t="s">
        <v>257</v>
      </c>
      <c r="AG6" s="5" t="s">
        <v>11</v>
      </c>
      <c r="AH6" s="5" t="s">
        <v>311</v>
      </c>
      <c r="AJ6" s="5" t="s">
        <v>258</v>
      </c>
      <c r="AK6" s="5" t="s">
        <v>295</v>
      </c>
      <c r="AL6" s="5" t="s">
        <v>259</v>
      </c>
      <c r="AM6"/>
      <c r="AN6" s="5" t="s">
        <v>258</v>
      </c>
      <c r="AO6" s="5" t="s">
        <v>295</v>
      </c>
      <c r="AP6" s="5" t="s">
        <v>316</v>
      </c>
      <c r="AQ6" s="5" t="s">
        <v>314</v>
      </c>
      <c r="AR6" s="5" t="s">
        <v>315</v>
      </c>
    </row>
    <row r="7" spans="1:57" x14ac:dyDescent="0.25">
      <c r="B7" s="3">
        <v>1</v>
      </c>
      <c r="C7">
        <v>0</v>
      </c>
      <c r="D7">
        <v>7</v>
      </c>
      <c r="E7" s="29" t="s">
        <v>33</v>
      </c>
      <c r="F7" s="3">
        <v>95</v>
      </c>
      <c r="G7" s="3">
        <v>155</v>
      </c>
      <c r="H7" s="29" t="s">
        <v>54</v>
      </c>
      <c r="I7" s="3">
        <v>0</v>
      </c>
      <c r="J7" s="7">
        <v>0.3576388888888889</v>
      </c>
      <c r="K7" s="7">
        <v>0.39930555555555558</v>
      </c>
      <c r="L7" s="3">
        <f t="shared" ref="L7:L70" si="0">IF(E7&lt;&gt;E8,1,0)</f>
        <v>0</v>
      </c>
      <c r="M7" s="3">
        <f t="shared" ref="M7:M70" si="1">IF(E7&lt;&gt;E6,1,0)</f>
        <v>1</v>
      </c>
      <c r="N7" s="29">
        <f>_xlfn.MAXIFS($G6:G$7,$E6:E$7,detalhe_carro1[[#This Row],[Nó]],$B6:B$7,detalhe_carro1[[#This Row],[Numero Voltas]],$L6:L$7,1)</f>
        <v>0</v>
      </c>
      <c r="O7" s="3" t="str">
        <f>IF(OR(detalhe_carro1[[#This Row],[Ultima Chegada]]=0,detalhe_carro1[[#This Row],[Chegada]]=0),"",detalhe_carro1[[#This Row],[Hora Inicio]]-detalhe_carro1[[#This Row],[Ultima Chegada]])</f>
        <v/>
      </c>
      <c r="P7" s="3">
        <f>IF(detalhe_carro1[[#This Row],[Tipo]]="Visitar Nó",((detalhe_carro1[[#This Row],[Hora Fim]]-detalhe_carro1[[#This Row],[Hora Inicio]])/60*velocidade_nos),0)</f>
        <v>0</v>
      </c>
      <c r="Q7" s="29">
        <f>detalhe_carro1[[#This Row],[Kms Nós]]+detalhe_carro1[[#This Row],[kms]]</f>
        <v>0</v>
      </c>
      <c r="S7" s="20">
        <v>1</v>
      </c>
      <c r="T7" s="20">
        <v>0</v>
      </c>
      <c r="U7" s="20">
        <v>7</v>
      </c>
      <c r="V7" s="20" t="s">
        <v>33</v>
      </c>
      <c r="W7">
        <v>95</v>
      </c>
      <c r="X7">
        <v>168</v>
      </c>
      <c r="Y7">
        <v>0</v>
      </c>
      <c r="Z7" s="7">
        <v>0.3576388888888889</v>
      </c>
      <c r="AA7" s="7">
        <v>0.40833333333333333</v>
      </c>
      <c r="AB7" s="7">
        <v>0.29166666666666669</v>
      </c>
      <c r="AC7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7" s="29" t="s">
        <v>298</v>
      </c>
      <c r="AG7" s="29" t="s">
        <v>33</v>
      </c>
      <c r="AH7" s="37">
        <f>AVERAGEIFS(tb_tempos_passagens[Tempo Passagem (h)],tb_tempos_passagens[Numero Voltas],AF7,tb_tempos_passagens[Nó],AG7)</f>
        <v>3.4433333333333338</v>
      </c>
      <c r="AJ7" s="29" t="s">
        <v>298</v>
      </c>
      <c r="AK7" s="29" t="s">
        <v>296</v>
      </c>
      <c r="AL7" s="37">
        <v>7.333333333333333</v>
      </c>
      <c r="AM7"/>
      <c r="AN7" s="29" t="s">
        <v>298</v>
      </c>
      <c r="AO7" s="29" t="s">
        <v>296</v>
      </c>
      <c r="AP7" s="3">
        <f>SUMIFS(detalhe_carro1[kms],detalhe_carro1[Numero Voltas],AN7,detalhe_carro1[Turno],AO7)</f>
        <v>45</v>
      </c>
      <c r="AQ7" s="3">
        <f>SUMIFS(detalhe_carro1[Kms Nós],detalhe_carro1[Numero Voltas],AN7,detalhe_carro1[Turno],AO7)</f>
        <v>93</v>
      </c>
      <c r="AR7" s="3">
        <f>AP7+AQ7</f>
        <v>138</v>
      </c>
    </row>
    <row r="8" spans="1:57" x14ac:dyDescent="0.25">
      <c r="B8" s="3">
        <v>1</v>
      </c>
      <c r="C8">
        <v>0</v>
      </c>
      <c r="D8">
        <v>7</v>
      </c>
      <c r="E8" s="29" t="s">
        <v>33</v>
      </c>
      <c r="F8" s="3">
        <v>125</v>
      </c>
      <c r="G8" s="3">
        <v>155</v>
      </c>
      <c r="H8" s="29" t="s">
        <v>54</v>
      </c>
      <c r="I8" s="3">
        <v>0</v>
      </c>
      <c r="J8" s="7">
        <v>0.37847222222222221</v>
      </c>
      <c r="K8" s="7">
        <v>0.39930555555555558</v>
      </c>
      <c r="L8" s="3">
        <f t="shared" si="0"/>
        <v>0</v>
      </c>
      <c r="M8" s="3">
        <f t="shared" si="1"/>
        <v>0</v>
      </c>
      <c r="N8" s="29">
        <f>_xlfn.MAXIFS($G7:G$7,$E7:E$7,detalhe_carro1[[#This Row],[Nó]],$B7:B$7,detalhe_carro1[[#This Row],[Numero Voltas]],$L7:L$7,1)</f>
        <v>0</v>
      </c>
      <c r="O8" s="3" t="str">
        <f>IF(OR(detalhe_carro1[[#This Row],[Ultima Chegada]]=0,detalhe_carro1[[#This Row],[Chegada]]=0),"",detalhe_carro1[[#This Row],[Hora Inicio]]-detalhe_carro1[[#This Row],[Ultima Chegada]])</f>
        <v/>
      </c>
      <c r="P8" s="3">
        <f>IF(detalhe_carro1[[#This Row],[Tipo]]="Visitar Nó",((detalhe_carro1[[#This Row],[Hora Fim]]-detalhe_carro1[[#This Row],[Hora Inicio]])/60*velocidade_nos),0)</f>
        <v>0</v>
      </c>
      <c r="Q8" s="29">
        <f>detalhe_carro1[[#This Row],[Kms Nós]]+detalhe_carro1[[#This Row],[kms]]</f>
        <v>0</v>
      </c>
      <c r="S8" s="20">
        <v>1</v>
      </c>
      <c r="T8" s="20">
        <v>0</v>
      </c>
      <c r="U8" s="20">
        <v>6</v>
      </c>
      <c r="V8" s="20" t="s">
        <v>31</v>
      </c>
      <c r="W8">
        <v>171</v>
      </c>
      <c r="X8">
        <v>196</v>
      </c>
      <c r="Y8">
        <v>0</v>
      </c>
      <c r="Z8" s="7">
        <v>0.41041666666666665</v>
      </c>
      <c r="AA8" s="7">
        <v>0.42777777777777776</v>
      </c>
      <c r="AB8" s="7">
        <v>0.29166666666666669</v>
      </c>
      <c r="AC8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8" s="29" t="s">
        <v>298</v>
      </c>
      <c r="AG8" s="29" t="s">
        <v>31</v>
      </c>
      <c r="AH8" s="37">
        <f>AVERAGEIFS(tb_tempos_passagens[Tempo Passagem (h)],tb_tempos_passagens[Numero Voltas],AF8,tb_tempos_passagens[Nó],AG8)</f>
        <v>3.5333333333333337</v>
      </c>
      <c r="AJ8" s="29" t="s">
        <v>298</v>
      </c>
      <c r="AK8" s="29" t="s">
        <v>298</v>
      </c>
      <c r="AL8" s="37">
        <v>11</v>
      </c>
      <c r="AM8"/>
      <c r="AN8" s="29" t="s">
        <v>298</v>
      </c>
      <c r="AO8" s="29" t="s">
        <v>298</v>
      </c>
      <c r="AP8" s="3">
        <f>SUMIFS(detalhe_carro1[kms],detalhe_carro1[Numero Voltas],AN8,detalhe_carro1[Turno],AO8)</f>
        <v>45</v>
      </c>
      <c r="AQ8" s="3">
        <f>SUMIFS(detalhe_carro1[Kms Nós],detalhe_carro1[Numero Voltas],AN8,detalhe_carro1[Turno],AO8)</f>
        <v>93</v>
      </c>
      <c r="AR8" s="3">
        <f t="shared" ref="AR8:AR18" si="2">AP8+AQ8</f>
        <v>138</v>
      </c>
    </row>
    <row r="9" spans="1:57" x14ac:dyDescent="0.25">
      <c r="B9" s="3">
        <v>1</v>
      </c>
      <c r="C9">
        <v>0</v>
      </c>
      <c r="D9">
        <v>7</v>
      </c>
      <c r="E9" s="29" t="s">
        <v>33</v>
      </c>
      <c r="F9" s="3">
        <v>90</v>
      </c>
      <c r="G9" s="3">
        <v>155</v>
      </c>
      <c r="H9" s="29" t="s">
        <v>52</v>
      </c>
      <c r="I9" s="3">
        <v>0</v>
      </c>
      <c r="J9" s="7">
        <v>0.35416666666666669</v>
      </c>
      <c r="K9" s="7">
        <v>0.39930555555555558</v>
      </c>
      <c r="L9" s="3">
        <f t="shared" si="0"/>
        <v>0</v>
      </c>
      <c r="M9" s="3">
        <f t="shared" si="1"/>
        <v>0</v>
      </c>
      <c r="N9" s="29">
        <f>_xlfn.MAXIFS($G$7:G8,$E$7:E8,detalhe_carro1[[#This Row],[Nó]],$B$7:B8,detalhe_carro1[[#This Row],[Numero Voltas]],$L$7:L8,1)</f>
        <v>0</v>
      </c>
      <c r="O9" s="3" t="str">
        <f>IF(OR(detalhe_carro1[[#This Row],[Ultima Chegada]]=0,detalhe_carro1[[#This Row],[Chegada]]=0),"",detalhe_carro1[[#This Row],[Hora Inicio]]-detalhe_carro1[[#This Row],[Ultima Chegada]])</f>
        <v/>
      </c>
      <c r="P9" s="3">
        <f>IF(detalhe_carro1[[#This Row],[Tipo]]="Visitar Nó",((detalhe_carro1[[#This Row],[Hora Fim]]-detalhe_carro1[[#This Row],[Hora Inicio]])/60*velocidade_nos),0)</f>
        <v>0</v>
      </c>
      <c r="Q9" s="29">
        <f>detalhe_carro1[[#This Row],[Kms Nós]]+detalhe_carro1[[#This Row],[kms]]</f>
        <v>0</v>
      </c>
      <c r="S9" s="20">
        <v>1</v>
      </c>
      <c r="T9" s="20">
        <v>0</v>
      </c>
      <c r="U9" s="20">
        <v>5</v>
      </c>
      <c r="V9" s="20" t="s">
        <v>29</v>
      </c>
      <c r="W9">
        <v>199</v>
      </c>
      <c r="X9">
        <v>230</v>
      </c>
      <c r="Y9">
        <v>0</v>
      </c>
      <c r="Z9" s="7">
        <v>0.42986111111111114</v>
      </c>
      <c r="AA9" s="7">
        <v>0.4513888888888889</v>
      </c>
      <c r="AB9" s="7">
        <v>0.29166666666666669</v>
      </c>
      <c r="AC9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9" s="29" t="s">
        <v>298</v>
      </c>
      <c r="AG9" s="29" t="s">
        <v>29</v>
      </c>
      <c r="AH9" s="37">
        <f>AVERAGEIFS(tb_tempos_passagens[Tempo Passagem (h)],tb_tempos_passagens[Numero Voltas],AF9,tb_tempos_passagens[Nó],AG9)</f>
        <v>3.21</v>
      </c>
      <c r="AJ9" s="29" t="s">
        <v>298</v>
      </c>
      <c r="AK9" s="29" t="s">
        <v>299</v>
      </c>
      <c r="AL9" s="37">
        <v>0</v>
      </c>
      <c r="AM9"/>
      <c r="AN9" s="29" t="s">
        <v>298</v>
      </c>
      <c r="AO9" s="29" t="s">
        <v>299</v>
      </c>
      <c r="AP9" s="3">
        <f>SUMIFS(detalhe_carro1[kms],detalhe_carro1[Numero Voltas],AN9,detalhe_carro1[Turno],AO9)</f>
        <v>45</v>
      </c>
      <c r="AQ9" s="3">
        <f>SUMIFS(detalhe_carro1[Kms Nós],detalhe_carro1[Numero Voltas],AN9,detalhe_carro1[Turno],AO9)</f>
        <v>93</v>
      </c>
      <c r="AR9" s="3">
        <f t="shared" si="2"/>
        <v>138</v>
      </c>
    </row>
    <row r="10" spans="1:57" x14ac:dyDescent="0.25">
      <c r="B10" s="3">
        <v>1</v>
      </c>
      <c r="C10">
        <v>0</v>
      </c>
      <c r="D10">
        <v>7</v>
      </c>
      <c r="E10" s="29" t="s">
        <v>33</v>
      </c>
      <c r="F10" s="3">
        <v>155</v>
      </c>
      <c r="G10" s="3">
        <v>155</v>
      </c>
      <c r="H10" s="29" t="s">
        <v>49</v>
      </c>
      <c r="I10" s="3">
        <v>0</v>
      </c>
      <c r="J10" s="7">
        <v>0.39930555555555558</v>
      </c>
      <c r="K10" s="7">
        <v>0.39930555555555558</v>
      </c>
      <c r="L10" s="3">
        <f t="shared" si="0"/>
        <v>0</v>
      </c>
      <c r="M10" s="3">
        <f t="shared" si="1"/>
        <v>0</v>
      </c>
      <c r="N10" s="29">
        <f>_xlfn.MAXIFS($G$7:G9,$E$7:E9,detalhe_carro1[[#This Row],[Nó]],$B$7:B9,detalhe_carro1[[#This Row],[Numero Voltas]],$L$7:L9,1)</f>
        <v>0</v>
      </c>
      <c r="O10" s="3" t="str">
        <f>IF(OR(detalhe_carro1[[#This Row],[Ultima Chegada]]=0,detalhe_carro1[[#This Row],[Chegada]]=0),"",detalhe_carro1[[#This Row],[Hora Inicio]]-detalhe_carro1[[#This Row],[Ultima Chegada]])</f>
        <v/>
      </c>
      <c r="P10" s="3">
        <f>IF(detalhe_carro1[[#This Row],[Tipo]]="Visitar Nó",((detalhe_carro1[[#This Row],[Hora Fim]]-detalhe_carro1[[#This Row],[Hora Inicio]])/60*velocidade_nos),0)</f>
        <v>0</v>
      </c>
      <c r="Q10" s="29">
        <f>detalhe_carro1[[#This Row],[Kms Nós]]+detalhe_carro1[[#This Row],[kms]]</f>
        <v>0</v>
      </c>
      <c r="S10" s="20">
        <v>1</v>
      </c>
      <c r="T10" s="20">
        <v>0</v>
      </c>
      <c r="U10" s="20">
        <v>4</v>
      </c>
      <c r="V10" s="20" t="s">
        <v>27</v>
      </c>
      <c r="W10">
        <v>233</v>
      </c>
      <c r="X10">
        <v>249</v>
      </c>
      <c r="Y10">
        <v>0</v>
      </c>
      <c r="Z10" s="7">
        <v>0.45347222222222222</v>
      </c>
      <c r="AA10" s="7">
        <v>0.46458333333333335</v>
      </c>
      <c r="AB10" s="7">
        <v>0.29166666666666669</v>
      </c>
      <c r="AC10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0" s="29" t="s">
        <v>298</v>
      </c>
      <c r="AG10" s="29" t="s">
        <v>27</v>
      </c>
      <c r="AH10" s="37">
        <f>AVERAGEIFS(tb_tempos_passagens[Tempo Passagem (h)],tb_tempos_passagens[Numero Voltas],AF10,tb_tempos_passagens[Nó],AG10)</f>
        <v>3.3899999999999997</v>
      </c>
      <c r="AJ10" s="29" t="s">
        <v>299</v>
      </c>
      <c r="AK10" s="29" t="s">
        <v>296</v>
      </c>
      <c r="AL10" s="37">
        <v>6.2</v>
      </c>
      <c r="AM10"/>
      <c r="AN10" s="29" t="s">
        <v>299</v>
      </c>
      <c r="AO10" s="29" t="s">
        <v>296</v>
      </c>
      <c r="AP10" s="3">
        <f>SUMIFS(detalhe_carro1[kms],detalhe_carro1[Numero Voltas],AN10,detalhe_carro1[Turno],AO10)</f>
        <v>87</v>
      </c>
      <c r="AQ10" s="3">
        <f>SUMIFS(detalhe_carro1[Kms Nós],detalhe_carro1[Numero Voltas],AN10,detalhe_carro1[Turno],AO10)</f>
        <v>93</v>
      </c>
      <c r="AR10" s="3">
        <f t="shared" si="2"/>
        <v>180</v>
      </c>
    </row>
    <row r="11" spans="1:57" x14ac:dyDescent="0.25">
      <c r="B11" s="3">
        <v>1</v>
      </c>
      <c r="C11">
        <v>0</v>
      </c>
      <c r="D11">
        <v>7</v>
      </c>
      <c r="E11" s="29" t="s">
        <v>33</v>
      </c>
      <c r="F11" s="3">
        <v>155</v>
      </c>
      <c r="G11" s="3">
        <v>168</v>
      </c>
      <c r="H11" s="29" t="s">
        <v>50</v>
      </c>
      <c r="I11" s="3">
        <v>0</v>
      </c>
      <c r="J11" s="7">
        <v>0.39930555555555558</v>
      </c>
      <c r="K11" s="7">
        <v>0.40833333333333333</v>
      </c>
      <c r="L11" s="3">
        <f t="shared" si="0"/>
        <v>0</v>
      </c>
      <c r="M11" s="3">
        <f t="shared" si="1"/>
        <v>0</v>
      </c>
      <c r="N11" s="29">
        <f>_xlfn.MAXIFS($G$7:G10,$E$7:E10,detalhe_carro1[[#This Row],[Nó]],$B$7:B10,detalhe_carro1[[#This Row],[Numero Voltas]],$L$7:L10,1)</f>
        <v>0</v>
      </c>
      <c r="O11" s="3" t="str">
        <f>IF(OR(detalhe_carro1[[#This Row],[Ultima Chegada]]=0,detalhe_carro1[[#This Row],[Chegada]]=0),"",detalhe_carro1[[#This Row],[Hora Inicio]]-detalhe_carro1[[#This Row],[Ultima Chegada]])</f>
        <v/>
      </c>
      <c r="P11" s="3">
        <f>IF(detalhe_carro1[[#This Row],[Tipo]]="Visitar Nó",((detalhe_carro1[[#This Row],[Hora Fim]]-detalhe_carro1[[#This Row],[Hora Inicio]])/60*velocidade_nos),0)</f>
        <v>6.5</v>
      </c>
      <c r="Q11" s="29">
        <f>detalhe_carro1[[#This Row],[Kms Nós]]+detalhe_carro1[[#This Row],[kms]]</f>
        <v>6.5</v>
      </c>
      <c r="S11" s="20">
        <v>1</v>
      </c>
      <c r="T11" s="20">
        <v>0</v>
      </c>
      <c r="U11" s="20">
        <v>3</v>
      </c>
      <c r="V11" s="20" t="s">
        <v>26</v>
      </c>
      <c r="W11">
        <v>250</v>
      </c>
      <c r="X11">
        <v>261</v>
      </c>
      <c r="Y11">
        <v>0</v>
      </c>
      <c r="Z11" s="7">
        <v>0.46527777777777779</v>
      </c>
      <c r="AA11" s="7">
        <v>0.47291666666666665</v>
      </c>
      <c r="AB11" s="7">
        <v>0.29166666666666669</v>
      </c>
      <c r="AC11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1" s="29" t="s">
        <v>298</v>
      </c>
      <c r="AG11" s="29" t="s">
        <v>26</v>
      </c>
      <c r="AH11" s="37">
        <f>AVERAGEIFS(tb_tempos_passagens[Tempo Passagem (h)],tb_tempos_passagens[Numero Voltas],AF11,tb_tempos_passagens[Nó],AG11)</f>
        <v>3.3633333333333333</v>
      </c>
      <c r="AJ11" s="29" t="s">
        <v>299</v>
      </c>
      <c r="AK11" s="29" t="s">
        <v>298</v>
      </c>
      <c r="AL11" s="37">
        <v>5.5</v>
      </c>
      <c r="AM11"/>
      <c r="AN11" s="29" t="s">
        <v>299</v>
      </c>
      <c r="AO11" s="29" t="s">
        <v>298</v>
      </c>
      <c r="AP11" s="3">
        <f>SUMIFS(detalhe_carro1[kms],detalhe_carro1[Numero Voltas],AN11,detalhe_carro1[Turno],AO11)</f>
        <v>87</v>
      </c>
      <c r="AQ11" s="3">
        <f>SUMIFS(detalhe_carro1[Kms Nós],detalhe_carro1[Numero Voltas],AN11,detalhe_carro1[Turno],AO11)</f>
        <v>93</v>
      </c>
      <c r="AR11" s="3">
        <f t="shared" si="2"/>
        <v>180</v>
      </c>
    </row>
    <row r="12" spans="1:57" x14ac:dyDescent="0.25">
      <c r="B12" s="3">
        <v>1</v>
      </c>
      <c r="C12">
        <v>0</v>
      </c>
      <c r="D12">
        <v>7</v>
      </c>
      <c r="E12" s="29" t="s">
        <v>33</v>
      </c>
      <c r="F12" s="3">
        <v>168</v>
      </c>
      <c r="G12" s="3">
        <v>168</v>
      </c>
      <c r="H12" s="29" t="s">
        <v>51</v>
      </c>
      <c r="I12" s="3">
        <v>0</v>
      </c>
      <c r="J12" s="7">
        <v>0.40833333333333333</v>
      </c>
      <c r="K12" s="7">
        <v>0.40833333333333333</v>
      </c>
      <c r="L12" s="3">
        <f t="shared" si="0"/>
        <v>1</v>
      </c>
      <c r="M12" s="3">
        <f t="shared" si="1"/>
        <v>0</v>
      </c>
      <c r="N12" s="29">
        <f>_xlfn.MAXIFS($G$7:G11,$E$7:E11,detalhe_carro1[[#This Row],[Nó]],$B$7:B11,detalhe_carro1[[#This Row],[Numero Voltas]],$L$7:L11,1)</f>
        <v>0</v>
      </c>
      <c r="O12" s="3" t="str">
        <f>IF(OR(detalhe_carro1[[#This Row],[Ultima Chegada]]=0,detalhe_carro1[[#This Row],[Chegada]]=0),"",detalhe_carro1[[#This Row],[Hora Inicio]]-detalhe_carro1[[#This Row],[Ultima Chegada]])</f>
        <v/>
      </c>
      <c r="P12" s="3">
        <f>IF(detalhe_carro1[[#This Row],[Tipo]]="Visitar Nó",((detalhe_carro1[[#This Row],[Hora Fim]]-detalhe_carro1[[#This Row],[Hora Inicio]])/60*velocidade_nos),0)</f>
        <v>0</v>
      </c>
      <c r="Q12" s="29">
        <f>detalhe_carro1[[#This Row],[Kms Nós]]+detalhe_carro1[[#This Row],[kms]]</f>
        <v>0</v>
      </c>
      <c r="S12" s="20">
        <v>1</v>
      </c>
      <c r="T12" s="20">
        <v>0</v>
      </c>
      <c r="U12" s="20">
        <v>2</v>
      </c>
      <c r="V12" s="20" t="s">
        <v>24</v>
      </c>
      <c r="W12">
        <v>262</v>
      </c>
      <c r="X12">
        <v>277</v>
      </c>
      <c r="Y12">
        <v>0</v>
      </c>
      <c r="Z12" s="7">
        <v>0.47361111111111109</v>
      </c>
      <c r="AA12" s="7">
        <v>0.48402777777777778</v>
      </c>
      <c r="AB12" s="7">
        <v>0.29166666666666669</v>
      </c>
      <c r="AC12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2" s="29" t="s">
        <v>298</v>
      </c>
      <c r="AG12" s="29" t="s">
        <v>24</v>
      </c>
      <c r="AH12" s="37">
        <f>AVERAGEIFS(tb_tempos_passagens[Tempo Passagem (h)],tb_tempos_passagens[Numero Voltas],AF12,tb_tempos_passagens[Nó],AG12)</f>
        <v>3.1433333333333335</v>
      </c>
      <c r="AJ12" s="29" t="s">
        <v>299</v>
      </c>
      <c r="AK12" s="29" t="s">
        <v>299</v>
      </c>
      <c r="AL12" s="37">
        <v>0</v>
      </c>
      <c r="AM12"/>
      <c r="AN12" s="29" t="s">
        <v>299</v>
      </c>
      <c r="AO12" s="29" t="s">
        <v>299</v>
      </c>
      <c r="AP12" s="3">
        <f>SUMIFS(detalhe_carro1[kms],detalhe_carro1[Numero Voltas],AN12,detalhe_carro1[Turno],AO12)</f>
        <v>87</v>
      </c>
      <c r="AQ12" s="3">
        <f>SUMIFS(detalhe_carro1[Kms Nós],detalhe_carro1[Numero Voltas],AN12,detalhe_carro1[Turno],AO12)</f>
        <v>93</v>
      </c>
      <c r="AR12" s="3">
        <f t="shared" si="2"/>
        <v>180</v>
      </c>
    </row>
    <row r="13" spans="1:57" x14ac:dyDescent="0.25">
      <c r="B13" s="3">
        <v>1</v>
      </c>
      <c r="C13">
        <v>0</v>
      </c>
      <c r="D13">
        <v>6</v>
      </c>
      <c r="E13" s="29" t="s">
        <v>31</v>
      </c>
      <c r="F13" s="3">
        <v>171</v>
      </c>
      <c r="G13" s="3">
        <v>181</v>
      </c>
      <c r="H13" s="29" t="s">
        <v>297</v>
      </c>
      <c r="I13" s="3">
        <v>0</v>
      </c>
      <c r="J13" s="7">
        <v>0.41041666666666665</v>
      </c>
      <c r="K13" s="7">
        <v>0.41736111111111113</v>
      </c>
      <c r="L13" s="3">
        <f t="shared" si="0"/>
        <v>0</v>
      </c>
      <c r="M13" s="3">
        <f t="shared" si="1"/>
        <v>1</v>
      </c>
      <c r="N13" s="29">
        <f>_xlfn.MAXIFS($G$7:G12,$E$7:E12,detalhe_carro1[[#This Row],[Nó]],$B$7:B12,detalhe_carro1[[#This Row],[Numero Voltas]],$L$7:L12,1)</f>
        <v>0</v>
      </c>
      <c r="O13" s="3" t="str">
        <f>IF(OR(detalhe_carro1[[#This Row],[Ultima Chegada]]=0,detalhe_carro1[[#This Row],[Chegada]]=0),"",detalhe_carro1[[#This Row],[Hora Inicio]]-detalhe_carro1[[#This Row],[Ultima Chegada]])</f>
        <v/>
      </c>
      <c r="P13" s="3">
        <f>IF(detalhe_carro1[[#This Row],[Tipo]]="Visitar Nó",((detalhe_carro1[[#This Row],[Hora Fim]]-detalhe_carro1[[#This Row],[Hora Inicio]])/60*velocidade_nos),0)</f>
        <v>0</v>
      </c>
      <c r="Q13" s="29">
        <f>detalhe_carro1[[#This Row],[Kms Nós]]+detalhe_carro1[[#This Row],[kms]]</f>
        <v>0</v>
      </c>
      <c r="S13" s="20">
        <v>1</v>
      </c>
      <c r="T13" s="20">
        <v>0</v>
      </c>
      <c r="U13" s="20">
        <v>1</v>
      </c>
      <c r="V13" s="20" t="s">
        <v>22</v>
      </c>
      <c r="W13">
        <v>284</v>
      </c>
      <c r="X13">
        <v>296</v>
      </c>
      <c r="Y13">
        <v>0</v>
      </c>
      <c r="Z13" s="7">
        <v>0.48888888888888887</v>
      </c>
      <c r="AA13" s="7">
        <v>0.49722222222222223</v>
      </c>
      <c r="AB13" s="7">
        <v>0.29166666666666669</v>
      </c>
      <c r="AC13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3" s="29" t="s">
        <v>298</v>
      </c>
      <c r="AG13" s="29" t="s">
        <v>22</v>
      </c>
      <c r="AH13" s="37">
        <f>AVERAGEIFS(tb_tempos_passagens[Tempo Passagem (h)],tb_tempos_passagens[Numero Voltas],AF13,tb_tempos_passagens[Nó],AG13)</f>
        <v>2.4933333333333332</v>
      </c>
      <c r="AJ13" s="29" t="s">
        <v>300</v>
      </c>
      <c r="AK13" s="29" t="s">
        <v>296</v>
      </c>
      <c r="AL13" s="37">
        <v>6.875</v>
      </c>
      <c r="AM13"/>
      <c r="AN13" s="29" t="s">
        <v>300</v>
      </c>
      <c r="AO13" s="29" t="s">
        <v>296</v>
      </c>
      <c r="AP13" s="3">
        <f>SUMIFS(detalhe_carro1[kms],detalhe_carro1[Numero Voltas],AN13,detalhe_carro1[Turno],AO13)</f>
        <v>129</v>
      </c>
      <c r="AQ13" s="3">
        <f>SUMIFS(detalhe_carro1[Kms Nós],detalhe_carro1[Numero Voltas],AN13,detalhe_carro1[Turno],AO13)</f>
        <v>93</v>
      </c>
      <c r="AR13" s="3">
        <f t="shared" si="2"/>
        <v>222</v>
      </c>
    </row>
    <row r="14" spans="1:57" x14ac:dyDescent="0.25">
      <c r="B14" s="3">
        <v>1</v>
      </c>
      <c r="C14">
        <v>0</v>
      </c>
      <c r="D14">
        <v>6</v>
      </c>
      <c r="E14" s="29" t="s">
        <v>31</v>
      </c>
      <c r="F14" s="3">
        <v>184</v>
      </c>
      <c r="G14" s="3">
        <v>193</v>
      </c>
      <c r="H14" s="29" t="s">
        <v>50</v>
      </c>
      <c r="I14" s="3">
        <v>0</v>
      </c>
      <c r="J14" s="7">
        <v>0.41944444444444445</v>
      </c>
      <c r="K14" s="7">
        <v>0.42569444444444443</v>
      </c>
      <c r="L14" s="3">
        <f t="shared" si="0"/>
        <v>0</v>
      </c>
      <c r="M14" s="3">
        <f t="shared" si="1"/>
        <v>0</v>
      </c>
      <c r="N14" s="29">
        <f>_xlfn.MAXIFS($G$7:G13,$E$7:E13,detalhe_carro1[[#This Row],[Nó]],$B$7:B13,detalhe_carro1[[#This Row],[Numero Voltas]],$L$7:L13,1)</f>
        <v>0</v>
      </c>
      <c r="O14" s="3" t="str">
        <f>IF(OR(detalhe_carro1[[#This Row],[Ultima Chegada]]=0,detalhe_carro1[[#This Row],[Chegada]]=0),"",detalhe_carro1[[#This Row],[Hora Inicio]]-detalhe_carro1[[#This Row],[Ultima Chegada]])</f>
        <v/>
      </c>
      <c r="P14" s="3">
        <f>IF(detalhe_carro1[[#This Row],[Tipo]]="Visitar Nó",((detalhe_carro1[[#This Row],[Hora Fim]]-detalhe_carro1[[#This Row],[Hora Inicio]])/60*velocidade_nos),0)</f>
        <v>4.5</v>
      </c>
      <c r="Q14" s="29">
        <f>detalhe_carro1[[#This Row],[Kms Nós]]+detalhe_carro1[[#This Row],[kms]]</f>
        <v>4.5</v>
      </c>
      <c r="S14" s="20">
        <v>1</v>
      </c>
      <c r="T14" s="20">
        <v>0</v>
      </c>
      <c r="U14" s="20">
        <v>0</v>
      </c>
      <c r="V14" s="20" t="s">
        <v>20</v>
      </c>
      <c r="W14">
        <v>297</v>
      </c>
      <c r="X14">
        <v>312</v>
      </c>
      <c r="Y14">
        <v>0</v>
      </c>
      <c r="Z14" s="7">
        <v>0.49791666666666667</v>
      </c>
      <c r="AA14" s="7">
        <v>0.5083333333333333</v>
      </c>
      <c r="AB14" s="7">
        <v>0.29166666666666669</v>
      </c>
      <c r="AC14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4" s="29" t="s">
        <v>298</v>
      </c>
      <c r="AG14" s="29" t="s">
        <v>20</v>
      </c>
      <c r="AH14" s="37">
        <f>AVERAGEIFS(tb_tempos_passagens[Tempo Passagem (h)],tb_tempos_passagens[Numero Voltas],AF14,tb_tempos_passagens[Nó],AG14)</f>
        <v>7.2083333333333339</v>
      </c>
      <c r="AJ14" s="29" t="s">
        <v>300</v>
      </c>
      <c r="AK14" s="29" t="s">
        <v>298</v>
      </c>
      <c r="AL14" s="37">
        <v>7</v>
      </c>
      <c r="AM14"/>
      <c r="AN14" s="29" t="s">
        <v>300</v>
      </c>
      <c r="AO14" s="29" t="s">
        <v>298</v>
      </c>
      <c r="AP14" s="3">
        <f>SUMIFS(detalhe_carro1[kms],detalhe_carro1[Numero Voltas],AN14,detalhe_carro1[Turno],AO14)</f>
        <v>129</v>
      </c>
      <c r="AQ14" s="3">
        <f>SUMIFS(detalhe_carro1[Kms Nós],detalhe_carro1[Numero Voltas],AN14,detalhe_carro1[Turno],AO14)</f>
        <v>93</v>
      </c>
      <c r="AR14" s="3">
        <f t="shared" si="2"/>
        <v>222</v>
      </c>
    </row>
    <row r="15" spans="1:57" x14ac:dyDescent="0.25">
      <c r="B15" s="3">
        <v>1</v>
      </c>
      <c r="C15">
        <v>0</v>
      </c>
      <c r="D15">
        <v>6</v>
      </c>
      <c r="E15" s="29" t="s">
        <v>31</v>
      </c>
      <c r="F15" s="3">
        <v>196</v>
      </c>
      <c r="G15" s="3">
        <v>196</v>
      </c>
      <c r="H15" s="29" t="s">
        <v>51</v>
      </c>
      <c r="I15" s="3">
        <v>3</v>
      </c>
      <c r="J15" s="7">
        <v>0.42777777777777776</v>
      </c>
      <c r="K15" s="7">
        <v>0.42777777777777776</v>
      </c>
      <c r="L15" s="3">
        <f t="shared" si="0"/>
        <v>1</v>
      </c>
      <c r="M15" s="3">
        <f t="shared" si="1"/>
        <v>0</v>
      </c>
      <c r="N15" s="29">
        <f>_xlfn.MAXIFS($G$7:G14,$E$7:E14,detalhe_carro1[[#This Row],[Nó]],$B$7:B14,detalhe_carro1[[#This Row],[Numero Voltas]],$L$7:L14,1)</f>
        <v>0</v>
      </c>
      <c r="O15" s="3" t="str">
        <f>IF(OR(detalhe_carro1[[#This Row],[Ultima Chegada]]=0,detalhe_carro1[[#This Row],[Chegada]]=0),"",detalhe_carro1[[#This Row],[Hora Inicio]]-detalhe_carro1[[#This Row],[Ultima Chegada]])</f>
        <v/>
      </c>
      <c r="P15" s="3">
        <f>IF(detalhe_carro1[[#This Row],[Tipo]]="Visitar Nó",((detalhe_carro1[[#This Row],[Hora Fim]]-detalhe_carro1[[#This Row],[Hora Inicio]])/60*velocidade_nos),0)</f>
        <v>0</v>
      </c>
      <c r="Q15" s="29">
        <f>detalhe_carro1[[#This Row],[Kms Nós]]+detalhe_carro1[[#This Row],[kms]]</f>
        <v>3</v>
      </c>
      <c r="S15" s="20">
        <v>1</v>
      </c>
      <c r="T15" s="20">
        <v>0</v>
      </c>
      <c r="U15" s="20">
        <v>1</v>
      </c>
      <c r="V15" s="20" t="s">
        <v>22</v>
      </c>
      <c r="W15">
        <v>318</v>
      </c>
      <c r="X15">
        <v>391</v>
      </c>
      <c r="Y15">
        <v>296</v>
      </c>
      <c r="Z15" s="7">
        <v>0.51249999999999996</v>
      </c>
      <c r="AA15" s="7">
        <v>0.56319444444444444</v>
      </c>
      <c r="AB15" s="7">
        <v>0.49722222222222223</v>
      </c>
      <c r="AC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  <c r="AF15" s="29" t="s">
        <v>299</v>
      </c>
      <c r="AG15" s="29" t="s">
        <v>33</v>
      </c>
      <c r="AH15" s="37">
        <f>AVERAGEIFS(tb_tempos_passagens[Tempo Passagem (h)],tb_tempos_passagens[Numero Voltas],AF15,tb_tempos_passagens[Nó],AG15)</f>
        <v>2.677083333333333</v>
      </c>
      <c r="AJ15" s="29" t="s">
        <v>300</v>
      </c>
      <c r="AK15" s="29" t="s">
        <v>299</v>
      </c>
      <c r="AL15" s="37">
        <v>0</v>
      </c>
      <c r="AM15"/>
      <c r="AN15" s="29" t="s">
        <v>300</v>
      </c>
      <c r="AO15" s="29" t="s">
        <v>299</v>
      </c>
      <c r="AP15" s="3">
        <f>SUMIFS(detalhe_carro1[kms],detalhe_carro1[Numero Voltas],AN15,detalhe_carro1[Turno],AO15)</f>
        <v>129</v>
      </c>
      <c r="AQ15" s="3">
        <f>SUMIFS(detalhe_carro1[Kms Nós],detalhe_carro1[Numero Voltas],AN15,detalhe_carro1[Turno],AO15)</f>
        <v>93</v>
      </c>
      <c r="AR15" s="3">
        <f t="shared" si="2"/>
        <v>222</v>
      </c>
    </row>
    <row r="16" spans="1:57" x14ac:dyDescent="0.25">
      <c r="B16" s="3">
        <v>1</v>
      </c>
      <c r="C16">
        <v>0</v>
      </c>
      <c r="D16">
        <v>5</v>
      </c>
      <c r="E16" s="29" t="s">
        <v>29</v>
      </c>
      <c r="F16" s="3">
        <v>199</v>
      </c>
      <c r="G16" s="3">
        <v>227</v>
      </c>
      <c r="H16" s="29" t="s">
        <v>50</v>
      </c>
      <c r="I16" s="3">
        <v>0</v>
      </c>
      <c r="J16" s="7">
        <v>0.42986111111111114</v>
      </c>
      <c r="K16" s="7">
        <v>0.44930555555555557</v>
      </c>
      <c r="L16" s="3">
        <f t="shared" si="0"/>
        <v>0</v>
      </c>
      <c r="M16" s="3">
        <f t="shared" si="1"/>
        <v>1</v>
      </c>
      <c r="N16" s="29">
        <f>_xlfn.MAXIFS($G$7:G15,$E$7:E15,detalhe_carro1[[#This Row],[Nó]],$B$7:B15,detalhe_carro1[[#This Row],[Numero Voltas]],$L$7:L15,1)</f>
        <v>0</v>
      </c>
      <c r="O16" s="3" t="str">
        <f>IF(OR(detalhe_carro1[[#This Row],[Ultima Chegada]]=0,detalhe_carro1[[#This Row],[Chegada]]=0),"",detalhe_carro1[[#This Row],[Hora Inicio]]-detalhe_carro1[[#This Row],[Ultima Chegada]])</f>
        <v/>
      </c>
      <c r="P16" s="3">
        <f>IF(detalhe_carro1[[#This Row],[Tipo]]="Visitar Nó",((detalhe_carro1[[#This Row],[Hora Fim]]-detalhe_carro1[[#This Row],[Hora Inicio]])/60*velocidade_nos),0)</f>
        <v>14</v>
      </c>
      <c r="Q16" s="29">
        <f>detalhe_carro1[[#This Row],[Kms Nós]]+detalhe_carro1[[#This Row],[kms]]</f>
        <v>14</v>
      </c>
      <c r="S16" s="20">
        <v>1</v>
      </c>
      <c r="T16" s="20">
        <v>0</v>
      </c>
      <c r="U16" s="20">
        <v>2</v>
      </c>
      <c r="V16" s="20" t="s">
        <v>24</v>
      </c>
      <c r="W16">
        <v>398</v>
      </c>
      <c r="X16">
        <v>419</v>
      </c>
      <c r="Y16">
        <v>277</v>
      </c>
      <c r="Z16" s="7">
        <v>0.56805555555555554</v>
      </c>
      <c r="AA16" s="7">
        <v>0.58263888888888893</v>
      </c>
      <c r="AB16" s="7">
        <v>0.48402777777777778</v>
      </c>
      <c r="AC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2.0166666666666666</v>
      </c>
      <c r="AF16" s="29" t="s">
        <v>299</v>
      </c>
      <c r="AG16" s="29" t="s">
        <v>31</v>
      </c>
      <c r="AH16" s="37">
        <f>AVERAGEIFS(tb_tempos_passagens[Tempo Passagem (h)],tb_tempos_passagens[Numero Voltas],AF16,tb_tempos_passagens[Nó],AG16)</f>
        <v>1.6030303030303026</v>
      </c>
      <c r="AJ16" s="29" t="s">
        <v>301</v>
      </c>
      <c r="AK16" s="29" t="s">
        <v>296</v>
      </c>
      <c r="AL16" s="37">
        <v>6.5</v>
      </c>
      <c r="AM16"/>
      <c r="AN16" s="29" t="s">
        <v>301</v>
      </c>
      <c r="AO16" s="29" t="s">
        <v>296</v>
      </c>
      <c r="AP16" s="3">
        <f>SUMIFS(detalhe_carro1[kms],detalhe_carro1[Numero Voltas],AN16,detalhe_carro1[Turno],AO16)</f>
        <v>171</v>
      </c>
      <c r="AQ16" s="3">
        <f>SUMIFS(detalhe_carro1[Kms Nós],detalhe_carro1[Numero Voltas],AN16,detalhe_carro1[Turno],AO16)</f>
        <v>93</v>
      </c>
      <c r="AR16" s="3">
        <f t="shared" si="2"/>
        <v>264</v>
      </c>
    </row>
    <row r="17" spans="2:44" x14ac:dyDescent="0.25">
      <c r="B17" s="3">
        <v>1</v>
      </c>
      <c r="C17">
        <v>0</v>
      </c>
      <c r="D17">
        <v>5</v>
      </c>
      <c r="E17" s="29" t="s">
        <v>29</v>
      </c>
      <c r="F17" s="3">
        <v>230</v>
      </c>
      <c r="G17" s="3">
        <v>230</v>
      </c>
      <c r="H17" s="29" t="s">
        <v>51</v>
      </c>
      <c r="I17" s="3">
        <v>3</v>
      </c>
      <c r="J17" s="7">
        <v>0.4513888888888889</v>
      </c>
      <c r="K17" s="7">
        <v>0.4513888888888889</v>
      </c>
      <c r="L17" s="3">
        <f t="shared" si="0"/>
        <v>1</v>
      </c>
      <c r="M17" s="3">
        <f t="shared" si="1"/>
        <v>0</v>
      </c>
      <c r="N17" s="29">
        <f>_xlfn.MAXIFS($G$7:G16,$E$7:E16,detalhe_carro1[[#This Row],[Nó]],$B$7:B16,detalhe_carro1[[#This Row],[Numero Voltas]],$L$7:L16,1)</f>
        <v>0</v>
      </c>
      <c r="O17" s="3" t="str">
        <f>IF(OR(detalhe_carro1[[#This Row],[Ultima Chegada]]=0,detalhe_carro1[[#This Row],[Chegada]]=0),"",detalhe_carro1[[#This Row],[Hora Inicio]]-detalhe_carro1[[#This Row],[Ultima Chegada]])</f>
        <v/>
      </c>
      <c r="P17" s="3">
        <f>IF(detalhe_carro1[[#This Row],[Tipo]]="Visitar Nó",((detalhe_carro1[[#This Row],[Hora Fim]]-detalhe_carro1[[#This Row],[Hora Inicio]])/60*velocidade_nos),0)</f>
        <v>0</v>
      </c>
      <c r="Q17" s="29">
        <f>detalhe_carro1[[#This Row],[Kms Nós]]+detalhe_carro1[[#This Row],[kms]]</f>
        <v>3</v>
      </c>
      <c r="S17" s="20">
        <v>1</v>
      </c>
      <c r="T17" s="20">
        <v>0</v>
      </c>
      <c r="U17" s="20">
        <v>3</v>
      </c>
      <c r="V17" s="20" t="s">
        <v>26</v>
      </c>
      <c r="W17">
        <v>420</v>
      </c>
      <c r="X17">
        <v>431</v>
      </c>
      <c r="Y17">
        <v>261</v>
      </c>
      <c r="Z17" s="7">
        <v>0.58333333333333337</v>
      </c>
      <c r="AA17" s="7">
        <v>0.59097222222222223</v>
      </c>
      <c r="AB17" s="7">
        <v>0.47291666666666665</v>
      </c>
      <c r="AC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2.65</v>
      </c>
      <c r="AF17" s="29" t="s">
        <v>299</v>
      </c>
      <c r="AG17" s="29" t="s">
        <v>29</v>
      </c>
      <c r="AH17" s="37">
        <f>AVERAGEIFS(tb_tempos_passagens[Tempo Passagem (h)],tb_tempos_passagens[Numero Voltas],AF17,tb_tempos_passagens[Nó],AG17)</f>
        <v>1.5075757575757578</v>
      </c>
      <c r="AJ17" s="29" t="s">
        <v>301</v>
      </c>
      <c r="AK17" s="29" t="s">
        <v>298</v>
      </c>
      <c r="AL17" s="37">
        <v>7</v>
      </c>
      <c r="AM17"/>
      <c r="AN17" s="29" t="s">
        <v>301</v>
      </c>
      <c r="AO17" s="29" t="s">
        <v>298</v>
      </c>
      <c r="AP17" s="3">
        <f>SUMIFS(detalhe_carro1[kms],detalhe_carro1[Numero Voltas],AN17,detalhe_carro1[Turno],AO17)</f>
        <v>171</v>
      </c>
      <c r="AQ17" s="3">
        <f>SUMIFS(detalhe_carro1[Kms Nós],detalhe_carro1[Numero Voltas],AN17,detalhe_carro1[Turno],AO17)</f>
        <v>93</v>
      </c>
      <c r="AR17" s="3">
        <f t="shared" si="2"/>
        <v>264</v>
      </c>
    </row>
    <row r="18" spans="2:44" x14ac:dyDescent="0.25">
      <c r="B18" s="3">
        <v>1</v>
      </c>
      <c r="C18">
        <v>0</v>
      </c>
      <c r="D18">
        <v>4</v>
      </c>
      <c r="E18" s="29" t="s">
        <v>27</v>
      </c>
      <c r="F18" s="3">
        <v>233</v>
      </c>
      <c r="G18" s="3">
        <v>246</v>
      </c>
      <c r="H18" s="29" t="s">
        <v>50</v>
      </c>
      <c r="I18" s="3">
        <v>0</v>
      </c>
      <c r="J18" s="7">
        <v>0.45347222222222222</v>
      </c>
      <c r="K18" s="7">
        <v>0.46250000000000002</v>
      </c>
      <c r="L18" s="3">
        <f t="shared" si="0"/>
        <v>0</v>
      </c>
      <c r="M18" s="3">
        <f t="shared" si="1"/>
        <v>1</v>
      </c>
      <c r="N18" s="29">
        <f>_xlfn.MAXIFS($G$7:G17,$E$7:E17,detalhe_carro1[[#This Row],[Nó]],$B$7:B17,detalhe_carro1[[#This Row],[Numero Voltas]],$L$7:L17,1)</f>
        <v>0</v>
      </c>
      <c r="O18" s="3" t="str">
        <f>IF(OR(detalhe_carro1[[#This Row],[Ultima Chegada]]=0,detalhe_carro1[[#This Row],[Chegada]]=0),"",detalhe_carro1[[#This Row],[Hora Inicio]]-detalhe_carro1[[#This Row],[Ultima Chegada]])</f>
        <v/>
      </c>
      <c r="P18" s="3">
        <f>IF(detalhe_carro1[[#This Row],[Tipo]]="Visitar Nó",((detalhe_carro1[[#This Row],[Hora Fim]]-detalhe_carro1[[#This Row],[Hora Inicio]])/60*velocidade_nos),0)</f>
        <v>6.5</v>
      </c>
      <c r="Q18" s="29">
        <f>detalhe_carro1[[#This Row],[Kms Nós]]+detalhe_carro1[[#This Row],[kms]]</f>
        <v>6.5</v>
      </c>
      <c r="S18" s="20">
        <v>1</v>
      </c>
      <c r="T18" s="20">
        <v>0</v>
      </c>
      <c r="U18" s="20">
        <v>4</v>
      </c>
      <c r="V18" s="20" t="s">
        <v>27</v>
      </c>
      <c r="W18">
        <v>432</v>
      </c>
      <c r="X18">
        <v>446</v>
      </c>
      <c r="Y18">
        <v>249</v>
      </c>
      <c r="Z18" s="7">
        <v>0.59166666666666667</v>
      </c>
      <c r="AA18" s="7">
        <v>0.60138888888888886</v>
      </c>
      <c r="AB18" s="7">
        <v>0.46458333333333335</v>
      </c>
      <c r="AC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3.05</v>
      </c>
      <c r="AF18" s="29" t="s">
        <v>299</v>
      </c>
      <c r="AG18" s="29" t="s">
        <v>27</v>
      </c>
      <c r="AH18" s="37">
        <f>AVERAGEIFS(tb_tempos_passagens[Tempo Passagem (h)],tb_tempos_passagens[Numero Voltas],AF18,tb_tempos_passagens[Nó],AG18)</f>
        <v>1.6560606060606062</v>
      </c>
      <c r="AJ18" s="29" t="s">
        <v>301</v>
      </c>
      <c r="AK18" s="29" t="s">
        <v>299</v>
      </c>
      <c r="AL18" s="37">
        <v>0</v>
      </c>
      <c r="AM18"/>
      <c r="AN18" s="29" t="s">
        <v>301</v>
      </c>
      <c r="AO18" s="29" t="s">
        <v>299</v>
      </c>
      <c r="AP18" s="3">
        <f>SUMIFS(detalhe_carro1[kms],detalhe_carro1[Numero Voltas],AN18,detalhe_carro1[Turno],AO18)</f>
        <v>171</v>
      </c>
      <c r="AQ18" s="3">
        <f>SUMIFS(detalhe_carro1[Kms Nós],detalhe_carro1[Numero Voltas],AN18,detalhe_carro1[Turno],AO18)</f>
        <v>93</v>
      </c>
      <c r="AR18" s="3">
        <f t="shared" si="2"/>
        <v>264</v>
      </c>
    </row>
    <row r="19" spans="2:44" x14ac:dyDescent="0.25">
      <c r="B19" s="3">
        <v>1</v>
      </c>
      <c r="C19">
        <v>0</v>
      </c>
      <c r="D19">
        <v>4</v>
      </c>
      <c r="E19" s="29" t="s">
        <v>27</v>
      </c>
      <c r="F19" s="3">
        <v>249</v>
      </c>
      <c r="G19" s="3">
        <v>249</v>
      </c>
      <c r="H19" s="29" t="s">
        <v>51</v>
      </c>
      <c r="I19" s="3">
        <v>3</v>
      </c>
      <c r="J19" s="7">
        <v>0.46458333333333335</v>
      </c>
      <c r="K19" s="7">
        <v>0.46458333333333335</v>
      </c>
      <c r="L19" s="3">
        <f t="shared" si="0"/>
        <v>1</v>
      </c>
      <c r="M19" s="3">
        <f t="shared" si="1"/>
        <v>0</v>
      </c>
      <c r="N19" s="29">
        <f>_xlfn.MAXIFS($G$7:G18,$E$7:E18,detalhe_carro1[[#This Row],[Nó]],$B$7:B18,detalhe_carro1[[#This Row],[Numero Voltas]],$L$7:L18,1)</f>
        <v>0</v>
      </c>
      <c r="O19" s="3" t="str">
        <f>IF(OR(detalhe_carro1[[#This Row],[Ultima Chegada]]=0,detalhe_carro1[[#This Row],[Chegada]]=0),"",detalhe_carro1[[#This Row],[Hora Inicio]]-detalhe_carro1[[#This Row],[Ultima Chegada]])</f>
        <v/>
      </c>
      <c r="P19" s="3">
        <f>IF(detalhe_carro1[[#This Row],[Tipo]]="Visitar Nó",((detalhe_carro1[[#This Row],[Hora Fim]]-detalhe_carro1[[#This Row],[Hora Inicio]])/60*velocidade_nos),0)</f>
        <v>0</v>
      </c>
      <c r="Q19" s="29">
        <f>detalhe_carro1[[#This Row],[Kms Nós]]+detalhe_carro1[[#This Row],[kms]]</f>
        <v>3</v>
      </c>
      <c r="S19" s="20">
        <v>1</v>
      </c>
      <c r="T19" s="20">
        <v>0</v>
      </c>
      <c r="U19" s="20">
        <v>5</v>
      </c>
      <c r="V19" s="20" t="s">
        <v>29</v>
      </c>
      <c r="W19">
        <v>449</v>
      </c>
      <c r="X19">
        <v>493</v>
      </c>
      <c r="Y19">
        <v>230</v>
      </c>
      <c r="Z19" s="7">
        <v>0.60347222222222219</v>
      </c>
      <c r="AA19" s="7">
        <v>0.63402777777777775</v>
      </c>
      <c r="AB19" s="7">
        <v>0.4513888888888889</v>
      </c>
      <c r="AC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3.65</v>
      </c>
      <c r="AF19" s="29" t="s">
        <v>299</v>
      </c>
      <c r="AG19" s="29" t="s">
        <v>26</v>
      </c>
      <c r="AH19" s="37">
        <f>AVERAGEIFS(tb_tempos_passagens[Tempo Passagem (h)],tb_tempos_passagens[Numero Voltas],AF19,tb_tempos_passagens[Nó],AG19)</f>
        <v>1.665151515151515</v>
      </c>
      <c r="AJ19" s="3"/>
      <c r="AK19" s="3"/>
      <c r="AL19" s="3"/>
      <c r="AM19"/>
      <c r="AN19"/>
    </row>
    <row r="20" spans="2:44" x14ac:dyDescent="0.25">
      <c r="B20" s="3">
        <v>1</v>
      </c>
      <c r="C20">
        <v>0</v>
      </c>
      <c r="D20">
        <v>3</v>
      </c>
      <c r="E20" s="29" t="s">
        <v>26</v>
      </c>
      <c r="F20" s="3">
        <v>250</v>
      </c>
      <c r="G20" s="3">
        <v>260</v>
      </c>
      <c r="H20" s="29" t="s">
        <v>50</v>
      </c>
      <c r="I20" s="3">
        <v>0</v>
      </c>
      <c r="J20" s="7">
        <v>0.46527777777777779</v>
      </c>
      <c r="K20" s="7">
        <v>0.47222222222222221</v>
      </c>
      <c r="L20" s="3">
        <f t="shared" si="0"/>
        <v>0</v>
      </c>
      <c r="M20" s="3">
        <f t="shared" si="1"/>
        <v>1</v>
      </c>
      <c r="N20" s="29">
        <f>_xlfn.MAXIFS($G$7:G19,$E$7:E19,detalhe_carro1[[#This Row],[Nó]],$B$7:B19,detalhe_carro1[[#This Row],[Numero Voltas]],$L$7:L19,1)</f>
        <v>0</v>
      </c>
      <c r="O20" s="3" t="str">
        <f>IF(OR(detalhe_carro1[[#This Row],[Ultima Chegada]]=0,detalhe_carro1[[#This Row],[Chegada]]=0),"",detalhe_carro1[[#This Row],[Hora Inicio]]-detalhe_carro1[[#This Row],[Ultima Chegada]])</f>
        <v/>
      </c>
      <c r="P20" s="3">
        <f>IF(detalhe_carro1[[#This Row],[Tipo]]="Visitar Nó",((detalhe_carro1[[#This Row],[Hora Fim]]-detalhe_carro1[[#This Row],[Hora Inicio]])/60*velocidade_nos),0)</f>
        <v>5</v>
      </c>
      <c r="Q20" s="29">
        <f>detalhe_carro1[[#This Row],[Kms Nós]]+detalhe_carro1[[#This Row],[kms]]</f>
        <v>5</v>
      </c>
      <c r="S20" s="20">
        <v>1</v>
      </c>
      <c r="T20" s="20">
        <v>0</v>
      </c>
      <c r="U20" s="20">
        <v>6</v>
      </c>
      <c r="V20" s="20" t="s">
        <v>31</v>
      </c>
      <c r="W20">
        <v>496</v>
      </c>
      <c r="X20">
        <v>508</v>
      </c>
      <c r="Y20">
        <v>196</v>
      </c>
      <c r="Z20" s="7">
        <v>0.63611111111111107</v>
      </c>
      <c r="AA20" s="7">
        <v>0.64444444444444449</v>
      </c>
      <c r="AB20" s="7">
        <v>0.42777777777777776</v>
      </c>
      <c r="AC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</v>
      </c>
      <c r="AF20" s="29" t="s">
        <v>299</v>
      </c>
      <c r="AG20" s="29" t="s">
        <v>24</v>
      </c>
      <c r="AH20" s="37">
        <f>AVERAGEIFS(tb_tempos_passagens[Tempo Passagem (h)],tb_tempos_passagens[Numero Voltas],AF20,tb_tempos_passagens[Nó],AG20)</f>
        <v>1.5818181818181818</v>
      </c>
      <c r="AJ20" s="3"/>
      <c r="AK20" s="3"/>
      <c r="AL20" s="3"/>
      <c r="AM20"/>
      <c r="AN20"/>
    </row>
    <row r="21" spans="2:44" x14ac:dyDescent="0.25">
      <c r="B21" s="3">
        <v>1</v>
      </c>
      <c r="C21">
        <v>0</v>
      </c>
      <c r="D21">
        <v>3</v>
      </c>
      <c r="E21" s="29" t="s">
        <v>26</v>
      </c>
      <c r="F21" s="3">
        <v>261</v>
      </c>
      <c r="G21" s="3">
        <v>261</v>
      </c>
      <c r="H21" s="29" t="s">
        <v>51</v>
      </c>
      <c r="I21" s="3">
        <v>1</v>
      </c>
      <c r="J21" s="7">
        <v>0.47291666666666665</v>
      </c>
      <c r="K21" s="7">
        <v>0.47291666666666665</v>
      </c>
      <c r="L21" s="3">
        <f t="shared" si="0"/>
        <v>1</v>
      </c>
      <c r="M21" s="3">
        <f t="shared" si="1"/>
        <v>0</v>
      </c>
      <c r="N21" s="29">
        <f>_xlfn.MAXIFS($G$7:G20,$E$7:E20,detalhe_carro1[[#This Row],[Nó]],$B$7:B20,detalhe_carro1[[#This Row],[Numero Voltas]],$L$7:L20,1)</f>
        <v>0</v>
      </c>
      <c r="O21" s="3" t="str">
        <f>IF(OR(detalhe_carro1[[#This Row],[Ultima Chegada]]=0,detalhe_carro1[[#This Row],[Chegada]]=0),"",detalhe_carro1[[#This Row],[Hora Inicio]]-detalhe_carro1[[#This Row],[Ultima Chegada]])</f>
        <v/>
      </c>
      <c r="P21" s="3">
        <f>IF(detalhe_carro1[[#This Row],[Tipo]]="Visitar Nó",((detalhe_carro1[[#This Row],[Hora Fim]]-detalhe_carro1[[#This Row],[Hora Inicio]])/60*velocidade_nos),0)</f>
        <v>0</v>
      </c>
      <c r="Q21" s="29">
        <f>detalhe_carro1[[#This Row],[Kms Nós]]+detalhe_carro1[[#This Row],[kms]]</f>
        <v>1</v>
      </c>
      <c r="S21" s="20">
        <v>1</v>
      </c>
      <c r="T21" s="20">
        <v>0</v>
      </c>
      <c r="U21" s="20">
        <v>7</v>
      </c>
      <c r="V21" s="20" t="s">
        <v>33</v>
      </c>
      <c r="W21">
        <v>511</v>
      </c>
      <c r="X21">
        <v>579</v>
      </c>
      <c r="Y21">
        <v>168</v>
      </c>
      <c r="Z21" s="7">
        <v>0.64652777777777781</v>
      </c>
      <c r="AA21" s="7">
        <v>0.69374999999999998</v>
      </c>
      <c r="AB21" s="7">
        <v>0.40833333333333333</v>
      </c>
      <c r="AC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5.7166666666666668</v>
      </c>
      <c r="AF21" s="29" t="s">
        <v>299</v>
      </c>
      <c r="AG21" s="29" t="s">
        <v>22</v>
      </c>
      <c r="AH21" s="37">
        <f>AVERAGEIFS(tb_tempos_passagens[Tempo Passagem (h)],tb_tempos_passagens[Numero Voltas],AF21,tb_tempos_passagens[Nó],AG21)</f>
        <v>1.2393939393939393</v>
      </c>
      <c r="AK21"/>
      <c r="AL21"/>
      <c r="AM21"/>
      <c r="AN21"/>
    </row>
    <row r="22" spans="2:44" x14ac:dyDescent="0.25">
      <c r="B22" s="3">
        <v>1</v>
      </c>
      <c r="C22">
        <v>0</v>
      </c>
      <c r="D22">
        <v>2</v>
      </c>
      <c r="E22" s="29" t="s">
        <v>24</v>
      </c>
      <c r="F22" s="3">
        <v>262</v>
      </c>
      <c r="G22" s="3">
        <v>276</v>
      </c>
      <c r="H22" s="29" t="s">
        <v>50</v>
      </c>
      <c r="I22" s="3">
        <v>0</v>
      </c>
      <c r="J22" s="7">
        <v>0.47361111111111109</v>
      </c>
      <c r="K22" s="7">
        <v>0.48333333333333334</v>
      </c>
      <c r="L22" s="3">
        <f t="shared" si="0"/>
        <v>0</v>
      </c>
      <c r="M22" s="3">
        <f t="shared" si="1"/>
        <v>1</v>
      </c>
      <c r="N22" s="29">
        <f>_xlfn.MAXIFS($G$7:G21,$E$7:E21,detalhe_carro1[[#This Row],[Nó]],$B$7:B21,detalhe_carro1[[#This Row],[Numero Voltas]],$L$7:L21,1)</f>
        <v>0</v>
      </c>
      <c r="O22" s="3" t="str">
        <f>IF(OR(detalhe_carro1[[#This Row],[Ultima Chegada]]=0,detalhe_carro1[[#This Row],[Chegada]]=0),"",detalhe_carro1[[#This Row],[Hora Inicio]]-detalhe_carro1[[#This Row],[Ultima Chegada]])</f>
        <v/>
      </c>
      <c r="P22" s="3">
        <f>IF(detalhe_carro1[[#This Row],[Tipo]]="Visitar Nó",((detalhe_carro1[[#This Row],[Hora Fim]]-detalhe_carro1[[#This Row],[Hora Inicio]])/60*velocidade_nos),0)</f>
        <v>7</v>
      </c>
      <c r="Q22" s="29">
        <f>detalhe_carro1[[#This Row],[Kms Nós]]+detalhe_carro1[[#This Row],[kms]]</f>
        <v>7</v>
      </c>
      <c r="S22" s="20">
        <v>1</v>
      </c>
      <c r="T22" s="20">
        <v>1</v>
      </c>
      <c r="U22" s="20">
        <v>7</v>
      </c>
      <c r="V22" s="20" t="s">
        <v>33</v>
      </c>
      <c r="W22">
        <v>510</v>
      </c>
      <c r="X22">
        <v>583</v>
      </c>
      <c r="Y22">
        <v>579</v>
      </c>
      <c r="Z22" s="7">
        <v>0.64583333333333337</v>
      </c>
      <c r="AA22" s="7">
        <v>0.69652777777777775</v>
      </c>
      <c r="AB22" s="7">
        <v>0.69374999999999998</v>
      </c>
      <c r="AC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-1.1499999999999999</v>
      </c>
      <c r="AF22" s="29" t="s">
        <v>299</v>
      </c>
      <c r="AG22" s="29" t="s">
        <v>20</v>
      </c>
      <c r="AH22" s="37">
        <f>AVERAGEIFS(tb_tempos_passagens[Tempo Passagem (h)],tb_tempos_passagens[Numero Voltas],AF22,tb_tempos_passagens[Nó],AG22)</f>
        <v>2.9766666666666666</v>
      </c>
      <c r="AK22"/>
      <c r="AL22"/>
      <c r="AM22"/>
      <c r="AN22"/>
    </row>
    <row r="23" spans="2:44" x14ac:dyDescent="0.25">
      <c r="B23" s="3">
        <v>1</v>
      </c>
      <c r="C23">
        <v>0</v>
      </c>
      <c r="D23">
        <v>2</v>
      </c>
      <c r="E23" s="29" t="s">
        <v>24</v>
      </c>
      <c r="F23" s="3">
        <v>277</v>
      </c>
      <c r="G23" s="3">
        <v>277</v>
      </c>
      <c r="H23" s="29" t="s">
        <v>51</v>
      </c>
      <c r="I23" s="3">
        <v>1</v>
      </c>
      <c r="J23" s="7">
        <v>0.48402777777777778</v>
      </c>
      <c r="K23" s="7">
        <v>0.48402777777777778</v>
      </c>
      <c r="L23" s="3">
        <f t="shared" si="0"/>
        <v>1</v>
      </c>
      <c r="M23" s="3">
        <f t="shared" si="1"/>
        <v>0</v>
      </c>
      <c r="N23" s="29">
        <f>_xlfn.MAXIFS($G$7:G22,$E$7:E22,detalhe_carro1[[#This Row],[Nó]],$B$7:B22,detalhe_carro1[[#This Row],[Numero Voltas]],$L$7:L22,1)</f>
        <v>0</v>
      </c>
      <c r="O23" s="3" t="str">
        <f>IF(OR(detalhe_carro1[[#This Row],[Ultima Chegada]]=0,detalhe_carro1[[#This Row],[Chegada]]=0),"",detalhe_carro1[[#This Row],[Hora Inicio]]-detalhe_carro1[[#This Row],[Ultima Chegada]])</f>
        <v/>
      </c>
      <c r="P23" s="3">
        <f>IF(detalhe_carro1[[#This Row],[Tipo]]="Visitar Nó",((detalhe_carro1[[#This Row],[Hora Fim]]-detalhe_carro1[[#This Row],[Hora Inicio]])/60*velocidade_nos),0)</f>
        <v>0</v>
      </c>
      <c r="Q23" s="29">
        <f>detalhe_carro1[[#This Row],[Kms Nós]]+detalhe_carro1[[#This Row],[kms]]</f>
        <v>1</v>
      </c>
      <c r="S23" s="20">
        <v>1</v>
      </c>
      <c r="T23" s="20">
        <v>1</v>
      </c>
      <c r="U23" s="20">
        <v>6</v>
      </c>
      <c r="V23" s="20" t="s">
        <v>31</v>
      </c>
      <c r="W23">
        <v>586</v>
      </c>
      <c r="X23">
        <v>611</v>
      </c>
      <c r="Y23">
        <v>508</v>
      </c>
      <c r="Z23" s="7">
        <v>0.69861111111111107</v>
      </c>
      <c r="AA23" s="7">
        <v>0.71597222222222223</v>
      </c>
      <c r="AB23" s="7">
        <v>0.64444444444444449</v>
      </c>
      <c r="AC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1.3</v>
      </c>
      <c r="AF23" s="29" t="s">
        <v>300</v>
      </c>
      <c r="AG23" s="29" t="s">
        <v>33</v>
      </c>
      <c r="AH23" s="37">
        <f>AVERAGEIFS(tb_tempos_passagens[Tempo Passagem (h)],tb_tempos_passagens[Numero Voltas],AF23,tb_tempos_passagens[Nó],AG23)</f>
        <v>1.9469696969696968</v>
      </c>
      <c r="AK23"/>
      <c r="AL23"/>
      <c r="AM23"/>
      <c r="AN23"/>
    </row>
    <row r="24" spans="2:44" x14ac:dyDescent="0.25">
      <c r="B24" s="3">
        <v>1</v>
      </c>
      <c r="C24">
        <v>0</v>
      </c>
      <c r="D24">
        <v>1</v>
      </c>
      <c r="E24" s="29" t="s">
        <v>22</v>
      </c>
      <c r="F24" s="3">
        <v>284</v>
      </c>
      <c r="G24" s="3">
        <v>289</v>
      </c>
      <c r="H24" s="29" t="s">
        <v>50</v>
      </c>
      <c r="I24" s="3">
        <v>0</v>
      </c>
      <c r="J24" s="7">
        <v>0.48888888888888887</v>
      </c>
      <c r="K24" s="7">
        <v>0.49236111111111114</v>
      </c>
      <c r="L24" s="3">
        <f t="shared" si="0"/>
        <v>0</v>
      </c>
      <c r="M24" s="3">
        <f t="shared" si="1"/>
        <v>1</v>
      </c>
      <c r="N24" s="29">
        <f>_xlfn.MAXIFS($G$7:G23,$E$7:E23,detalhe_carro1[[#This Row],[Nó]],$B$7:B23,detalhe_carro1[[#This Row],[Numero Voltas]],$L$7:L23,1)</f>
        <v>0</v>
      </c>
      <c r="O24" s="3" t="str">
        <f>IF(OR(detalhe_carro1[[#This Row],[Ultima Chegada]]=0,detalhe_carro1[[#This Row],[Chegada]]=0),"",detalhe_carro1[[#This Row],[Hora Inicio]]-detalhe_carro1[[#This Row],[Ultima Chegada]])</f>
        <v/>
      </c>
      <c r="P24" s="3">
        <f>IF(detalhe_carro1[[#This Row],[Tipo]]="Visitar Nó",((detalhe_carro1[[#This Row],[Hora Fim]]-detalhe_carro1[[#This Row],[Hora Inicio]])/60*velocidade_nos),0)</f>
        <v>2.5</v>
      </c>
      <c r="Q24" s="29">
        <f>detalhe_carro1[[#This Row],[Kms Nós]]+detalhe_carro1[[#This Row],[kms]]</f>
        <v>2.5</v>
      </c>
      <c r="S24" s="20">
        <v>1</v>
      </c>
      <c r="T24" s="20">
        <v>1</v>
      </c>
      <c r="U24" s="20">
        <v>5</v>
      </c>
      <c r="V24" s="20" t="s">
        <v>29</v>
      </c>
      <c r="W24">
        <v>614</v>
      </c>
      <c r="X24">
        <v>645</v>
      </c>
      <c r="Y24">
        <v>493</v>
      </c>
      <c r="Z24" s="7">
        <v>0.71805555555555556</v>
      </c>
      <c r="AA24" s="7">
        <v>0.73958333333333337</v>
      </c>
      <c r="AB24" s="7">
        <v>0.63402777777777775</v>
      </c>
      <c r="AC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2.0166666666666666</v>
      </c>
      <c r="AF24" s="29" t="s">
        <v>300</v>
      </c>
      <c r="AG24" s="29" t="s">
        <v>31</v>
      </c>
      <c r="AH24" s="37">
        <f>AVERAGEIFS(tb_tempos_passagens[Tempo Passagem (h)],tb_tempos_passagens[Numero Voltas],AF24,tb_tempos_passagens[Nó],AG24)</f>
        <v>1.1549019607843138</v>
      </c>
      <c r="AK24"/>
      <c r="AL24"/>
      <c r="AM24"/>
      <c r="AN24"/>
    </row>
    <row r="25" spans="2:44" x14ac:dyDescent="0.25">
      <c r="B25" s="3">
        <v>1</v>
      </c>
      <c r="C25">
        <v>0</v>
      </c>
      <c r="D25">
        <v>1</v>
      </c>
      <c r="E25" s="29" t="s">
        <v>22</v>
      </c>
      <c r="F25" s="3">
        <v>296</v>
      </c>
      <c r="G25" s="3">
        <v>296</v>
      </c>
      <c r="H25" s="29" t="s">
        <v>51</v>
      </c>
      <c r="I25" s="3">
        <v>7</v>
      </c>
      <c r="J25" s="7">
        <v>0.49722222222222223</v>
      </c>
      <c r="K25" s="7">
        <v>0.49722222222222223</v>
      </c>
      <c r="L25" s="3">
        <f t="shared" si="0"/>
        <v>1</v>
      </c>
      <c r="M25" s="3">
        <f t="shared" si="1"/>
        <v>0</v>
      </c>
      <c r="N25" s="29">
        <f>_xlfn.MAXIFS($G$7:G24,$E$7:E24,detalhe_carro1[[#This Row],[Nó]],$B$7:B24,detalhe_carro1[[#This Row],[Numero Voltas]],$L$7:L24,1)</f>
        <v>0</v>
      </c>
      <c r="O25" s="3" t="str">
        <f>IF(OR(detalhe_carro1[[#This Row],[Ultima Chegada]]=0,detalhe_carro1[[#This Row],[Chegada]]=0),"",detalhe_carro1[[#This Row],[Hora Inicio]]-detalhe_carro1[[#This Row],[Ultima Chegada]])</f>
        <v/>
      </c>
      <c r="P25" s="3">
        <f>IF(detalhe_carro1[[#This Row],[Tipo]]="Visitar Nó",((detalhe_carro1[[#This Row],[Hora Fim]]-detalhe_carro1[[#This Row],[Hora Inicio]])/60*velocidade_nos),0)</f>
        <v>0</v>
      </c>
      <c r="Q25" s="29">
        <f>detalhe_carro1[[#This Row],[Kms Nós]]+detalhe_carro1[[#This Row],[kms]]</f>
        <v>7</v>
      </c>
      <c r="S25" s="20">
        <v>1</v>
      </c>
      <c r="T25" s="20">
        <v>1</v>
      </c>
      <c r="U25" s="20">
        <v>4</v>
      </c>
      <c r="V25" s="20" t="s">
        <v>27</v>
      </c>
      <c r="W25">
        <v>648</v>
      </c>
      <c r="X25">
        <v>664</v>
      </c>
      <c r="Y25">
        <v>446</v>
      </c>
      <c r="Z25" s="7">
        <v>0.7416666666666667</v>
      </c>
      <c r="AA25" s="7">
        <v>0.75277777777777777</v>
      </c>
      <c r="AB25" s="7">
        <v>0.60138888888888886</v>
      </c>
      <c r="AC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3.3666666666666667</v>
      </c>
      <c r="AF25" s="29" t="s">
        <v>300</v>
      </c>
      <c r="AG25" s="29" t="s">
        <v>29</v>
      </c>
      <c r="AH25" s="37">
        <f>AVERAGEIFS(tb_tempos_passagens[Tempo Passagem (h)],tb_tempos_passagens[Numero Voltas],AF25,tb_tempos_passagens[Nó],AG25)</f>
        <v>1.0127450980392159</v>
      </c>
      <c r="AK25"/>
      <c r="AL25"/>
      <c r="AM25"/>
      <c r="AN25"/>
    </row>
    <row r="26" spans="2:44" x14ac:dyDescent="0.25">
      <c r="B26" s="3">
        <v>1</v>
      </c>
      <c r="C26">
        <v>0</v>
      </c>
      <c r="D26">
        <v>0</v>
      </c>
      <c r="E26" s="29" t="s">
        <v>20</v>
      </c>
      <c r="F26" s="3">
        <v>297</v>
      </c>
      <c r="G26" s="3">
        <v>297</v>
      </c>
      <c r="H26" s="29" t="s">
        <v>51</v>
      </c>
      <c r="I26" s="3">
        <v>1</v>
      </c>
      <c r="J26" s="7">
        <v>0.49791666666666667</v>
      </c>
      <c r="K26" s="7">
        <v>0.49791666666666667</v>
      </c>
      <c r="L26" s="3">
        <f t="shared" si="0"/>
        <v>0</v>
      </c>
      <c r="M26" s="3">
        <f t="shared" si="1"/>
        <v>1</v>
      </c>
      <c r="N26" s="29">
        <f>_xlfn.MAXIFS($G$7:G25,$E$7:E25,detalhe_carro1[[#This Row],[Nó]],$B$7:B25,detalhe_carro1[[#This Row],[Numero Voltas]],$L$7:L25,1)</f>
        <v>0</v>
      </c>
      <c r="O26" s="3" t="str">
        <f>IF(OR(detalhe_carro1[[#This Row],[Ultima Chegada]]=0,detalhe_carro1[[#This Row],[Chegada]]=0),"",detalhe_carro1[[#This Row],[Hora Inicio]]-detalhe_carro1[[#This Row],[Ultima Chegada]])</f>
        <v/>
      </c>
      <c r="P26" s="3">
        <f>IF(detalhe_carro1[[#This Row],[Tipo]]="Visitar Nó",((detalhe_carro1[[#This Row],[Hora Fim]]-detalhe_carro1[[#This Row],[Hora Inicio]])/60*velocidade_nos),0)</f>
        <v>0</v>
      </c>
      <c r="Q26" s="29">
        <f>detalhe_carro1[[#This Row],[Kms Nós]]+detalhe_carro1[[#This Row],[kms]]</f>
        <v>1</v>
      </c>
      <c r="S26" s="20">
        <v>1</v>
      </c>
      <c r="T26" s="20">
        <v>1</v>
      </c>
      <c r="U26" s="20">
        <v>3</v>
      </c>
      <c r="V26" s="20" t="s">
        <v>26</v>
      </c>
      <c r="W26">
        <v>665</v>
      </c>
      <c r="X26">
        <v>676</v>
      </c>
      <c r="Y26">
        <v>431</v>
      </c>
      <c r="Z26" s="7">
        <v>0.75347222222222221</v>
      </c>
      <c r="AA26" s="7">
        <v>0.76111111111111107</v>
      </c>
      <c r="AB26" s="7">
        <v>0.59097222222222223</v>
      </c>
      <c r="AC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3.9</v>
      </c>
      <c r="AF26" s="29" t="s">
        <v>300</v>
      </c>
      <c r="AG26" s="29" t="s">
        <v>27</v>
      </c>
      <c r="AH26" s="37">
        <f>AVERAGEIFS(tb_tempos_passagens[Tempo Passagem (h)],tb_tempos_passagens[Numero Voltas],AF26,tb_tempos_passagens[Nó],AG26)</f>
        <v>1.1088235294117648</v>
      </c>
      <c r="AK26"/>
      <c r="AL26"/>
      <c r="AM26"/>
      <c r="AN26"/>
    </row>
    <row r="27" spans="2:44" x14ac:dyDescent="0.25">
      <c r="B27" s="3">
        <v>1</v>
      </c>
      <c r="C27">
        <v>0</v>
      </c>
      <c r="D27">
        <v>0</v>
      </c>
      <c r="E27" s="29" t="s">
        <v>20</v>
      </c>
      <c r="F27" s="3">
        <v>297</v>
      </c>
      <c r="G27" s="3">
        <v>312</v>
      </c>
      <c r="H27" s="29" t="s">
        <v>50</v>
      </c>
      <c r="I27" s="3">
        <v>0</v>
      </c>
      <c r="J27" s="7">
        <v>0.49791666666666667</v>
      </c>
      <c r="K27" s="7">
        <v>0.5083333333333333</v>
      </c>
      <c r="L27" s="3">
        <f t="shared" si="0"/>
        <v>0</v>
      </c>
      <c r="M27" s="3">
        <f t="shared" si="1"/>
        <v>0</v>
      </c>
      <c r="N27" s="29">
        <f>_xlfn.MAXIFS($G$7:G26,$E$7:E26,detalhe_carro1[[#This Row],[Nó]],$B$7:B26,detalhe_carro1[[#This Row],[Numero Voltas]],$L$7:L26,1)</f>
        <v>0</v>
      </c>
      <c r="O27" s="3" t="str">
        <f>IF(OR(detalhe_carro1[[#This Row],[Ultima Chegada]]=0,detalhe_carro1[[#This Row],[Chegada]]=0),"",detalhe_carro1[[#This Row],[Hora Inicio]]-detalhe_carro1[[#This Row],[Ultima Chegada]])</f>
        <v/>
      </c>
      <c r="P27" s="3">
        <f>IF(detalhe_carro1[[#This Row],[Tipo]]="Visitar Nó",((detalhe_carro1[[#This Row],[Hora Fim]]-detalhe_carro1[[#This Row],[Hora Inicio]])/60*velocidade_nos),0)</f>
        <v>7.5</v>
      </c>
      <c r="Q27" s="29">
        <f>detalhe_carro1[[#This Row],[Kms Nós]]+detalhe_carro1[[#This Row],[kms]]</f>
        <v>7.5</v>
      </c>
      <c r="S27" s="20">
        <v>1</v>
      </c>
      <c r="T27" s="20">
        <v>1</v>
      </c>
      <c r="U27" s="20">
        <v>2</v>
      </c>
      <c r="V27" s="20" t="s">
        <v>24</v>
      </c>
      <c r="W27">
        <v>677</v>
      </c>
      <c r="X27">
        <v>692</v>
      </c>
      <c r="Y27">
        <v>419</v>
      </c>
      <c r="Z27" s="7">
        <v>0.76180555555555551</v>
      </c>
      <c r="AA27" s="7">
        <v>0.77222222222222225</v>
      </c>
      <c r="AB27" s="7">
        <v>0.58263888888888893</v>
      </c>
      <c r="AC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4.3</v>
      </c>
      <c r="AF27" s="29" t="s">
        <v>300</v>
      </c>
      <c r="AG27" s="29" t="s">
        <v>26</v>
      </c>
      <c r="AH27" s="37">
        <f>AVERAGEIFS(tb_tempos_passagens[Tempo Passagem (h)],tb_tempos_passagens[Numero Voltas],AF27,tb_tempos_passagens[Nó],AG27)</f>
        <v>1.1147058823529412</v>
      </c>
      <c r="AK27"/>
      <c r="AL27"/>
      <c r="AM27"/>
      <c r="AN27"/>
    </row>
    <row r="28" spans="2:44" x14ac:dyDescent="0.25">
      <c r="B28" s="3">
        <v>1</v>
      </c>
      <c r="C28">
        <v>0</v>
      </c>
      <c r="D28">
        <v>0</v>
      </c>
      <c r="E28" s="29" t="s">
        <v>20</v>
      </c>
      <c r="F28" s="3">
        <v>312</v>
      </c>
      <c r="G28" s="3">
        <v>312</v>
      </c>
      <c r="H28" s="29" t="s">
        <v>51</v>
      </c>
      <c r="I28" s="3">
        <v>1</v>
      </c>
      <c r="J28" s="7">
        <v>0.5083333333333333</v>
      </c>
      <c r="K28" s="7">
        <v>0.5083333333333333</v>
      </c>
      <c r="L28" s="3">
        <f t="shared" si="0"/>
        <v>1</v>
      </c>
      <c r="M28" s="3">
        <f t="shared" si="1"/>
        <v>0</v>
      </c>
      <c r="N28" s="29">
        <f>_xlfn.MAXIFS($G$7:G27,$E$7:E27,detalhe_carro1[[#This Row],[Nó]],$B$7:B27,detalhe_carro1[[#This Row],[Numero Voltas]],$L$7:L27,1)</f>
        <v>0</v>
      </c>
      <c r="O28" s="3" t="str">
        <f>IF(OR(detalhe_carro1[[#This Row],[Ultima Chegada]]=0,detalhe_carro1[[#This Row],[Chegada]]=0),"",detalhe_carro1[[#This Row],[Hora Inicio]]-detalhe_carro1[[#This Row],[Ultima Chegada]])</f>
        <v/>
      </c>
      <c r="P28" s="3">
        <f>IF(detalhe_carro1[[#This Row],[Tipo]]="Visitar Nó",((detalhe_carro1[[#This Row],[Hora Fim]]-detalhe_carro1[[#This Row],[Hora Inicio]])/60*velocidade_nos),0)</f>
        <v>0</v>
      </c>
      <c r="Q28" s="29">
        <f>detalhe_carro1[[#This Row],[Kms Nós]]+detalhe_carro1[[#This Row],[kms]]</f>
        <v>1</v>
      </c>
      <c r="S28" s="20">
        <v>1</v>
      </c>
      <c r="T28" s="20">
        <v>1</v>
      </c>
      <c r="U28" s="20">
        <v>1</v>
      </c>
      <c r="V28" s="20" t="s">
        <v>22</v>
      </c>
      <c r="W28">
        <v>699</v>
      </c>
      <c r="X28">
        <v>711</v>
      </c>
      <c r="Y28">
        <v>391</v>
      </c>
      <c r="Z28" s="7">
        <v>0.77708333333333335</v>
      </c>
      <c r="AA28" s="7">
        <v>0.78541666666666665</v>
      </c>
      <c r="AB28" s="7">
        <v>0.56319444444444444</v>
      </c>
      <c r="AC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5.1333333333333337</v>
      </c>
      <c r="AE28" s="30"/>
      <c r="AF28" s="29" t="s">
        <v>300</v>
      </c>
      <c r="AG28" s="29" t="s">
        <v>24</v>
      </c>
      <c r="AH28" s="37">
        <f>AVERAGEIFS(tb_tempos_passagens[Tempo Passagem (h)],tb_tempos_passagens[Numero Voltas],AF28,tb_tempos_passagens[Nó],AG28)</f>
        <v>1.06078431372549</v>
      </c>
      <c r="AI28" s="30"/>
      <c r="AK28"/>
      <c r="AL28"/>
      <c r="AM28"/>
      <c r="AN28"/>
    </row>
    <row r="29" spans="2:44" x14ac:dyDescent="0.25">
      <c r="B29" s="3">
        <v>1</v>
      </c>
      <c r="C29">
        <v>0</v>
      </c>
      <c r="D29">
        <v>1</v>
      </c>
      <c r="E29" s="29" t="s">
        <v>22</v>
      </c>
      <c r="F29" s="3">
        <v>318</v>
      </c>
      <c r="G29" s="3">
        <v>384</v>
      </c>
      <c r="H29" s="29" t="s">
        <v>52</v>
      </c>
      <c r="I29" s="3">
        <v>0</v>
      </c>
      <c r="J29" s="7">
        <v>0.51249999999999996</v>
      </c>
      <c r="K29" s="7">
        <v>0.55833333333333335</v>
      </c>
      <c r="L29" s="3">
        <f t="shared" si="0"/>
        <v>0</v>
      </c>
      <c r="M29" s="3">
        <f t="shared" si="1"/>
        <v>1</v>
      </c>
      <c r="N29" s="29">
        <f>_xlfn.MAXIFS($G$7:G28,$E$7:E28,detalhe_carro1[[#This Row],[Nó]],$B$7:B28,detalhe_carro1[[#This Row],[Numero Voltas]],$L$7:L28,1)</f>
        <v>296</v>
      </c>
      <c r="O29" s="3">
        <f>IF(OR(detalhe_carro1[[#This Row],[Ultima Chegada]]=0,detalhe_carro1[[#This Row],[Chegada]]=0),"",detalhe_carro1[[#This Row],[Hora Inicio]]-detalhe_carro1[[#This Row],[Ultima Chegada]])</f>
        <v>22</v>
      </c>
      <c r="P29" s="3">
        <f>IF(detalhe_carro1[[#This Row],[Tipo]]="Visitar Nó",((detalhe_carro1[[#This Row],[Hora Fim]]-detalhe_carro1[[#This Row],[Hora Inicio]])/60*velocidade_nos),0)</f>
        <v>0</v>
      </c>
      <c r="Q29" s="29">
        <f>detalhe_carro1[[#This Row],[Kms Nós]]+detalhe_carro1[[#This Row],[kms]]</f>
        <v>0</v>
      </c>
      <c r="S29" s="20">
        <v>1</v>
      </c>
      <c r="T29" s="20">
        <v>1</v>
      </c>
      <c r="U29" s="20">
        <v>0</v>
      </c>
      <c r="V29" s="20" t="s">
        <v>20</v>
      </c>
      <c r="W29">
        <v>712</v>
      </c>
      <c r="X29">
        <v>727</v>
      </c>
      <c r="Y29">
        <v>312</v>
      </c>
      <c r="Z29" s="7">
        <v>0.78611111111111109</v>
      </c>
      <c r="AA29" s="7">
        <v>0.79652777777777772</v>
      </c>
      <c r="AB29" s="7">
        <v>0.5083333333333333</v>
      </c>
      <c r="AC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6.666666666666667</v>
      </c>
      <c r="AF29" s="29" t="s">
        <v>300</v>
      </c>
      <c r="AG29" s="29" t="s">
        <v>22</v>
      </c>
      <c r="AH29" s="37">
        <f>AVERAGEIFS(tb_tempos_passagens[Tempo Passagem (h)],tb_tempos_passagens[Numero Voltas],AF29,tb_tempos_passagens[Nó],AG29)</f>
        <v>0.89509803921568631</v>
      </c>
      <c r="AK29"/>
      <c r="AL29"/>
      <c r="AM29"/>
      <c r="AN29"/>
    </row>
    <row r="30" spans="2:44" x14ac:dyDescent="0.25">
      <c r="B30" s="3">
        <v>1</v>
      </c>
      <c r="C30">
        <v>0</v>
      </c>
      <c r="D30">
        <v>1</v>
      </c>
      <c r="E30" s="29" t="s">
        <v>22</v>
      </c>
      <c r="F30" s="3">
        <v>385</v>
      </c>
      <c r="G30" s="3">
        <v>390</v>
      </c>
      <c r="H30" s="29" t="s">
        <v>50</v>
      </c>
      <c r="I30" s="3">
        <v>0</v>
      </c>
      <c r="J30" s="7">
        <v>0.55902777777777779</v>
      </c>
      <c r="K30" s="7">
        <v>0.5625</v>
      </c>
      <c r="L30" s="3">
        <f t="shared" si="0"/>
        <v>0</v>
      </c>
      <c r="M30" s="3">
        <f t="shared" si="1"/>
        <v>0</v>
      </c>
      <c r="N30" s="29">
        <f>_xlfn.MAXIFS($G$7:G29,$E$7:E29,detalhe_carro1[[#This Row],[Nó]],$B$7:B29,detalhe_carro1[[#This Row],[Numero Voltas]],$L$7:L29,1)</f>
        <v>296</v>
      </c>
      <c r="O30" s="3" t="str">
        <f>IF(OR(detalhe_carro1[[#This Row],[Ultima Chegada]]=0,detalhe_carro1[[#This Row],[Chegada]]=0),"",detalhe_carro1[[#This Row],[Hora Inicio]]-detalhe_carro1[[#This Row],[Ultima Chegada]])</f>
        <v/>
      </c>
      <c r="P30" s="3">
        <f>IF(detalhe_carro1[[#This Row],[Tipo]]="Visitar Nó",((detalhe_carro1[[#This Row],[Hora Fim]]-detalhe_carro1[[#This Row],[Hora Inicio]])/60*velocidade_nos),0)</f>
        <v>2.5</v>
      </c>
      <c r="Q30" s="29">
        <f>detalhe_carro1[[#This Row],[Kms Nós]]+detalhe_carro1[[#This Row],[kms]]</f>
        <v>2.5</v>
      </c>
      <c r="S30" s="20">
        <v>1</v>
      </c>
      <c r="T30" s="20">
        <v>1</v>
      </c>
      <c r="U30" s="20">
        <v>1</v>
      </c>
      <c r="V30" s="20" t="s">
        <v>22</v>
      </c>
      <c r="W30">
        <v>733</v>
      </c>
      <c r="X30">
        <v>805</v>
      </c>
      <c r="Y30">
        <v>711</v>
      </c>
      <c r="Z30" s="7">
        <v>0.80069444444444449</v>
      </c>
      <c r="AA30" s="7">
        <v>0.85069444444444442</v>
      </c>
      <c r="AB30" s="7">
        <v>0.78541666666666665</v>
      </c>
      <c r="AC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  <c r="AF30" s="29" t="s">
        <v>300</v>
      </c>
      <c r="AG30" s="29" t="s">
        <v>20</v>
      </c>
      <c r="AH30" s="37">
        <f>AVERAGEIFS(tb_tempos_passagens[Tempo Passagem (h)],tb_tempos_passagens[Numero Voltas],AF30,tb_tempos_passagens[Nó],AG30)</f>
        <v>2.0187499999999998</v>
      </c>
      <c r="AK30"/>
      <c r="AL30"/>
      <c r="AM30"/>
      <c r="AN30"/>
    </row>
    <row r="31" spans="2:44" x14ac:dyDescent="0.25">
      <c r="B31" s="3">
        <v>1</v>
      </c>
      <c r="C31">
        <v>0</v>
      </c>
      <c r="D31">
        <v>1</v>
      </c>
      <c r="E31" s="29" t="s">
        <v>22</v>
      </c>
      <c r="F31" s="3">
        <v>391</v>
      </c>
      <c r="G31" s="3">
        <v>391</v>
      </c>
      <c r="H31" s="29" t="s">
        <v>51</v>
      </c>
      <c r="I31" s="3">
        <v>1</v>
      </c>
      <c r="J31" s="7">
        <v>0.56319444444444444</v>
      </c>
      <c r="K31" s="7">
        <v>0.56319444444444444</v>
      </c>
      <c r="L31" s="3">
        <f t="shared" si="0"/>
        <v>1</v>
      </c>
      <c r="M31" s="3">
        <f t="shared" si="1"/>
        <v>0</v>
      </c>
      <c r="N31" s="29">
        <f>_xlfn.MAXIFS($G$7:G30,$E$7:E30,detalhe_carro1[[#This Row],[Nó]],$B$7:B30,detalhe_carro1[[#This Row],[Numero Voltas]],$L$7:L30,1)</f>
        <v>296</v>
      </c>
      <c r="O31" s="3" t="str">
        <f>IF(OR(detalhe_carro1[[#This Row],[Ultima Chegada]]=0,detalhe_carro1[[#This Row],[Chegada]]=0),"",detalhe_carro1[[#This Row],[Hora Inicio]]-detalhe_carro1[[#This Row],[Ultima Chegada]])</f>
        <v/>
      </c>
      <c r="P31" s="3">
        <f>IF(detalhe_carro1[[#This Row],[Tipo]]="Visitar Nó",((detalhe_carro1[[#This Row],[Hora Fim]]-detalhe_carro1[[#This Row],[Hora Inicio]])/60*velocidade_nos),0)</f>
        <v>0</v>
      </c>
      <c r="Q31" s="29">
        <f>detalhe_carro1[[#This Row],[Kms Nós]]+detalhe_carro1[[#This Row],[kms]]</f>
        <v>1</v>
      </c>
      <c r="S31" s="20">
        <v>1</v>
      </c>
      <c r="T31" s="20">
        <v>1</v>
      </c>
      <c r="U31" s="20">
        <v>2</v>
      </c>
      <c r="V31" s="20" t="s">
        <v>24</v>
      </c>
      <c r="W31">
        <v>812</v>
      </c>
      <c r="X31">
        <v>833</v>
      </c>
      <c r="Y31">
        <v>692</v>
      </c>
      <c r="Z31" s="7">
        <v>0.85555555555555551</v>
      </c>
      <c r="AA31" s="7">
        <v>0.87013888888888891</v>
      </c>
      <c r="AB31" s="7">
        <v>0.77222222222222225</v>
      </c>
      <c r="AC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</v>
      </c>
      <c r="AF31" s="29" t="s">
        <v>301</v>
      </c>
      <c r="AG31" s="29" t="s">
        <v>33</v>
      </c>
      <c r="AH31" s="37">
        <f>AVERAGEIFS(tb_tempos_passagens[Tempo Passagem (h)],tb_tempos_passagens[Numero Voltas],AF31,tb_tempos_passagens[Nó],AG31)</f>
        <v>1.5261904761904757</v>
      </c>
      <c r="AK31"/>
      <c r="AL31"/>
      <c r="AM31"/>
      <c r="AN31"/>
    </row>
    <row r="32" spans="2:44" x14ac:dyDescent="0.25">
      <c r="B32" s="3">
        <v>1</v>
      </c>
      <c r="C32">
        <v>0</v>
      </c>
      <c r="D32">
        <v>2</v>
      </c>
      <c r="E32" s="29" t="s">
        <v>24</v>
      </c>
      <c r="F32" s="3">
        <v>398</v>
      </c>
      <c r="G32" s="3">
        <v>412</v>
      </c>
      <c r="H32" s="29" t="s">
        <v>50</v>
      </c>
      <c r="I32" s="3">
        <v>0</v>
      </c>
      <c r="J32" s="7">
        <v>0.56805555555555554</v>
      </c>
      <c r="K32" s="7">
        <v>0.57777777777777772</v>
      </c>
      <c r="L32" s="3">
        <f t="shared" si="0"/>
        <v>0</v>
      </c>
      <c r="M32" s="3">
        <f t="shared" si="1"/>
        <v>1</v>
      </c>
      <c r="N32" s="29">
        <f>_xlfn.MAXIFS($G$7:G31,$E$7:E31,detalhe_carro1[[#This Row],[Nó]],$B$7:B31,detalhe_carro1[[#This Row],[Numero Voltas]],$L$7:L31,1)</f>
        <v>277</v>
      </c>
      <c r="O32" s="3">
        <f>IF(OR(detalhe_carro1[[#This Row],[Ultima Chegada]]=0,detalhe_carro1[[#This Row],[Chegada]]=0),"",detalhe_carro1[[#This Row],[Hora Inicio]]-detalhe_carro1[[#This Row],[Ultima Chegada]])</f>
        <v>121</v>
      </c>
      <c r="P32" s="3">
        <f>IF(detalhe_carro1[[#This Row],[Tipo]]="Visitar Nó",((detalhe_carro1[[#This Row],[Hora Fim]]-detalhe_carro1[[#This Row],[Hora Inicio]])/60*velocidade_nos),0)</f>
        <v>7</v>
      </c>
      <c r="Q32" s="29">
        <f>detalhe_carro1[[#This Row],[Kms Nós]]+detalhe_carro1[[#This Row],[kms]]</f>
        <v>7</v>
      </c>
      <c r="S32" s="20">
        <v>1</v>
      </c>
      <c r="T32" s="20">
        <v>1</v>
      </c>
      <c r="U32" s="20">
        <v>3</v>
      </c>
      <c r="V32" s="20" t="s">
        <v>26</v>
      </c>
      <c r="W32">
        <v>834</v>
      </c>
      <c r="X32">
        <v>845</v>
      </c>
      <c r="Y32">
        <v>676</v>
      </c>
      <c r="Z32" s="7">
        <v>0.87083333333333335</v>
      </c>
      <c r="AA32" s="7">
        <v>0.87847222222222221</v>
      </c>
      <c r="AB32" s="7">
        <v>0.76111111111111107</v>
      </c>
      <c r="AC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2.6333333333333333</v>
      </c>
      <c r="AF32" s="29" t="s">
        <v>301</v>
      </c>
      <c r="AG32" s="29" t="s">
        <v>31</v>
      </c>
      <c r="AH32" s="37">
        <f>AVERAGEIFS(tb_tempos_passagens[Tempo Passagem (h)],tb_tempos_passagens[Numero Voltas],AF32,tb_tempos_passagens[Nó],AG32)</f>
        <v>0.88115942028985539</v>
      </c>
      <c r="AK32"/>
      <c r="AL32"/>
      <c r="AM32"/>
      <c r="AN32"/>
    </row>
    <row r="33" spans="2:40" x14ac:dyDescent="0.25">
      <c r="B33" s="3">
        <v>1</v>
      </c>
      <c r="C33">
        <v>0</v>
      </c>
      <c r="D33">
        <v>2</v>
      </c>
      <c r="E33" s="29" t="s">
        <v>24</v>
      </c>
      <c r="F33" s="3">
        <v>419</v>
      </c>
      <c r="G33" s="3">
        <v>419</v>
      </c>
      <c r="H33" s="29" t="s">
        <v>51</v>
      </c>
      <c r="I33" s="3">
        <v>7</v>
      </c>
      <c r="J33" s="7">
        <v>0.58263888888888893</v>
      </c>
      <c r="K33" s="7">
        <v>0.58263888888888893</v>
      </c>
      <c r="L33" s="3">
        <f t="shared" si="0"/>
        <v>1</v>
      </c>
      <c r="M33" s="3">
        <f t="shared" si="1"/>
        <v>0</v>
      </c>
      <c r="N33" s="29">
        <f>_xlfn.MAXIFS($G$7:G32,$E$7:E32,detalhe_carro1[[#This Row],[Nó]],$B$7:B32,detalhe_carro1[[#This Row],[Numero Voltas]],$L$7:L32,1)</f>
        <v>277</v>
      </c>
      <c r="O33" s="3" t="str">
        <f>IF(OR(detalhe_carro1[[#This Row],[Ultima Chegada]]=0,detalhe_carro1[[#This Row],[Chegada]]=0),"",detalhe_carro1[[#This Row],[Hora Inicio]]-detalhe_carro1[[#This Row],[Ultima Chegada]])</f>
        <v/>
      </c>
      <c r="P33" s="3">
        <f>IF(detalhe_carro1[[#This Row],[Tipo]]="Visitar Nó",((detalhe_carro1[[#This Row],[Hora Fim]]-detalhe_carro1[[#This Row],[Hora Inicio]])/60*velocidade_nos),0)</f>
        <v>0</v>
      </c>
      <c r="Q33" s="29">
        <f>detalhe_carro1[[#This Row],[Kms Nós]]+detalhe_carro1[[#This Row],[kms]]</f>
        <v>7</v>
      </c>
      <c r="S33" s="20">
        <v>1</v>
      </c>
      <c r="T33" s="20">
        <v>1</v>
      </c>
      <c r="U33" s="20">
        <v>4</v>
      </c>
      <c r="V33" s="20" t="s">
        <v>27</v>
      </c>
      <c r="W33">
        <v>846</v>
      </c>
      <c r="X33">
        <v>860</v>
      </c>
      <c r="Y33">
        <v>664</v>
      </c>
      <c r="Z33" s="7">
        <v>0.87916666666666665</v>
      </c>
      <c r="AA33" s="7">
        <v>0.88888888888888884</v>
      </c>
      <c r="AB33" s="7">
        <v>0.75277777777777777</v>
      </c>
      <c r="AC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3.0333333333333332</v>
      </c>
      <c r="AF33" s="29" t="s">
        <v>301</v>
      </c>
      <c r="AG33" s="29" t="s">
        <v>29</v>
      </c>
      <c r="AH33" s="37">
        <f>AVERAGEIFS(tb_tempos_passagens[Tempo Passagem (h)],tb_tempos_passagens[Numero Voltas],AF33,tb_tempos_passagens[Nó],AG33)</f>
        <v>0.7760869565217392</v>
      </c>
      <c r="AK33"/>
      <c r="AL33"/>
      <c r="AM33"/>
      <c r="AN33"/>
    </row>
    <row r="34" spans="2:40" x14ac:dyDescent="0.25">
      <c r="B34" s="3">
        <v>1</v>
      </c>
      <c r="C34">
        <v>0</v>
      </c>
      <c r="D34">
        <v>3</v>
      </c>
      <c r="E34" s="29" t="s">
        <v>26</v>
      </c>
      <c r="F34" s="3">
        <v>420</v>
      </c>
      <c r="G34" s="3">
        <v>430</v>
      </c>
      <c r="H34" s="29" t="s">
        <v>50</v>
      </c>
      <c r="I34" s="3">
        <v>0</v>
      </c>
      <c r="J34" s="7">
        <v>0.58333333333333337</v>
      </c>
      <c r="K34" s="7">
        <v>0.59027777777777779</v>
      </c>
      <c r="L34" s="3">
        <f t="shared" si="0"/>
        <v>0</v>
      </c>
      <c r="M34" s="3">
        <f t="shared" si="1"/>
        <v>1</v>
      </c>
      <c r="N34" s="29">
        <f>_xlfn.MAXIFS($G$7:G33,$E$7:E33,detalhe_carro1[[#This Row],[Nó]],$B$7:B33,detalhe_carro1[[#This Row],[Numero Voltas]],$L$7:L33,1)</f>
        <v>261</v>
      </c>
      <c r="O34" s="3">
        <f>IF(OR(detalhe_carro1[[#This Row],[Ultima Chegada]]=0,detalhe_carro1[[#This Row],[Chegada]]=0),"",detalhe_carro1[[#This Row],[Hora Inicio]]-detalhe_carro1[[#This Row],[Ultima Chegada]])</f>
        <v>159</v>
      </c>
      <c r="P34" s="3">
        <f>IF(detalhe_carro1[[#This Row],[Tipo]]="Visitar Nó",((detalhe_carro1[[#This Row],[Hora Fim]]-detalhe_carro1[[#This Row],[Hora Inicio]])/60*velocidade_nos),0)</f>
        <v>5</v>
      </c>
      <c r="Q34" s="29">
        <f>detalhe_carro1[[#This Row],[Kms Nós]]+detalhe_carro1[[#This Row],[kms]]</f>
        <v>5</v>
      </c>
      <c r="S34" s="20">
        <v>1</v>
      </c>
      <c r="T34" s="20">
        <v>1</v>
      </c>
      <c r="U34" s="20">
        <v>5</v>
      </c>
      <c r="V34" s="20" t="s">
        <v>29</v>
      </c>
      <c r="W34">
        <v>863</v>
      </c>
      <c r="X34">
        <v>907</v>
      </c>
      <c r="Y34">
        <v>645</v>
      </c>
      <c r="Z34" s="7">
        <v>0.89097222222222228</v>
      </c>
      <c r="AA34" s="7">
        <v>0.92152777777777772</v>
      </c>
      <c r="AB34" s="7">
        <v>0.73958333333333337</v>
      </c>
      <c r="AC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3.6333333333333333</v>
      </c>
      <c r="AF34" s="29" t="s">
        <v>301</v>
      </c>
      <c r="AG34" s="29" t="s">
        <v>27</v>
      </c>
      <c r="AH34" s="37">
        <f>AVERAGEIFS(tb_tempos_passagens[Tempo Passagem (h)],tb_tempos_passagens[Numero Voltas],AF34,tb_tempos_passagens[Nó],AG34)</f>
        <v>0.84710144927536235</v>
      </c>
      <c r="AK34"/>
      <c r="AL34"/>
      <c r="AM34"/>
      <c r="AN34"/>
    </row>
    <row r="35" spans="2:40" x14ac:dyDescent="0.25">
      <c r="B35" s="3">
        <v>1</v>
      </c>
      <c r="C35">
        <v>0</v>
      </c>
      <c r="D35">
        <v>3</v>
      </c>
      <c r="E35" s="29" t="s">
        <v>26</v>
      </c>
      <c r="F35" s="3">
        <v>431</v>
      </c>
      <c r="G35" s="3">
        <v>431</v>
      </c>
      <c r="H35" s="29" t="s">
        <v>51</v>
      </c>
      <c r="I35" s="3">
        <v>1</v>
      </c>
      <c r="J35" s="7">
        <v>0.59097222222222223</v>
      </c>
      <c r="K35" s="7">
        <v>0.59097222222222223</v>
      </c>
      <c r="L35" s="3">
        <f t="shared" si="0"/>
        <v>1</v>
      </c>
      <c r="M35" s="3">
        <f t="shared" si="1"/>
        <v>0</v>
      </c>
      <c r="N35" s="29">
        <f>_xlfn.MAXIFS($G$7:G34,$E$7:E34,detalhe_carro1[[#This Row],[Nó]],$B$7:B34,detalhe_carro1[[#This Row],[Numero Voltas]],$L$7:L34,1)</f>
        <v>261</v>
      </c>
      <c r="O35" s="3" t="str">
        <f>IF(OR(detalhe_carro1[[#This Row],[Ultima Chegada]]=0,detalhe_carro1[[#This Row],[Chegada]]=0),"",detalhe_carro1[[#This Row],[Hora Inicio]]-detalhe_carro1[[#This Row],[Ultima Chegada]])</f>
        <v/>
      </c>
      <c r="P35" s="3">
        <f>IF(detalhe_carro1[[#This Row],[Tipo]]="Visitar Nó",((detalhe_carro1[[#This Row],[Hora Fim]]-detalhe_carro1[[#This Row],[Hora Inicio]])/60*velocidade_nos),0)</f>
        <v>0</v>
      </c>
      <c r="Q35" s="29">
        <f>detalhe_carro1[[#This Row],[Kms Nós]]+detalhe_carro1[[#This Row],[kms]]</f>
        <v>1</v>
      </c>
      <c r="S35" s="20">
        <v>1</v>
      </c>
      <c r="T35" s="20">
        <v>1</v>
      </c>
      <c r="U35" s="20">
        <v>6</v>
      </c>
      <c r="V35" s="20" t="s">
        <v>31</v>
      </c>
      <c r="W35">
        <v>919</v>
      </c>
      <c r="X35">
        <v>1000</v>
      </c>
      <c r="Y35">
        <v>611</v>
      </c>
      <c r="Z35" s="7">
        <v>0.92986111111111114</v>
      </c>
      <c r="AA35" s="7">
        <v>0.98611111111111116</v>
      </c>
      <c r="AB35" s="7">
        <v>0.71597222222222223</v>
      </c>
      <c r="AC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5.1333333333333337</v>
      </c>
      <c r="AF35" s="29" t="s">
        <v>301</v>
      </c>
      <c r="AG35" s="29" t="s">
        <v>26</v>
      </c>
      <c r="AH35" s="37">
        <f>AVERAGEIFS(tb_tempos_passagens[Tempo Passagem (h)],tb_tempos_passagens[Numero Voltas],AF35,tb_tempos_passagens[Nó],AG35)</f>
        <v>0.85144927536231896</v>
      </c>
      <c r="AK35"/>
      <c r="AL35"/>
      <c r="AM35"/>
      <c r="AN35"/>
    </row>
    <row r="36" spans="2:40" x14ac:dyDescent="0.25">
      <c r="B36" s="3">
        <v>1</v>
      </c>
      <c r="C36">
        <v>0</v>
      </c>
      <c r="D36">
        <v>4</v>
      </c>
      <c r="E36" s="29" t="s">
        <v>27</v>
      </c>
      <c r="F36" s="3">
        <v>432</v>
      </c>
      <c r="G36" s="3">
        <v>445</v>
      </c>
      <c r="H36" s="29" t="s">
        <v>50</v>
      </c>
      <c r="I36" s="3">
        <v>0</v>
      </c>
      <c r="J36" s="7">
        <v>0.59166666666666667</v>
      </c>
      <c r="K36" s="7">
        <v>0.60069444444444442</v>
      </c>
      <c r="L36" s="3">
        <f t="shared" si="0"/>
        <v>0</v>
      </c>
      <c r="M36" s="3">
        <f t="shared" si="1"/>
        <v>1</v>
      </c>
      <c r="N36" s="29">
        <f>_xlfn.MAXIFS($G$7:G35,$E$7:E35,detalhe_carro1[[#This Row],[Nó]],$B$7:B35,detalhe_carro1[[#This Row],[Numero Voltas]],$L$7:L35,1)</f>
        <v>249</v>
      </c>
      <c r="O36" s="3">
        <f>IF(OR(detalhe_carro1[[#This Row],[Ultima Chegada]]=0,detalhe_carro1[[#This Row],[Chegada]]=0),"",detalhe_carro1[[#This Row],[Hora Inicio]]-detalhe_carro1[[#This Row],[Ultima Chegada]])</f>
        <v>183</v>
      </c>
      <c r="P36" s="3">
        <f>IF(detalhe_carro1[[#This Row],[Tipo]]="Visitar Nó",((detalhe_carro1[[#This Row],[Hora Fim]]-detalhe_carro1[[#This Row],[Hora Inicio]])/60*velocidade_nos),0)</f>
        <v>6.5</v>
      </c>
      <c r="Q36" s="29">
        <f>detalhe_carro1[[#This Row],[Kms Nós]]+detalhe_carro1[[#This Row],[kms]]</f>
        <v>6.5</v>
      </c>
      <c r="S36" s="20">
        <v>1</v>
      </c>
      <c r="T36" s="20">
        <v>1</v>
      </c>
      <c r="U36" s="20">
        <v>7</v>
      </c>
      <c r="V36" s="20" t="s">
        <v>33</v>
      </c>
      <c r="W36">
        <v>1003</v>
      </c>
      <c r="X36">
        <v>1071</v>
      </c>
      <c r="Y36">
        <v>583</v>
      </c>
      <c r="Z36" s="7">
        <v>0.98819444444444449</v>
      </c>
      <c r="AA36" s="7">
        <v>3.5416666666666666E-2</v>
      </c>
      <c r="AB36" s="7">
        <v>0.69652777777777775</v>
      </c>
      <c r="AC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</v>
      </c>
      <c r="AF36" s="29" t="s">
        <v>301</v>
      </c>
      <c r="AG36" s="29" t="s">
        <v>24</v>
      </c>
      <c r="AH36" s="37">
        <f>AVERAGEIFS(tb_tempos_passagens[Tempo Passagem (h)],tb_tempos_passagens[Numero Voltas],AF36,tb_tempos_passagens[Nó],AG36)</f>
        <v>0.81159420289855078</v>
      </c>
      <c r="AK36"/>
      <c r="AL36"/>
      <c r="AM36"/>
      <c r="AN36"/>
    </row>
    <row r="37" spans="2:40" x14ac:dyDescent="0.25">
      <c r="B37" s="3">
        <v>1</v>
      </c>
      <c r="C37">
        <v>0</v>
      </c>
      <c r="D37">
        <v>4</v>
      </c>
      <c r="E37" s="29" t="s">
        <v>27</v>
      </c>
      <c r="F37" s="3">
        <v>446</v>
      </c>
      <c r="G37" s="3">
        <v>446</v>
      </c>
      <c r="H37" s="29" t="s">
        <v>51</v>
      </c>
      <c r="I37" s="3">
        <v>1</v>
      </c>
      <c r="J37" s="7">
        <v>0.60138888888888886</v>
      </c>
      <c r="K37" s="7">
        <v>0.60138888888888886</v>
      </c>
      <c r="L37" s="3">
        <f t="shared" si="0"/>
        <v>1</v>
      </c>
      <c r="M37" s="3">
        <f t="shared" si="1"/>
        <v>0</v>
      </c>
      <c r="N37" s="29">
        <f>_xlfn.MAXIFS($G$7:G36,$E$7:E36,detalhe_carro1[[#This Row],[Nó]],$B$7:B36,detalhe_carro1[[#This Row],[Numero Voltas]],$L$7:L36,1)</f>
        <v>249</v>
      </c>
      <c r="O37" s="3" t="str">
        <f>IF(OR(detalhe_carro1[[#This Row],[Ultima Chegada]]=0,detalhe_carro1[[#This Row],[Chegada]]=0),"",detalhe_carro1[[#This Row],[Hora Inicio]]-detalhe_carro1[[#This Row],[Ultima Chegada]])</f>
        <v/>
      </c>
      <c r="P37" s="3">
        <f>IF(detalhe_carro1[[#This Row],[Tipo]]="Visitar Nó",((detalhe_carro1[[#This Row],[Hora Fim]]-detalhe_carro1[[#This Row],[Hora Inicio]])/60*velocidade_nos),0)</f>
        <v>0</v>
      </c>
      <c r="Q37" s="29">
        <f>detalhe_carro1[[#This Row],[Kms Nós]]+detalhe_carro1[[#This Row],[kms]]</f>
        <v>1</v>
      </c>
      <c r="S37" s="20">
        <v>1</v>
      </c>
      <c r="T37" s="20">
        <v>2</v>
      </c>
      <c r="U37" s="20">
        <v>7</v>
      </c>
      <c r="V37" s="20" t="s">
        <v>33</v>
      </c>
      <c r="W37">
        <v>990</v>
      </c>
      <c r="X37">
        <v>1063</v>
      </c>
      <c r="Y37">
        <v>1071</v>
      </c>
      <c r="Z37" s="7">
        <v>0.97916666666666663</v>
      </c>
      <c r="AA37" s="7">
        <v>2.9861111111111113E-2</v>
      </c>
      <c r="AB37" s="7">
        <v>3.5416666666666666E-2</v>
      </c>
      <c r="AC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-1.35</v>
      </c>
      <c r="AF37" s="29" t="s">
        <v>301</v>
      </c>
      <c r="AG37" s="29" t="s">
        <v>22</v>
      </c>
      <c r="AH37" s="37">
        <f>AVERAGEIFS(tb_tempos_passagens[Tempo Passagem (h)],tb_tempos_passagens[Numero Voltas],AF37,tb_tempos_passagens[Nó],AG37)</f>
        <v>0.70942028985507244</v>
      </c>
      <c r="AK37"/>
      <c r="AL37"/>
      <c r="AM37"/>
      <c r="AN37"/>
    </row>
    <row r="38" spans="2:40" x14ac:dyDescent="0.25">
      <c r="B38" s="3">
        <v>1</v>
      </c>
      <c r="C38">
        <v>0</v>
      </c>
      <c r="D38">
        <v>5</v>
      </c>
      <c r="E38" s="29" t="s">
        <v>29</v>
      </c>
      <c r="F38" s="3">
        <v>449</v>
      </c>
      <c r="G38" s="3">
        <v>459</v>
      </c>
      <c r="H38" s="29" t="s">
        <v>297</v>
      </c>
      <c r="I38" s="3">
        <v>0</v>
      </c>
      <c r="J38" s="7">
        <v>0.60347222222222219</v>
      </c>
      <c r="K38" s="7">
        <v>0.61041666666666672</v>
      </c>
      <c r="L38" s="3">
        <f t="shared" si="0"/>
        <v>0</v>
      </c>
      <c r="M38" s="3">
        <f t="shared" si="1"/>
        <v>1</v>
      </c>
      <c r="N38" s="29">
        <f>_xlfn.MAXIFS($G$7:G37,$E$7:E37,detalhe_carro1[[#This Row],[Nó]],$B$7:B37,detalhe_carro1[[#This Row],[Numero Voltas]],$L$7:L37,1)</f>
        <v>230</v>
      </c>
      <c r="O38" s="3">
        <f>IF(OR(detalhe_carro1[[#This Row],[Ultima Chegada]]=0,detalhe_carro1[[#This Row],[Chegada]]=0),"",detalhe_carro1[[#This Row],[Hora Inicio]]-detalhe_carro1[[#This Row],[Ultima Chegada]])</f>
        <v>219</v>
      </c>
      <c r="P38" s="3">
        <f>IF(detalhe_carro1[[#This Row],[Tipo]]="Visitar Nó",((detalhe_carro1[[#This Row],[Hora Fim]]-detalhe_carro1[[#This Row],[Hora Inicio]])/60*velocidade_nos),0)</f>
        <v>0</v>
      </c>
      <c r="Q38" s="29">
        <f>detalhe_carro1[[#This Row],[Kms Nós]]+detalhe_carro1[[#This Row],[kms]]</f>
        <v>0</v>
      </c>
      <c r="S38" s="20">
        <v>1</v>
      </c>
      <c r="T38" s="20">
        <v>2</v>
      </c>
      <c r="U38" s="20">
        <v>6</v>
      </c>
      <c r="V38" s="20" t="s">
        <v>31</v>
      </c>
      <c r="W38">
        <v>1066</v>
      </c>
      <c r="X38">
        <v>1091</v>
      </c>
      <c r="Y38">
        <v>1000</v>
      </c>
      <c r="Z38" s="7">
        <v>3.1944444444444442E-2</v>
      </c>
      <c r="AA38" s="7">
        <v>4.9305555555555554E-2</v>
      </c>
      <c r="AB38" s="7">
        <v>0.98611111111111116</v>
      </c>
      <c r="AC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1.1000000000000001</v>
      </c>
      <c r="AF38" s="29" t="s">
        <v>301</v>
      </c>
      <c r="AG38" s="29" t="s">
        <v>20</v>
      </c>
      <c r="AH38" s="37">
        <f>AVERAGEIFS(tb_tempos_passagens[Tempo Passagem (h)],tb_tempos_passagens[Numero Voltas],AF38,tb_tempos_passagens[Nó],AG38)</f>
        <v>1.6015151515151513</v>
      </c>
      <c r="AK38"/>
      <c r="AL38"/>
      <c r="AM38"/>
      <c r="AN38"/>
    </row>
    <row r="39" spans="2:40" x14ac:dyDescent="0.25">
      <c r="B39" s="3">
        <v>1</v>
      </c>
      <c r="C39">
        <v>0</v>
      </c>
      <c r="D39">
        <v>5</v>
      </c>
      <c r="E39" s="29" t="s">
        <v>29</v>
      </c>
      <c r="F39" s="3">
        <v>462</v>
      </c>
      <c r="G39" s="3">
        <v>490</v>
      </c>
      <c r="H39" s="29" t="s">
        <v>50</v>
      </c>
      <c r="I39" s="3">
        <v>0</v>
      </c>
      <c r="J39" s="7">
        <v>0.61250000000000004</v>
      </c>
      <c r="K39" s="7">
        <v>0.63194444444444442</v>
      </c>
      <c r="L39" s="3">
        <f t="shared" si="0"/>
        <v>0</v>
      </c>
      <c r="M39" s="3">
        <f t="shared" si="1"/>
        <v>0</v>
      </c>
      <c r="N39" s="29">
        <f>_xlfn.MAXIFS($G$7:G38,$E$7:E38,detalhe_carro1[[#This Row],[Nó]],$B$7:B38,detalhe_carro1[[#This Row],[Numero Voltas]],$L$7:L38,1)</f>
        <v>230</v>
      </c>
      <c r="O39" s="3" t="str">
        <f>IF(OR(detalhe_carro1[[#This Row],[Ultima Chegada]]=0,detalhe_carro1[[#This Row],[Chegada]]=0),"",detalhe_carro1[[#This Row],[Hora Inicio]]-detalhe_carro1[[#This Row],[Ultima Chegada]])</f>
        <v/>
      </c>
      <c r="P39" s="3">
        <f>IF(detalhe_carro1[[#This Row],[Tipo]]="Visitar Nó",((detalhe_carro1[[#This Row],[Hora Fim]]-detalhe_carro1[[#This Row],[Hora Inicio]])/60*velocidade_nos),0)</f>
        <v>14</v>
      </c>
      <c r="Q39" s="29">
        <f>detalhe_carro1[[#This Row],[Kms Nós]]+detalhe_carro1[[#This Row],[kms]]</f>
        <v>14</v>
      </c>
      <c r="S39" s="20">
        <v>1</v>
      </c>
      <c r="T39" s="20">
        <v>2</v>
      </c>
      <c r="U39" s="20">
        <v>5</v>
      </c>
      <c r="V39" s="20" t="s">
        <v>29</v>
      </c>
      <c r="W39">
        <v>1094</v>
      </c>
      <c r="X39">
        <v>1125</v>
      </c>
      <c r="Y39">
        <v>907</v>
      </c>
      <c r="Z39" s="7">
        <v>5.1388888888888887E-2</v>
      </c>
      <c r="AA39" s="7">
        <v>7.2916666666666671E-2</v>
      </c>
      <c r="AB39" s="7">
        <v>0.92152777777777772</v>
      </c>
      <c r="AC3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3.1166666666666667</v>
      </c>
      <c r="AK39"/>
      <c r="AL39"/>
      <c r="AM39"/>
      <c r="AN39"/>
    </row>
    <row r="40" spans="2:40" x14ac:dyDescent="0.25">
      <c r="B40" s="3">
        <v>1</v>
      </c>
      <c r="C40">
        <v>0</v>
      </c>
      <c r="D40">
        <v>5</v>
      </c>
      <c r="E40" s="29" t="s">
        <v>29</v>
      </c>
      <c r="F40" s="3">
        <v>493</v>
      </c>
      <c r="G40" s="3">
        <v>493</v>
      </c>
      <c r="H40" s="29" t="s">
        <v>51</v>
      </c>
      <c r="I40" s="3">
        <v>3</v>
      </c>
      <c r="J40" s="7">
        <v>0.63402777777777775</v>
      </c>
      <c r="K40" s="7">
        <v>0.63402777777777775</v>
      </c>
      <c r="L40" s="3">
        <f t="shared" si="0"/>
        <v>1</v>
      </c>
      <c r="M40" s="3">
        <f t="shared" si="1"/>
        <v>0</v>
      </c>
      <c r="N40" s="29">
        <f>_xlfn.MAXIFS($G$7:G39,$E$7:E39,detalhe_carro1[[#This Row],[Nó]],$B$7:B39,detalhe_carro1[[#This Row],[Numero Voltas]],$L$7:L39,1)</f>
        <v>230</v>
      </c>
      <c r="O40" s="3" t="str">
        <f>IF(OR(detalhe_carro1[[#This Row],[Ultima Chegada]]=0,detalhe_carro1[[#This Row],[Chegada]]=0),"",detalhe_carro1[[#This Row],[Hora Inicio]]-detalhe_carro1[[#This Row],[Ultima Chegada]])</f>
        <v/>
      </c>
      <c r="P40" s="3">
        <f>IF(detalhe_carro1[[#This Row],[Tipo]]="Visitar Nó",((detalhe_carro1[[#This Row],[Hora Fim]]-detalhe_carro1[[#This Row],[Hora Inicio]])/60*velocidade_nos),0)</f>
        <v>0</v>
      </c>
      <c r="Q40" s="29">
        <f>detalhe_carro1[[#This Row],[Kms Nós]]+detalhe_carro1[[#This Row],[kms]]</f>
        <v>3</v>
      </c>
      <c r="S40" s="20">
        <v>1</v>
      </c>
      <c r="T40" s="20">
        <v>2</v>
      </c>
      <c r="U40" s="20">
        <v>4</v>
      </c>
      <c r="V40" s="20" t="s">
        <v>27</v>
      </c>
      <c r="W40">
        <v>1128</v>
      </c>
      <c r="X40">
        <v>1144</v>
      </c>
      <c r="Y40">
        <v>860</v>
      </c>
      <c r="Z40" s="7">
        <v>7.4999999999999997E-2</v>
      </c>
      <c r="AA40" s="7">
        <v>8.611111111111111E-2</v>
      </c>
      <c r="AB40" s="7">
        <v>0.88888888888888884</v>
      </c>
      <c r="AC4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4.4666666666666668</v>
      </c>
      <c r="AK40"/>
      <c r="AL40"/>
      <c r="AM40"/>
      <c r="AN40"/>
    </row>
    <row r="41" spans="2:40" x14ac:dyDescent="0.25">
      <c r="B41" s="3">
        <v>1</v>
      </c>
      <c r="C41">
        <v>0</v>
      </c>
      <c r="D41">
        <v>6</v>
      </c>
      <c r="E41" s="29" t="s">
        <v>31</v>
      </c>
      <c r="F41" s="3">
        <v>496</v>
      </c>
      <c r="G41" s="3">
        <v>505</v>
      </c>
      <c r="H41" s="29" t="s">
        <v>50</v>
      </c>
      <c r="I41" s="3">
        <v>0</v>
      </c>
      <c r="J41" s="7">
        <v>0.63611111111111107</v>
      </c>
      <c r="K41" s="7">
        <v>0.64236111111111116</v>
      </c>
      <c r="L41" s="3">
        <f t="shared" si="0"/>
        <v>0</v>
      </c>
      <c r="M41" s="3">
        <f t="shared" si="1"/>
        <v>1</v>
      </c>
      <c r="N41" s="29">
        <f>_xlfn.MAXIFS($G$7:G40,$E$7:E40,detalhe_carro1[[#This Row],[Nó]],$B$7:B40,detalhe_carro1[[#This Row],[Numero Voltas]],$L$7:L40,1)</f>
        <v>196</v>
      </c>
      <c r="O41" s="3">
        <f>IF(OR(detalhe_carro1[[#This Row],[Ultima Chegada]]=0,detalhe_carro1[[#This Row],[Chegada]]=0),"",detalhe_carro1[[#This Row],[Hora Inicio]]-detalhe_carro1[[#This Row],[Ultima Chegada]])</f>
        <v>300</v>
      </c>
      <c r="P41" s="3">
        <f>IF(detalhe_carro1[[#This Row],[Tipo]]="Visitar Nó",((detalhe_carro1[[#This Row],[Hora Fim]]-detalhe_carro1[[#This Row],[Hora Inicio]])/60*velocidade_nos),0)</f>
        <v>4.5</v>
      </c>
      <c r="Q41" s="29">
        <f>detalhe_carro1[[#This Row],[Kms Nós]]+detalhe_carro1[[#This Row],[kms]]</f>
        <v>4.5</v>
      </c>
      <c r="S41" s="20">
        <v>1</v>
      </c>
      <c r="T41" s="20">
        <v>2</v>
      </c>
      <c r="U41" s="20">
        <v>3</v>
      </c>
      <c r="V41" s="20" t="s">
        <v>26</v>
      </c>
      <c r="W41">
        <v>1145</v>
      </c>
      <c r="X41">
        <v>1156</v>
      </c>
      <c r="Y41">
        <v>845</v>
      </c>
      <c r="Z41" s="7">
        <v>8.6805555555555552E-2</v>
      </c>
      <c r="AA41" s="7">
        <v>9.4444444444444442E-2</v>
      </c>
      <c r="AB41" s="7">
        <v>0.87847222222222221</v>
      </c>
      <c r="AC4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</v>
      </c>
      <c r="AK41"/>
      <c r="AL41"/>
      <c r="AM41"/>
      <c r="AN41"/>
    </row>
    <row r="42" spans="2:40" x14ac:dyDescent="0.25">
      <c r="B42" s="3">
        <v>1</v>
      </c>
      <c r="C42">
        <v>0</v>
      </c>
      <c r="D42">
        <v>6</v>
      </c>
      <c r="E42" s="29" t="s">
        <v>31</v>
      </c>
      <c r="F42" s="3">
        <v>508</v>
      </c>
      <c r="G42" s="3">
        <v>508</v>
      </c>
      <c r="H42" s="29" t="s">
        <v>51</v>
      </c>
      <c r="I42" s="3">
        <v>3</v>
      </c>
      <c r="J42" s="7">
        <v>0.64444444444444449</v>
      </c>
      <c r="K42" s="7">
        <v>0.64444444444444449</v>
      </c>
      <c r="L42" s="3">
        <f t="shared" si="0"/>
        <v>1</v>
      </c>
      <c r="M42" s="3">
        <f t="shared" si="1"/>
        <v>0</v>
      </c>
      <c r="N42" s="29">
        <f>_xlfn.MAXIFS($G$7:G41,$E$7:E41,detalhe_carro1[[#This Row],[Nó]],$B$7:B41,detalhe_carro1[[#This Row],[Numero Voltas]],$L$7:L41,1)</f>
        <v>196</v>
      </c>
      <c r="O42" s="3" t="str">
        <f>IF(OR(detalhe_carro1[[#This Row],[Ultima Chegada]]=0,detalhe_carro1[[#This Row],[Chegada]]=0),"",detalhe_carro1[[#This Row],[Hora Inicio]]-detalhe_carro1[[#This Row],[Ultima Chegada]])</f>
        <v/>
      </c>
      <c r="P42" s="3">
        <f>IF(detalhe_carro1[[#This Row],[Tipo]]="Visitar Nó",((detalhe_carro1[[#This Row],[Hora Fim]]-detalhe_carro1[[#This Row],[Hora Inicio]])/60*velocidade_nos),0)</f>
        <v>0</v>
      </c>
      <c r="Q42" s="29">
        <f>detalhe_carro1[[#This Row],[Kms Nós]]+detalhe_carro1[[#This Row],[kms]]</f>
        <v>3</v>
      </c>
      <c r="S42" s="20">
        <v>1</v>
      </c>
      <c r="T42" s="20">
        <v>2</v>
      </c>
      <c r="U42" s="20">
        <v>2</v>
      </c>
      <c r="V42" s="20" t="s">
        <v>24</v>
      </c>
      <c r="W42">
        <v>1157</v>
      </c>
      <c r="X42">
        <v>1172</v>
      </c>
      <c r="Y42">
        <v>833</v>
      </c>
      <c r="Z42" s="7">
        <v>9.5138888888888884E-2</v>
      </c>
      <c r="AA42" s="7">
        <v>0.10555555555555556</v>
      </c>
      <c r="AB42" s="7">
        <v>0.87013888888888891</v>
      </c>
      <c r="AC4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5.4</v>
      </c>
      <c r="AK42"/>
      <c r="AL42"/>
      <c r="AM42"/>
      <c r="AN42"/>
    </row>
    <row r="43" spans="2:40" x14ac:dyDescent="0.25">
      <c r="B43" s="3">
        <v>1</v>
      </c>
      <c r="C43">
        <v>0</v>
      </c>
      <c r="D43">
        <v>7</v>
      </c>
      <c r="E43" s="29" t="s">
        <v>33</v>
      </c>
      <c r="F43" s="3">
        <v>511</v>
      </c>
      <c r="G43" s="3">
        <v>576</v>
      </c>
      <c r="H43" s="29" t="s">
        <v>52</v>
      </c>
      <c r="I43" s="3">
        <v>0</v>
      </c>
      <c r="J43" s="7">
        <v>0.64652777777777781</v>
      </c>
      <c r="K43" s="7">
        <v>0.69166666666666665</v>
      </c>
      <c r="L43" s="3">
        <f t="shared" si="0"/>
        <v>0</v>
      </c>
      <c r="M43" s="3">
        <f t="shared" si="1"/>
        <v>1</v>
      </c>
      <c r="N43" s="29">
        <f>_xlfn.MAXIFS($G$7:G42,$E$7:E42,detalhe_carro1[[#This Row],[Nó]],$B$7:B42,detalhe_carro1[[#This Row],[Numero Voltas]],$L$7:L42,1)</f>
        <v>168</v>
      </c>
      <c r="O43" s="3">
        <f>IF(OR(detalhe_carro1[[#This Row],[Ultima Chegada]]=0,detalhe_carro1[[#This Row],[Chegada]]=0),"",detalhe_carro1[[#This Row],[Hora Inicio]]-detalhe_carro1[[#This Row],[Ultima Chegada]])</f>
        <v>343</v>
      </c>
      <c r="P43" s="3">
        <f>IF(detalhe_carro1[[#This Row],[Tipo]]="Visitar Nó",((detalhe_carro1[[#This Row],[Hora Fim]]-detalhe_carro1[[#This Row],[Hora Inicio]])/60*velocidade_nos),0)</f>
        <v>0</v>
      </c>
      <c r="Q43" s="29">
        <f>detalhe_carro1[[#This Row],[Kms Nós]]+detalhe_carro1[[#This Row],[kms]]</f>
        <v>0</v>
      </c>
      <c r="S43" s="20">
        <v>1</v>
      </c>
      <c r="T43" s="20">
        <v>2</v>
      </c>
      <c r="U43" s="20">
        <v>1</v>
      </c>
      <c r="V43" s="20" t="s">
        <v>22</v>
      </c>
      <c r="W43">
        <v>1179</v>
      </c>
      <c r="X43">
        <v>1191</v>
      </c>
      <c r="Y43">
        <v>805</v>
      </c>
      <c r="Z43" s="7">
        <v>0.11041666666666666</v>
      </c>
      <c r="AA43" s="7">
        <v>0.11874999999999999</v>
      </c>
      <c r="AB43" s="7">
        <v>0.85069444444444442</v>
      </c>
      <c r="AC4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6.2333333333333334</v>
      </c>
      <c r="AK43"/>
      <c r="AL43"/>
      <c r="AM43"/>
      <c r="AN43"/>
    </row>
    <row r="44" spans="2:40" x14ac:dyDescent="0.25">
      <c r="B44" s="3">
        <v>1</v>
      </c>
      <c r="C44">
        <v>0</v>
      </c>
      <c r="D44">
        <v>7</v>
      </c>
      <c r="E44" s="29" t="s">
        <v>33</v>
      </c>
      <c r="F44" s="3">
        <v>579</v>
      </c>
      <c r="G44" s="3">
        <v>579</v>
      </c>
      <c r="H44" s="29" t="s">
        <v>51</v>
      </c>
      <c r="I44" s="3">
        <v>3</v>
      </c>
      <c r="J44" s="7">
        <v>0.69374999999999998</v>
      </c>
      <c r="K44" s="7">
        <v>0.69374999999999998</v>
      </c>
      <c r="L44" s="3">
        <f t="shared" si="0"/>
        <v>0</v>
      </c>
      <c r="M44" s="3">
        <f t="shared" si="1"/>
        <v>0</v>
      </c>
      <c r="N44" s="29">
        <f>_xlfn.MAXIFS($G$7:G43,$E$7:E43,detalhe_carro1[[#This Row],[Nó]],$B$7:B43,detalhe_carro1[[#This Row],[Numero Voltas]],$L$7:L43,1)</f>
        <v>168</v>
      </c>
      <c r="O44" s="3" t="str">
        <f>IF(OR(detalhe_carro1[[#This Row],[Ultima Chegada]]=0,detalhe_carro1[[#This Row],[Chegada]]=0),"",detalhe_carro1[[#This Row],[Hora Inicio]]-detalhe_carro1[[#This Row],[Ultima Chegada]])</f>
        <v/>
      </c>
      <c r="P44" s="3">
        <f>IF(detalhe_carro1[[#This Row],[Tipo]]="Visitar Nó",((detalhe_carro1[[#This Row],[Hora Fim]]-detalhe_carro1[[#This Row],[Hora Inicio]])/60*velocidade_nos),0)</f>
        <v>0</v>
      </c>
      <c r="Q44" s="29">
        <f>detalhe_carro1[[#This Row],[Kms Nós]]+detalhe_carro1[[#This Row],[kms]]</f>
        <v>3</v>
      </c>
      <c r="S44" s="20">
        <v>1</v>
      </c>
      <c r="T44" s="20">
        <v>2</v>
      </c>
      <c r="U44" s="20">
        <v>0</v>
      </c>
      <c r="V44" s="20" t="s">
        <v>20</v>
      </c>
      <c r="W44">
        <v>1192</v>
      </c>
      <c r="X44">
        <v>1207</v>
      </c>
      <c r="Y44">
        <v>727</v>
      </c>
      <c r="Z44" s="7">
        <v>0.11944444444444445</v>
      </c>
      <c r="AA44" s="7">
        <v>0.12986111111111112</v>
      </c>
      <c r="AB44" s="7">
        <v>0.79652777777777772</v>
      </c>
      <c r="AC4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7.75</v>
      </c>
      <c r="AK44"/>
      <c r="AL44"/>
      <c r="AM44"/>
      <c r="AN44"/>
    </row>
    <row r="45" spans="2:40" x14ac:dyDescent="0.25">
      <c r="B45" s="3">
        <v>1</v>
      </c>
      <c r="C45">
        <v>0</v>
      </c>
      <c r="D45">
        <v>7</v>
      </c>
      <c r="E45" s="29" t="s">
        <v>33</v>
      </c>
      <c r="F45" s="3">
        <v>579</v>
      </c>
      <c r="G45" s="3">
        <v>579</v>
      </c>
      <c r="H45" s="29" t="s">
        <v>51</v>
      </c>
      <c r="I45" s="3">
        <v>3</v>
      </c>
      <c r="J45" s="7">
        <v>0.69374999999999998</v>
      </c>
      <c r="K45" s="7">
        <v>0.69374999999999998</v>
      </c>
      <c r="L45" s="3">
        <f t="shared" si="0"/>
        <v>0</v>
      </c>
      <c r="M45" s="3">
        <f t="shared" si="1"/>
        <v>0</v>
      </c>
      <c r="N45" s="29">
        <f>_xlfn.MAXIFS($G$7:G44,$E$7:E44,detalhe_carro1[[#This Row],[Nó]],$B$7:B44,detalhe_carro1[[#This Row],[Numero Voltas]],$L$7:L44,1)</f>
        <v>168</v>
      </c>
      <c r="O45" s="3" t="str">
        <f>IF(OR(detalhe_carro1[[#This Row],[Ultima Chegada]]=0,detalhe_carro1[[#This Row],[Chegada]]=0),"",detalhe_carro1[[#This Row],[Hora Inicio]]-detalhe_carro1[[#This Row],[Ultima Chegada]])</f>
        <v/>
      </c>
      <c r="P45" s="3">
        <f>IF(detalhe_carro1[[#This Row],[Tipo]]="Visitar Nó",((detalhe_carro1[[#This Row],[Hora Fim]]-detalhe_carro1[[#This Row],[Hora Inicio]])/60*velocidade_nos),0)</f>
        <v>0</v>
      </c>
      <c r="Q45" s="29">
        <f>detalhe_carro1[[#This Row],[Kms Nós]]+detalhe_carro1[[#This Row],[kms]]</f>
        <v>3</v>
      </c>
      <c r="S45" s="20">
        <v>1</v>
      </c>
      <c r="T45" s="20">
        <v>2</v>
      </c>
      <c r="U45" s="20">
        <v>1</v>
      </c>
      <c r="V45" s="20" t="s">
        <v>22</v>
      </c>
      <c r="W45">
        <v>1213</v>
      </c>
      <c r="X45">
        <v>1285</v>
      </c>
      <c r="Y45">
        <v>1191</v>
      </c>
      <c r="Z45" s="7">
        <v>0.13402777777777777</v>
      </c>
      <c r="AA45" s="7">
        <v>0.18402777777777779</v>
      </c>
      <c r="AB45" s="7">
        <v>0.11874999999999999</v>
      </c>
      <c r="AC4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  <c r="AK45"/>
      <c r="AL45"/>
      <c r="AM45"/>
      <c r="AN45"/>
    </row>
    <row r="46" spans="2:40" x14ac:dyDescent="0.25">
      <c r="B46" s="3">
        <v>1</v>
      </c>
      <c r="C46">
        <v>0</v>
      </c>
      <c r="D46">
        <v>7</v>
      </c>
      <c r="E46" s="29" t="s">
        <v>33</v>
      </c>
      <c r="F46" s="3">
        <v>579</v>
      </c>
      <c r="G46" s="3">
        <v>579</v>
      </c>
      <c r="H46" s="29" t="s">
        <v>51</v>
      </c>
      <c r="I46" s="3">
        <v>3</v>
      </c>
      <c r="J46" s="7">
        <v>0.69374999999999998</v>
      </c>
      <c r="K46" s="7">
        <v>0.69374999999999998</v>
      </c>
      <c r="L46" s="3">
        <f t="shared" si="0"/>
        <v>0</v>
      </c>
      <c r="M46" s="3">
        <f t="shared" si="1"/>
        <v>0</v>
      </c>
      <c r="N46" s="29">
        <f>_xlfn.MAXIFS($G$7:G45,$E$7:E45,detalhe_carro1[[#This Row],[Nó]],$B$7:B45,detalhe_carro1[[#This Row],[Numero Voltas]],$L$7:L45,1)</f>
        <v>168</v>
      </c>
      <c r="O46" s="3" t="str">
        <f>IF(OR(detalhe_carro1[[#This Row],[Ultima Chegada]]=0,detalhe_carro1[[#This Row],[Chegada]]=0),"",detalhe_carro1[[#This Row],[Hora Inicio]]-detalhe_carro1[[#This Row],[Ultima Chegada]])</f>
        <v/>
      </c>
      <c r="P46" s="3">
        <f>IF(detalhe_carro1[[#This Row],[Tipo]]="Visitar Nó",((detalhe_carro1[[#This Row],[Hora Fim]]-detalhe_carro1[[#This Row],[Hora Inicio]])/60*velocidade_nos),0)</f>
        <v>0</v>
      </c>
      <c r="Q46" s="29">
        <f>detalhe_carro1[[#This Row],[Kms Nós]]+detalhe_carro1[[#This Row],[kms]]</f>
        <v>3</v>
      </c>
      <c r="S46" s="20">
        <v>1</v>
      </c>
      <c r="T46" s="20">
        <v>2</v>
      </c>
      <c r="U46" s="20">
        <v>2</v>
      </c>
      <c r="V46" s="20" t="s">
        <v>24</v>
      </c>
      <c r="W46">
        <v>1292</v>
      </c>
      <c r="X46">
        <v>1313</v>
      </c>
      <c r="Y46">
        <v>1172</v>
      </c>
      <c r="Z46" s="7">
        <v>0.18888888888888888</v>
      </c>
      <c r="AA46" s="7">
        <v>0.20347222222222222</v>
      </c>
      <c r="AB46" s="7">
        <v>0.10555555555555556</v>
      </c>
      <c r="AC4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</v>
      </c>
      <c r="AK46"/>
      <c r="AL46"/>
      <c r="AM46"/>
      <c r="AN46"/>
    </row>
    <row r="47" spans="2:40" x14ac:dyDescent="0.25">
      <c r="B47" s="3">
        <v>1</v>
      </c>
      <c r="C47">
        <v>1</v>
      </c>
      <c r="D47">
        <v>7</v>
      </c>
      <c r="E47" s="29" t="s">
        <v>33</v>
      </c>
      <c r="F47" s="3">
        <v>510</v>
      </c>
      <c r="G47" s="3">
        <v>570</v>
      </c>
      <c r="H47" s="29" t="s">
        <v>54</v>
      </c>
      <c r="I47" s="3">
        <v>0</v>
      </c>
      <c r="J47" s="7">
        <v>0.64583333333333337</v>
      </c>
      <c r="K47" s="7">
        <v>0.6875</v>
      </c>
      <c r="L47" s="3">
        <f t="shared" si="0"/>
        <v>0</v>
      </c>
      <c r="M47" s="3">
        <f t="shared" si="1"/>
        <v>0</v>
      </c>
      <c r="N47" s="29">
        <f>_xlfn.MAXIFS($G$7:G46,$E$7:E46,detalhe_carro1[[#This Row],[Nó]],$B$7:B46,detalhe_carro1[[#This Row],[Numero Voltas]],$L$7:L46,1)</f>
        <v>168</v>
      </c>
      <c r="O47" s="3" t="str">
        <f>IF(OR(detalhe_carro1[[#This Row],[Ultima Chegada]]=0,detalhe_carro1[[#This Row],[Chegada]]=0),"",detalhe_carro1[[#This Row],[Hora Inicio]]-detalhe_carro1[[#This Row],[Ultima Chegada]])</f>
        <v/>
      </c>
      <c r="P47" s="3">
        <f>IF(detalhe_carro1[[#This Row],[Tipo]]="Visitar Nó",((detalhe_carro1[[#This Row],[Hora Fim]]-detalhe_carro1[[#This Row],[Hora Inicio]])/60*velocidade_nos),0)</f>
        <v>0</v>
      </c>
      <c r="Q47" s="29">
        <f>detalhe_carro1[[#This Row],[Kms Nós]]+detalhe_carro1[[#This Row],[kms]]</f>
        <v>0</v>
      </c>
      <c r="S47" s="20">
        <v>1</v>
      </c>
      <c r="T47" s="20">
        <v>2</v>
      </c>
      <c r="U47" s="20">
        <v>3</v>
      </c>
      <c r="V47" s="20" t="s">
        <v>26</v>
      </c>
      <c r="W47">
        <v>1314</v>
      </c>
      <c r="X47">
        <v>1325</v>
      </c>
      <c r="Y47">
        <v>1156</v>
      </c>
      <c r="Z47" s="7">
        <v>0.20416666666666666</v>
      </c>
      <c r="AA47" s="7">
        <v>0.21180555555555555</v>
      </c>
      <c r="AB47" s="7">
        <v>9.4444444444444442E-2</v>
      </c>
      <c r="AC4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2.6333333333333333</v>
      </c>
      <c r="AK47"/>
      <c r="AL47"/>
      <c r="AM47"/>
      <c r="AN47"/>
    </row>
    <row r="48" spans="2:40" x14ac:dyDescent="0.25">
      <c r="B48" s="3">
        <v>1</v>
      </c>
      <c r="C48">
        <v>1</v>
      </c>
      <c r="D48">
        <v>7</v>
      </c>
      <c r="E48" s="29" t="s">
        <v>33</v>
      </c>
      <c r="F48" s="3">
        <v>540</v>
      </c>
      <c r="G48" s="3">
        <v>570</v>
      </c>
      <c r="H48" s="29" t="s">
        <v>54</v>
      </c>
      <c r="I48" s="3">
        <v>0</v>
      </c>
      <c r="J48" s="7">
        <v>0.66666666666666663</v>
      </c>
      <c r="K48" s="7">
        <v>0.6875</v>
      </c>
      <c r="L48" s="3">
        <f t="shared" si="0"/>
        <v>0</v>
      </c>
      <c r="M48" s="3">
        <f t="shared" si="1"/>
        <v>0</v>
      </c>
      <c r="N48" s="29">
        <f>_xlfn.MAXIFS($G$7:G47,$E$7:E47,detalhe_carro1[[#This Row],[Nó]],$B$7:B47,detalhe_carro1[[#This Row],[Numero Voltas]],$L$7:L47,1)</f>
        <v>168</v>
      </c>
      <c r="O48" s="3" t="str">
        <f>IF(OR(detalhe_carro1[[#This Row],[Ultima Chegada]]=0,detalhe_carro1[[#This Row],[Chegada]]=0),"",detalhe_carro1[[#This Row],[Hora Inicio]]-detalhe_carro1[[#This Row],[Ultima Chegada]])</f>
        <v/>
      </c>
      <c r="P48" s="3">
        <f>IF(detalhe_carro1[[#This Row],[Tipo]]="Visitar Nó",((detalhe_carro1[[#This Row],[Hora Fim]]-detalhe_carro1[[#This Row],[Hora Inicio]])/60*velocidade_nos),0)</f>
        <v>0</v>
      </c>
      <c r="Q48" s="29">
        <f>detalhe_carro1[[#This Row],[Kms Nós]]+detalhe_carro1[[#This Row],[kms]]</f>
        <v>0</v>
      </c>
      <c r="S48" s="20">
        <v>1</v>
      </c>
      <c r="T48" s="20">
        <v>2</v>
      </c>
      <c r="U48" s="20">
        <v>4</v>
      </c>
      <c r="V48" s="20" t="s">
        <v>27</v>
      </c>
      <c r="W48">
        <v>1326</v>
      </c>
      <c r="X48">
        <v>1340</v>
      </c>
      <c r="Y48">
        <v>1144</v>
      </c>
      <c r="Z48" s="7">
        <v>0.21249999999999999</v>
      </c>
      <c r="AA48" s="7">
        <v>0.22222222222222221</v>
      </c>
      <c r="AB48" s="7">
        <v>8.611111111111111E-2</v>
      </c>
      <c r="AC4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3.0333333333333332</v>
      </c>
      <c r="AK48"/>
      <c r="AL48"/>
      <c r="AM48"/>
      <c r="AN48"/>
    </row>
    <row r="49" spans="2:40" x14ac:dyDescent="0.25">
      <c r="B49" s="3">
        <v>1</v>
      </c>
      <c r="C49">
        <v>1</v>
      </c>
      <c r="D49">
        <v>7</v>
      </c>
      <c r="E49" s="29" t="s">
        <v>33</v>
      </c>
      <c r="F49" s="3">
        <v>570</v>
      </c>
      <c r="G49" s="3">
        <v>570</v>
      </c>
      <c r="H49" s="29" t="s">
        <v>49</v>
      </c>
      <c r="I49" s="3">
        <v>0</v>
      </c>
      <c r="J49" s="7">
        <v>0.6875</v>
      </c>
      <c r="K49" s="7">
        <v>0.6875</v>
      </c>
      <c r="L49" s="3">
        <f t="shared" si="0"/>
        <v>0</v>
      </c>
      <c r="M49" s="3">
        <f t="shared" si="1"/>
        <v>0</v>
      </c>
      <c r="N49" s="29">
        <f>_xlfn.MAXIFS($G$7:G48,$E$7:E48,detalhe_carro1[[#This Row],[Nó]],$B$7:B48,detalhe_carro1[[#This Row],[Numero Voltas]],$L$7:L48,1)</f>
        <v>168</v>
      </c>
      <c r="O49" s="3" t="str">
        <f>IF(OR(detalhe_carro1[[#This Row],[Ultima Chegada]]=0,detalhe_carro1[[#This Row],[Chegada]]=0),"",detalhe_carro1[[#This Row],[Hora Inicio]]-detalhe_carro1[[#This Row],[Ultima Chegada]])</f>
        <v/>
      </c>
      <c r="P49" s="3">
        <f>IF(detalhe_carro1[[#This Row],[Tipo]]="Visitar Nó",((detalhe_carro1[[#This Row],[Hora Fim]]-detalhe_carro1[[#This Row],[Hora Inicio]])/60*velocidade_nos),0)</f>
        <v>0</v>
      </c>
      <c r="Q49" s="29">
        <f>detalhe_carro1[[#This Row],[Kms Nós]]+detalhe_carro1[[#This Row],[kms]]</f>
        <v>0</v>
      </c>
      <c r="S49" s="20">
        <v>1</v>
      </c>
      <c r="T49" s="20">
        <v>2</v>
      </c>
      <c r="U49" s="20">
        <v>5</v>
      </c>
      <c r="V49" s="20" t="s">
        <v>29</v>
      </c>
      <c r="W49">
        <v>1343</v>
      </c>
      <c r="X49">
        <v>1387</v>
      </c>
      <c r="Y49">
        <v>1125</v>
      </c>
      <c r="Z49" s="7">
        <v>0.22430555555555556</v>
      </c>
      <c r="AA49" s="7">
        <v>0.25486111111111109</v>
      </c>
      <c r="AB49" s="7">
        <v>7.2916666666666671E-2</v>
      </c>
      <c r="AC4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3.6333333333333333</v>
      </c>
      <c r="AK49"/>
      <c r="AL49"/>
      <c r="AM49"/>
      <c r="AN49"/>
    </row>
    <row r="50" spans="2:40" x14ac:dyDescent="0.25">
      <c r="B50" s="3">
        <v>1</v>
      </c>
      <c r="C50">
        <v>1</v>
      </c>
      <c r="D50">
        <v>7</v>
      </c>
      <c r="E50" s="29" t="s">
        <v>33</v>
      </c>
      <c r="F50" s="3">
        <v>570</v>
      </c>
      <c r="G50" s="3">
        <v>583</v>
      </c>
      <c r="H50" s="29" t="s">
        <v>50</v>
      </c>
      <c r="I50" s="3">
        <v>0</v>
      </c>
      <c r="J50" s="7">
        <v>0.6875</v>
      </c>
      <c r="K50" s="7">
        <v>0.69652777777777775</v>
      </c>
      <c r="L50" s="3">
        <f t="shared" si="0"/>
        <v>0</v>
      </c>
      <c r="M50" s="3">
        <f t="shared" si="1"/>
        <v>0</v>
      </c>
      <c r="N50" s="29">
        <f>_xlfn.MAXIFS($G$7:G49,$E$7:E49,detalhe_carro1[[#This Row],[Nó]],$B$7:B49,detalhe_carro1[[#This Row],[Numero Voltas]],$L$7:L49,1)</f>
        <v>168</v>
      </c>
      <c r="O50" s="3" t="str">
        <f>IF(OR(detalhe_carro1[[#This Row],[Ultima Chegada]]=0,detalhe_carro1[[#This Row],[Chegada]]=0),"",detalhe_carro1[[#This Row],[Hora Inicio]]-detalhe_carro1[[#This Row],[Ultima Chegada]])</f>
        <v/>
      </c>
      <c r="P50" s="3">
        <f>IF(detalhe_carro1[[#This Row],[Tipo]]="Visitar Nó",((detalhe_carro1[[#This Row],[Hora Fim]]-detalhe_carro1[[#This Row],[Hora Inicio]])/60*velocidade_nos),0)</f>
        <v>6.5</v>
      </c>
      <c r="Q50" s="29">
        <f>detalhe_carro1[[#This Row],[Kms Nós]]+detalhe_carro1[[#This Row],[kms]]</f>
        <v>6.5</v>
      </c>
      <c r="S50" s="20">
        <v>1</v>
      </c>
      <c r="T50" s="20">
        <v>2</v>
      </c>
      <c r="U50" s="20">
        <v>6</v>
      </c>
      <c r="V50" s="20" t="s">
        <v>31</v>
      </c>
      <c r="W50">
        <v>1399</v>
      </c>
      <c r="X50">
        <v>1480</v>
      </c>
      <c r="Y50">
        <v>1091</v>
      </c>
      <c r="Z50" s="7">
        <v>0.26319444444444445</v>
      </c>
      <c r="AA50" s="7">
        <v>0.31944444444444442</v>
      </c>
      <c r="AB50" s="7">
        <v>4.9305555555555554E-2</v>
      </c>
      <c r="AC5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5.1333333333333337</v>
      </c>
      <c r="AK50"/>
      <c r="AL50"/>
      <c r="AM50"/>
      <c r="AN50"/>
    </row>
    <row r="51" spans="2:40" x14ac:dyDescent="0.25">
      <c r="B51" s="3">
        <v>1</v>
      </c>
      <c r="C51">
        <v>1</v>
      </c>
      <c r="D51">
        <v>7</v>
      </c>
      <c r="E51" s="29" t="s">
        <v>33</v>
      </c>
      <c r="F51" s="3">
        <v>583</v>
      </c>
      <c r="G51" s="3">
        <v>583</v>
      </c>
      <c r="H51" s="29" t="s">
        <v>51</v>
      </c>
      <c r="I51" s="3">
        <v>0</v>
      </c>
      <c r="J51" s="7">
        <v>0.69652777777777775</v>
      </c>
      <c r="K51" s="7">
        <v>0.69652777777777775</v>
      </c>
      <c r="L51" s="3">
        <f t="shared" si="0"/>
        <v>1</v>
      </c>
      <c r="M51" s="3">
        <f t="shared" si="1"/>
        <v>0</v>
      </c>
      <c r="N51" s="29">
        <f>_xlfn.MAXIFS($G$7:G50,$E$7:E50,detalhe_carro1[[#This Row],[Nó]],$B$7:B50,detalhe_carro1[[#This Row],[Numero Voltas]],$L$7:L50,1)</f>
        <v>168</v>
      </c>
      <c r="O51" s="3" t="str">
        <f>IF(OR(detalhe_carro1[[#This Row],[Ultima Chegada]]=0,detalhe_carro1[[#This Row],[Chegada]]=0),"",detalhe_carro1[[#This Row],[Hora Inicio]]-detalhe_carro1[[#This Row],[Ultima Chegada]])</f>
        <v/>
      </c>
      <c r="P51" s="3">
        <f>IF(detalhe_carro1[[#This Row],[Tipo]]="Visitar Nó",((detalhe_carro1[[#This Row],[Hora Fim]]-detalhe_carro1[[#This Row],[Hora Inicio]])/60*velocidade_nos),0)</f>
        <v>0</v>
      </c>
      <c r="Q51" s="29">
        <f>detalhe_carro1[[#This Row],[Kms Nós]]+detalhe_carro1[[#This Row],[kms]]</f>
        <v>0</v>
      </c>
      <c r="S51" s="20">
        <v>1</v>
      </c>
      <c r="T51" s="20">
        <v>2</v>
      </c>
      <c r="U51" s="20">
        <v>7</v>
      </c>
      <c r="V51" s="20" t="s">
        <v>33</v>
      </c>
      <c r="W51">
        <v>1483</v>
      </c>
      <c r="X51">
        <v>1551</v>
      </c>
      <c r="Y51">
        <v>1063</v>
      </c>
      <c r="Z51" s="7">
        <v>0.3215277777777778</v>
      </c>
      <c r="AA51" s="7">
        <v>0.36875000000000002</v>
      </c>
      <c r="AB51" s="7">
        <v>2.9861111111111113E-2</v>
      </c>
      <c r="AC5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</v>
      </c>
      <c r="AK51"/>
      <c r="AL51"/>
      <c r="AM51"/>
      <c r="AN51"/>
    </row>
    <row r="52" spans="2:40" x14ac:dyDescent="0.25">
      <c r="B52" s="3">
        <v>1</v>
      </c>
      <c r="C52">
        <v>1</v>
      </c>
      <c r="D52">
        <v>6</v>
      </c>
      <c r="E52" s="29" t="s">
        <v>31</v>
      </c>
      <c r="F52" s="3">
        <v>586</v>
      </c>
      <c r="G52" s="3">
        <v>596</v>
      </c>
      <c r="H52" s="29" t="s">
        <v>297</v>
      </c>
      <c r="I52" s="3">
        <v>0</v>
      </c>
      <c r="J52" s="7">
        <v>0.69861111111111107</v>
      </c>
      <c r="K52" s="7">
        <v>0.7055555555555556</v>
      </c>
      <c r="L52" s="3">
        <f t="shared" si="0"/>
        <v>0</v>
      </c>
      <c r="M52" s="3">
        <f t="shared" si="1"/>
        <v>1</v>
      </c>
      <c r="N52" s="29">
        <f>_xlfn.MAXIFS($G$7:G51,$E$7:E51,detalhe_carro1[[#This Row],[Nó]],$B$7:B51,detalhe_carro1[[#This Row],[Numero Voltas]],$L$7:L51,1)</f>
        <v>508</v>
      </c>
      <c r="O52" s="3">
        <f>IF(OR(detalhe_carro1[[#This Row],[Ultima Chegada]]=0,detalhe_carro1[[#This Row],[Chegada]]=0),"",detalhe_carro1[[#This Row],[Hora Inicio]]-detalhe_carro1[[#This Row],[Ultima Chegada]])</f>
        <v>78</v>
      </c>
      <c r="P52" s="3">
        <f>IF(detalhe_carro1[[#This Row],[Tipo]]="Visitar Nó",((detalhe_carro1[[#This Row],[Hora Fim]]-detalhe_carro1[[#This Row],[Hora Inicio]])/60*velocidade_nos),0)</f>
        <v>0</v>
      </c>
      <c r="Q52" s="29">
        <f>detalhe_carro1[[#This Row],[Kms Nós]]+detalhe_carro1[[#This Row],[kms]]</f>
        <v>0</v>
      </c>
      <c r="S52" s="20">
        <v>2</v>
      </c>
      <c r="T52" s="20">
        <v>0</v>
      </c>
      <c r="U52" s="20">
        <v>7</v>
      </c>
      <c r="V52" s="20" t="s">
        <v>33</v>
      </c>
      <c r="W52">
        <v>30</v>
      </c>
      <c r="X52">
        <v>103</v>
      </c>
      <c r="Y52">
        <v>0</v>
      </c>
      <c r="Z52" s="7">
        <v>0.3125</v>
      </c>
      <c r="AA52" s="7">
        <v>0.36319444444444443</v>
      </c>
      <c r="AB52" s="7">
        <v>0.29166666666666669</v>
      </c>
      <c r="AC52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2"/>
      <c r="AL52"/>
      <c r="AM52"/>
      <c r="AN52"/>
    </row>
    <row r="53" spans="2:40" x14ac:dyDescent="0.25">
      <c r="B53" s="3">
        <v>1</v>
      </c>
      <c r="C53">
        <v>1</v>
      </c>
      <c r="D53">
        <v>6</v>
      </c>
      <c r="E53" s="29" t="s">
        <v>31</v>
      </c>
      <c r="F53" s="3">
        <v>599</v>
      </c>
      <c r="G53" s="3">
        <v>608</v>
      </c>
      <c r="H53" s="29" t="s">
        <v>50</v>
      </c>
      <c r="I53" s="3">
        <v>0</v>
      </c>
      <c r="J53" s="7">
        <v>0.70763888888888893</v>
      </c>
      <c r="K53" s="7">
        <v>0.71388888888888891</v>
      </c>
      <c r="L53" s="3">
        <f t="shared" si="0"/>
        <v>0</v>
      </c>
      <c r="M53" s="3">
        <f t="shared" si="1"/>
        <v>0</v>
      </c>
      <c r="N53" s="29">
        <f>_xlfn.MAXIFS($G$7:G52,$E$7:E52,detalhe_carro1[[#This Row],[Nó]],$B$7:B52,detalhe_carro1[[#This Row],[Numero Voltas]],$L$7:L52,1)</f>
        <v>508</v>
      </c>
      <c r="O53" s="3" t="str">
        <f>IF(OR(detalhe_carro1[[#This Row],[Ultima Chegada]]=0,detalhe_carro1[[#This Row],[Chegada]]=0),"",detalhe_carro1[[#This Row],[Hora Inicio]]-detalhe_carro1[[#This Row],[Ultima Chegada]])</f>
        <v/>
      </c>
      <c r="P53" s="3">
        <f>IF(detalhe_carro1[[#This Row],[Tipo]]="Visitar Nó",((detalhe_carro1[[#This Row],[Hora Fim]]-detalhe_carro1[[#This Row],[Hora Inicio]])/60*velocidade_nos),0)</f>
        <v>4.5</v>
      </c>
      <c r="Q53" s="29">
        <f>detalhe_carro1[[#This Row],[Kms Nós]]+detalhe_carro1[[#This Row],[kms]]</f>
        <v>4.5</v>
      </c>
      <c r="S53" s="20">
        <v>2</v>
      </c>
      <c r="T53" s="20">
        <v>0</v>
      </c>
      <c r="U53" s="20">
        <v>6</v>
      </c>
      <c r="V53" s="20" t="s">
        <v>31</v>
      </c>
      <c r="W53">
        <v>116</v>
      </c>
      <c r="X53">
        <v>223</v>
      </c>
      <c r="Y53">
        <v>0</v>
      </c>
      <c r="Z53" s="7">
        <v>0.37222222222222223</v>
      </c>
      <c r="AA53" s="7">
        <v>0.4465277777777778</v>
      </c>
      <c r="AB53" s="7">
        <v>0.29166666666666669</v>
      </c>
      <c r="AC53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3"/>
      <c r="AL53"/>
      <c r="AM53"/>
      <c r="AN53"/>
    </row>
    <row r="54" spans="2:40" x14ac:dyDescent="0.25">
      <c r="B54" s="3">
        <v>1</v>
      </c>
      <c r="C54">
        <v>1</v>
      </c>
      <c r="D54">
        <v>6</v>
      </c>
      <c r="E54" s="29" t="s">
        <v>31</v>
      </c>
      <c r="F54" s="3">
        <v>611</v>
      </c>
      <c r="G54" s="3">
        <v>611</v>
      </c>
      <c r="H54" s="29" t="s">
        <v>51</v>
      </c>
      <c r="I54" s="3">
        <v>3</v>
      </c>
      <c r="J54" s="7">
        <v>0.71597222222222223</v>
      </c>
      <c r="K54" s="7">
        <v>0.71597222222222223</v>
      </c>
      <c r="L54" s="3">
        <f t="shared" si="0"/>
        <v>1</v>
      </c>
      <c r="M54" s="3">
        <f t="shared" si="1"/>
        <v>0</v>
      </c>
      <c r="N54" s="29">
        <f>_xlfn.MAXIFS($G$7:G53,$E$7:E53,detalhe_carro1[[#This Row],[Nó]],$B$7:B53,detalhe_carro1[[#This Row],[Numero Voltas]],$L$7:L53,1)</f>
        <v>508</v>
      </c>
      <c r="O54" s="3" t="str">
        <f>IF(OR(detalhe_carro1[[#This Row],[Ultima Chegada]]=0,detalhe_carro1[[#This Row],[Chegada]]=0),"",detalhe_carro1[[#This Row],[Hora Inicio]]-detalhe_carro1[[#This Row],[Ultima Chegada]])</f>
        <v/>
      </c>
      <c r="P54" s="3">
        <f>IF(detalhe_carro1[[#This Row],[Tipo]]="Visitar Nó",((detalhe_carro1[[#This Row],[Hora Fim]]-detalhe_carro1[[#This Row],[Hora Inicio]])/60*velocidade_nos),0)</f>
        <v>0</v>
      </c>
      <c r="Q54" s="29">
        <f>detalhe_carro1[[#This Row],[Kms Nós]]+detalhe_carro1[[#This Row],[kms]]</f>
        <v>3</v>
      </c>
      <c r="S54" s="20">
        <v>2</v>
      </c>
      <c r="T54" s="20">
        <v>0</v>
      </c>
      <c r="U54" s="20">
        <v>5</v>
      </c>
      <c r="V54" s="20" t="s">
        <v>29</v>
      </c>
      <c r="W54">
        <v>226</v>
      </c>
      <c r="X54">
        <v>257</v>
      </c>
      <c r="Y54">
        <v>0</v>
      </c>
      <c r="Z54" s="7">
        <v>0.44861111111111113</v>
      </c>
      <c r="AA54" s="7">
        <v>0.47013888888888888</v>
      </c>
      <c r="AB54" s="7">
        <v>0.29166666666666669</v>
      </c>
      <c r="AC54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4"/>
      <c r="AL54"/>
      <c r="AM54"/>
      <c r="AN54"/>
    </row>
    <row r="55" spans="2:40" x14ac:dyDescent="0.25">
      <c r="B55" s="3">
        <v>1</v>
      </c>
      <c r="C55">
        <v>1</v>
      </c>
      <c r="D55">
        <v>5</v>
      </c>
      <c r="E55" s="29" t="s">
        <v>29</v>
      </c>
      <c r="F55" s="3">
        <v>614</v>
      </c>
      <c r="G55" s="3">
        <v>642</v>
      </c>
      <c r="H55" s="29" t="s">
        <v>50</v>
      </c>
      <c r="I55" s="3">
        <v>0</v>
      </c>
      <c r="J55" s="7">
        <v>0.71805555555555556</v>
      </c>
      <c r="K55" s="7">
        <v>0.73750000000000004</v>
      </c>
      <c r="L55" s="3">
        <f t="shared" si="0"/>
        <v>0</v>
      </c>
      <c r="M55" s="3">
        <f t="shared" si="1"/>
        <v>1</v>
      </c>
      <c r="N55" s="29">
        <f>_xlfn.MAXIFS($G$7:G54,$E$7:E54,detalhe_carro1[[#This Row],[Nó]],$B$7:B54,detalhe_carro1[[#This Row],[Numero Voltas]],$L$7:L54,1)</f>
        <v>493</v>
      </c>
      <c r="O55" s="3">
        <f>IF(OR(detalhe_carro1[[#This Row],[Ultima Chegada]]=0,detalhe_carro1[[#This Row],[Chegada]]=0),"",detalhe_carro1[[#This Row],[Hora Inicio]]-detalhe_carro1[[#This Row],[Ultima Chegada]])</f>
        <v>121</v>
      </c>
      <c r="P55" s="3">
        <f>IF(detalhe_carro1[[#This Row],[Tipo]]="Visitar Nó",((detalhe_carro1[[#This Row],[Hora Fim]]-detalhe_carro1[[#This Row],[Hora Inicio]])/60*velocidade_nos),0)</f>
        <v>14</v>
      </c>
      <c r="Q55" s="29">
        <f>detalhe_carro1[[#This Row],[Kms Nós]]+detalhe_carro1[[#This Row],[kms]]</f>
        <v>14</v>
      </c>
      <c r="S55" s="20">
        <v>2</v>
      </c>
      <c r="T55" s="20">
        <v>0</v>
      </c>
      <c r="U55" s="20">
        <v>4</v>
      </c>
      <c r="V55" s="20" t="s">
        <v>27</v>
      </c>
      <c r="W55">
        <v>260</v>
      </c>
      <c r="X55">
        <v>276</v>
      </c>
      <c r="Y55">
        <v>0</v>
      </c>
      <c r="Z55" s="7">
        <v>0.47222222222222221</v>
      </c>
      <c r="AA55" s="7">
        <v>0.48333333333333334</v>
      </c>
      <c r="AB55" s="7">
        <v>0.29166666666666669</v>
      </c>
      <c r="AC55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5"/>
      <c r="AL55"/>
      <c r="AM55"/>
      <c r="AN55"/>
    </row>
    <row r="56" spans="2:40" x14ac:dyDescent="0.25">
      <c r="B56" s="3">
        <v>1</v>
      </c>
      <c r="C56">
        <v>1</v>
      </c>
      <c r="D56">
        <v>5</v>
      </c>
      <c r="E56" s="29" t="s">
        <v>29</v>
      </c>
      <c r="F56" s="3">
        <v>645</v>
      </c>
      <c r="G56" s="3">
        <v>645</v>
      </c>
      <c r="H56" s="29" t="s">
        <v>51</v>
      </c>
      <c r="I56" s="3">
        <v>3</v>
      </c>
      <c r="J56" s="7">
        <v>0.73958333333333337</v>
      </c>
      <c r="K56" s="7">
        <v>0.73958333333333337</v>
      </c>
      <c r="L56" s="3">
        <f t="shared" si="0"/>
        <v>1</v>
      </c>
      <c r="M56" s="3">
        <f t="shared" si="1"/>
        <v>0</v>
      </c>
      <c r="N56" s="29">
        <f>_xlfn.MAXIFS($G$7:G55,$E$7:E55,detalhe_carro1[[#This Row],[Nó]],$B$7:B55,detalhe_carro1[[#This Row],[Numero Voltas]],$L$7:L55,1)</f>
        <v>493</v>
      </c>
      <c r="O56" s="3" t="str">
        <f>IF(OR(detalhe_carro1[[#This Row],[Ultima Chegada]]=0,detalhe_carro1[[#This Row],[Chegada]]=0),"",detalhe_carro1[[#This Row],[Hora Inicio]]-detalhe_carro1[[#This Row],[Ultima Chegada]])</f>
        <v/>
      </c>
      <c r="P56" s="3">
        <f>IF(detalhe_carro1[[#This Row],[Tipo]]="Visitar Nó",((detalhe_carro1[[#This Row],[Hora Fim]]-detalhe_carro1[[#This Row],[Hora Inicio]])/60*velocidade_nos),0)</f>
        <v>0</v>
      </c>
      <c r="Q56" s="29">
        <f>detalhe_carro1[[#This Row],[Kms Nós]]+detalhe_carro1[[#This Row],[kms]]</f>
        <v>3</v>
      </c>
      <c r="S56" s="20">
        <v>2</v>
      </c>
      <c r="T56" s="20">
        <v>0</v>
      </c>
      <c r="U56" s="20">
        <v>3</v>
      </c>
      <c r="V56" s="20" t="s">
        <v>26</v>
      </c>
      <c r="W56">
        <v>277</v>
      </c>
      <c r="X56">
        <v>288</v>
      </c>
      <c r="Y56">
        <v>0</v>
      </c>
      <c r="Z56" s="7">
        <v>0.48402777777777778</v>
      </c>
      <c r="AA56" s="7">
        <v>0.49166666666666664</v>
      </c>
      <c r="AB56" s="7">
        <v>0.29166666666666669</v>
      </c>
      <c r="AC56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6"/>
      <c r="AL56"/>
      <c r="AM56"/>
      <c r="AN56"/>
    </row>
    <row r="57" spans="2:40" x14ac:dyDescent="0.25">
      <c r="B57" s="3">
        <v>1</v>
      </c>
      <c r="C57">
        <v>1</v>
      </c>
      <c r="D57">
        <v>4</v>
      </c>
      <c r="E57" s="29" t="s">
        <v>27</v>
      </c>
      <c r="F57" s="3">
        <v>648</v>
      </c>
      <c r="G57" s="3">
        <v>661</v>
      </c>
      <c r="H57" s="29" t="s">
        <v>50</v>
      </c>
      <c r="I57" s="3">
        <v>0</v>
      </c>
      <c r="J57" s="7">
        <v>0.7416666666666667</v>
      </c>
      <c r="K57" s="7">
        <v>0.75069444444444444</v>
      </c>
      <c r="L57" s="3">
        <f t="shared" si="0"/>
        <v>0</v>
      </c>
      <c r="M57" s="3">
        <f t="shared" si="1"/>
        <v>1</v>
      </c>
      <c r="N57" s="29">
        <f>_xlfn.MAXIFS($G$7:G56,$E$7:E56,detalhe_carro1[[#This Row],[Nó]],$B$7:B56,detalhe_carro1[[#This Row],[Numero Voltas]],$L$7:L56,1)</f>
        <v>446</v>
      </c>
      <c r="O57" s="3">
        <f>IF(OR(detalhe_carro1[[#This Row],[Ultima Chegada]]=0,detalhe_carro1[[#This Row],[Chegada]]=0),"",detalhe_carro1[[#This Row],[Hora Inicio]]-detalhe_carro1[[#This Row],[Ultima Chegada]])</f>
        <v>202</v>
      </c>
      <c r="P57" s="3">
        <f>IF(detalhe_carro1[[#This Row],[Tipo]]="Visitar Nó",((detalhe_carro1[[#This Row],[Hora Fim]]-detalhe_carro1[[#This Row],[Hora Inicio]])/60*velocidade_nos),0)</f>
        <v>6.5</v>
      </c>
      <c r="Q57" s="29">
        <f>detalhe_carro1[[#This Row],[Kms Nós]]+detalhe_carro1[[#This Row],[kms]]</f>
        <v>6.5</v>
      </c>
      <c r="S57" s="20">
        <v>2</v>
      </c>
      <c r="T57" s="20">
        <v>0</v>
      </c>
      <c r="U57" s="20">
        <v>2</v>
      </c>
      <c r="V57" s="20" t="s">
        <v>24</v>
      </c>
      <c r="W57">
        <v>289</v>
      </c>
      <c r="X57">
        <v>304</v>
      </c>
      <c r="Y57">
        <v>0</v>
      </c>
      <c r="Z57" s="7">
        <v>0.49236111111111114</v>
      </c>
      <c r="AA57" s="7">
        <v>0.50277777777777777</v>
      </c>
      <c r="AB57" s="7">
        <v>0.29166666666666669</v>
      </c>
      <c r="AC57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7"/>
      <c r="AL57"/>
      <c r="AM57"/>
      <c r="AN57"/>
    </row>
    <row r="58" spans="2:40" x14ac:dyDescent="0.25">
      <c r="B58" s="3">
        <v>1</v>
      </c>
      <c r="C58">
        <v>1</v>
      </c>
      <c r="D58">
        <v>4</v>
      </c>
      <c r="E58" s="29" t="s">
        <v>27</v>
      </c>
      <c r="F58" s="3">
        <v>664</v>
      </c>
      <c r="G58" s="3">
        <v>664</v>
      </c>
      <c r="H58" s="29" t="s">
        <v>51</v>
      </c>
      <c r="I58" s="3">
        <v>3</v>
      </c>
      <c r="J58" s="7">
        <v>0.75277777777777777</v>
      </c>
      <c r="K58" s="7">
        <v>0.75277777777777777</v>
      </c>
      <c r="L58" s="3">
        <f t="shared" si="0"/>
        <v>1</v>
      </c>
      <c r="M58" s="3">
        <f t="shared" si="1"/>
        <v>0</v>
      </c>
      <c r="N58" s="29">
        <f>_xlfn.MAXIFS($G$7:G57,$E$7:E57,detalhe_carro1[[#This Row],[Nó]],$B$7:B57,detalhe_carro1[[#This Row],[Numero Voltas]],$L$7:L57,1)</f>
        <v>446</v>
      </c>
      <c r="O58" s="3" t="str">
        <f>IF(OR(detalhe_carro1[[#This Row],[Ultima Chegada]]=0,detalhe_carro1[[#This Row],[Chegada]]=0),"",detalhe_carro1[[#This Row],[Hora Inicio]]-detalhe_carro1[[#This Row],[Ultima Chegada]])</f>
        <v/>
      </c>
      <c r="P58" s="3">
        <f>IF(detalhe_carro1[[#This Row],[Tipo]]="Visitar Nó",((detalhe_carro1[[#This Row],[Hora Fim]]-detalhe_carro1[[#This Row],[Hora Inicio]])/60*velocidade_nos),0)</f>
        <v>0</v>
      </c>
      <c r="Q58" s="29">
        <f>detalhe_carro1[[#This Row],[Kms Nós]]+detalhe_carro1[[#This Row],[kms]]</f>
        <v>3</v>
      </c>
      <c r="S58" s="20">
        <v>2</v>
      </c>
      <c r="T58" s="38">
        <v>0</v>
      </c>
      <c r="U58" s="38">
        <v>1</v>
      </c>
      <c r="V58" s="38" t="s">
        <v>22</v>
      </c>
      <c r="W58" s="30">
        <v>316</v>
      </c>
      <c r="X58" s="30">
        <v>414</v>
      </c>
      <c r="Y58" s="30">
        <v>0</v>
      </c>
      <c r="Z58" s="39">
        <v>0.51111111111111107</v>
      </c>
      <c r="AA58" s="39">
        <v>0.57916666666666672</v>
      </c>
      <c r="AB58" s="39">
        <v>0.29166666666666669</v>
      </c>
      <c r="AC58" s="40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D58" s="30"/>
      <c r="AK58"/>
      <c r="AL58"/>
      <c r="AM58"/>
      <c r="AN58"/>
    </row>
    <row r="59" spans="2:40" x14ac:dyDescent="0.25">
      <c r="B59" s="3">
        <v>1</v>
      </c>
      <c r="C59">
        <v>1</v>
      </c>
      <c r="D59">
        <v>3</v>
      </c>
      <c r="E59" s="29" t="s">
        <v>26</v>
      </c>
      <c r="F59" s="3">
        <v>665</v>
      </c>
      <c r="G59" s="3">
        <v>675</v>
      </c>
      <c r="H59" s="29" t="s">
        <v>50</v>
      </c>
      <c r="I59" s="3">
        <v>0</v>
      </c>
      <c r="J59" s="7">
        <v>0.75347222222222221</v>
      </c>
      <c r="K59" s="7">
        <v>0.76041666666666663</v>
      </c>
      <c r="L59" s="3">
        <f t="shared" si="0"/>
        <v>0</v>
      </c>
      <c r="M59" s="3">
        <f t="shared" si="1"/>
        <v>1</v>
      </c>
      <c r="N59" s="29">
        <f>_xlfn.MAXIFS($G$7:G58,$E$7:E58,detalhe_carro1[[#This Row],[Nó]],$B$7:B58,detalhe_carro1[[#This Row],[Numero Voltas]],$L$7:L58,1)</f>
        <v>431</v>
      </c>
      <c r="O59" s="3">
        <f>IF(OR(detalhe_carro1[[#This Row],[Ultima Chegada]]=0,detalhe_carro1[[#This Row],[Chegada]]=0),"",detalhe_carro1[[#This Row],[Hora Inicio]]-detalhe_carro1[[#This Row],[Ultima Chegada]])</f>
        <v>234</v>
      </c>
      <c r="P59" s="3">
        <f>IF(detalhe_carro1[[#This Row],[Tipo]]="Visitar Nó",((detalhe_carro1[[#This Row],[Hora Fim]]-detalhe_carro1[[#This Row],[Hora Inicio]])/60*velocidade_nos),0)</f>
        <v>5</v>
      </c>
      <c r="Q59" s="29">
        <f>detalhe_carro1[[#This Row],[Kms Nós]]+detalhe_carro1[[#This Row],[kms]]</f>
        <v>5</v>
      </c>
      <c r="S59" s="20">
        <v>2</v>
      </c>
      <c r="T59" s="38">
        <v>0</v>
      </c>
      <c r="U59" s="38">
        <v>0</v>
      </c>
      <c r="V59" s="38" t="s">
        <v>20</v>
      </c>
      <c r="W59" s="30">
        <v>415</v>
      </c>
      <c r="X59" s="30">
        <v>430</v>
      </c>
      <c r="Y59" s="30">
        <v>0</v>
      </c>
      <c r="Z59" s="39">
        <v>0.57986111111111116</v>
      </c>
      <c r="AA59" s="39">
        <v>0.59027777777777779</v>
      </c>
      <c r="AB59" s="39">
        <v>0.29166666666666669</v>
      </c>
      <c r="AC59" s="40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D59" s="30"/>
      <c r="AJ59" s="18"/>
      <c r="AM59"/>
      <c r="AN59"/>
    </row>
    <row r="60" spans="2:40" x14ac:dyDescent="0.25">
      <c r="B60" s="3">
        <v>1</v>
      </c>
      <c r="C60">
        <v>1</v>
      </c>
      <c r="D60">
        <v>3</v>
      </c>
      <c r="E60" s="29" t="s">
        <v>26</v>
      </c>
      <c r="F60" s="3">
        <v>676</v>
      </c>
      <c r="G60" s="3">
        <v>676</v>
      </c>
      <c r="H60" s="29" t="s">
        <v>51</v>
      </c>
      <c r="I60" s="3">
        <v>1</v>
      </c>
      <c r="J60" s="7">
        <v>0.76111111111111107</v>
      </c>
      <c r="K60" s="7">
        <v>0.76111111111111107</v>
      </c>
      <c r="L60" s="3">
        <f t="shared" si="0"/>
        <v>1</v>
      </c>
      <c r="M60" s="3">
        <f t="shared" si="1"/>
        <v>0</v>
      </c>
      <c r="N60" s="29">
        <f>_xlfn.MAXIFS($G$7:G59,$E$7:E59,detalhe_carro1[[#This Row],[Nó]],$B$7:B59,detalhe_carro1[[#This Row],[Numero Voltas]],$L$7:L59,1)</f>
        <v>431</v>
      </c>
      <c r="O60" s="3" t="str">
        <f>IF(OR(detalhe_carro1[[#This Row],[Ultima Chegada]]=0,detalhe_carro1[[#This Row],[Chegada]]=0),"",detalhe_carro1[[#This Row],[Hora Inicio]]-detalhe_carro1[[#This Row],[Ultima Chegada]])</f>
        <v/>
      </c>
      <c r="P60" s="3">
        <f>IF(detalhe_carro1[[#This Row],[Tipo]]="Visitar Nó",((detalhe_carro1[[#This Row],[Hora Fim]]-detalhe_carro1[[#This Row],[Hora Inicio]])/60*velocidade_nos),0)</f>
        <v>0</v>
      </c>
      <c r="Q60" s="29">
        <f>detalhe_carro1[[#This Row],[Kms Nós]]+detalhe_carro1[[#This Row],[kms]]</f>
        <v>1</v>
      </c>
      <c r="S60" s="20">
        <v>2</v>
      </c>
      <c r="T60" s="38">
        <v>0</v>
      </c>
      <c r="U60" s="38">
        <v>1</v>
      </c>
      <c r="V60" s="38" t="s">
        <v>22</v>
      </c>
      <c r="W60" s="30">
        <v>431</v>
      </c>
      <c r="X60" s="30">
        <v>437</v>
      </c>
      <c r="Y60" s="30">
        <v>414</v>
      </c>
      <c r="Z60" s="39">
        <v>0.59097222222222223</v>
      </c>
      <c r="AA60" s="39">
        <v>0.59513888888888888</v>
      </c>
      <c r="AB60" s="39">
        <v>0.57916666666666672</v>
      </c>
      <c r="AC60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D60" s="30"/>
      <c r="AJ60" s="18"/>
      <c r="AM60"/>
      <c r="AN60"/>
    </row>
    <row r="61" spans="2:40" x14ac:dyDescent="0.25">
      <c r="B61" s="3">
        <v>1</v>
      </c>
      <c r="C61">
        <v>1</v>
      </c>
      <c r="D61">
        <v>2</v>
      </c>
      <c r="E61" s="29" t="s">
        <v>24</v>
      </c>
      <c r="F61" s="3">
        <v>677</v>
      </c>
      <c r="G61" s="3">
        <v>691</v>
      </c>
      <c r="H61" s="29" t="s">
        <v>50</v>
      </c>
      <c r="I61" s="3">
        <v>0</v>
      </c>
      <c r="J61" s="7">
        <v>0.76180555555555551</v>
      </c>
      <c r="K61" s="7">
        <v>0.77152777777777781</v>
      </c>
      <c r="L61" s="3">
        <f t="shared" si="0"/>
        <v>0</v>
      </c>
      <c r="M61" s="3">
        <f t="shared" si="1"/>
        <v>1</v>
      </c>
      <c r="N61" s="29">
        <f>_xlfn.MAXIFS($G$7:G60,$E$7:E60,detalhe_carro1[[#This Row],[Nó]],$B$7:B60,detalhe_carro1[[#This Row],[Numero Voltas]],$L$7:L60,1)</f>
        <v>419</v>
      </c>
      <c r="O61" s="3">
        <f>IF(OR(detalhe_carro1[[#This Row],[Ultima Chegada]]=0,detalhe_carro1[[#This Row],[Chegada]]=0),"",detalhe_carro1[[#This Row],[Hora Inicio]]-detalhe_carro1[[#This Row],[Ultima Chegada]])</f>
        <v>258</v>
      </c>
      <c r="P61" s="3">
        <f>IF(detalhe_carro1[[#This Row],[Tipo]]="Visitar Nó",((detalhe_carro1[[#This Row],[Hora Fim]]-detalhe_carro1[[#This Row],[Hora Inicio]])/60*velocidade_nos),0)</f>
        <v>7</v>
      </c>
      <c r="Q61" s="29">
        <f>detalhe_carro1[[#This Row],[Kms Nós]]+detalhe_carro1[[#This Row],[kms]]</f>
        <v>7</v>
      </c>
      <c r="S61" s="20">
        <v>2</v>
      </c>
      <c r="T61" s="38">
        <v>0</v>
      </c>
      <c r="U61" s="38">
        <v>2</v>
      </c>
      <c r="V61" s="38" t="s">
        <v>24</v>
      </c>
      <c r="W61" s="30">
        <v>444</v>
      </c>
      <c r="X61" s="30">
        <v>465</v>
      </c>
      <c r="Y61" s="30">
        <v>304</v>
      </c>
      <c r="Z61" s="39">
        <v>0.6</v>
      </c>
      <c r="AA61" s="39">
        <v>0.61458333333333337</v>
      </c>
      <c r="AB61" s="39">
        <v>0.50277777777777777</v>
      </c>
      <c r="AC61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2.3333333333333335</v>
      </c>
      <c r="AD61" s="30"/>
      <c r="AJ61" s="18"/>
      <c r="AM61"/>
      <c r="AN61"/>
    </row>
    <row r="62" spans="2:40" x14ac:dyDescent="0.25">
      <c r="B62" s="3">
        <v>1</v>
      </c>
      <c r="C62">
        <v>1</v>
      </c>
      <c r="D62">
        <v>2</v>
      </c>
      <c r="E62" s="29" t="s">
        <v>24</v>
      </c>
      <c r="F62" s="3">
        <v>692</v>
      </c>
      <c r="G62" s="3">
        <v>692</v>
      </c>
      <c r="H62" s="29" t="s">
        <v>51</v>
      </c>
      <c r="I62" s="3">
        <v>1</v>
      </c>
      <c r="J62" s="7">
        <v>0.77222222222222225</v>
      </c>
      <c r="K62" s="7">
        <v>0.77222222222222225</v>
      </c>
      <c r="L62" s="3">
        <f t="shared" si="0"/>
        <v>1</v>
      </c>
      <c r="M62" s="3">
        <f t="shared" si="1"/>
        <v>0</v>
      </c>
      <c r="N62" s="29">
        <f>_xlfn.MAXIFS($G$7:G61,$E$7:E61,detalhe_carro1[[#This Row],[Nó]],$B$7:B61,detalhe_carro1[[#This Row],[Numero Voltas]],$L$7:L61,1)</f>
        <v>419</v>
      </c>
      <c r="O62" s="3" t="str">
        <f>IF(OR(detalhe_carro1[[#This Row],[Ultima Chegada]]=0,detalhe_carro1[[#This Row],[Chegada]]=0),"",detalhe_carro1[[#This Row],[Hora Inicio]]-detalhe_carro1[[#This Row],[Ultima Chegada]])</f>
        <v/>
      </c>
      <c r="P62" s="3">
        <f>IF(detalhe_carro1[[#This Row],[Tipo]]="Visitar Nó",((detalhe_carro1[[#This Row],[Hora Fim]]-detalhe_carro1[[#This Row],[Hora Inicio]])/60*velocidade_nos),0)</f>
        <v>0</v>
      </c>
      <c r="Q62" s="29">
        <f>detalhe_carro1[[#This Row],[Kms Nós]]+detalhe_carro1[[#This Row],[kms]]</f>
        <v>1</v>
      </c>
      <c r="S62" s="20">
        <v>2</v>
      </c>
      <c r="T62" s="38">
        <v>0</v>
      </c>
      <c r="U62" s="38">
        <v>3</v>
      </c>
      <c r="V62" s="38" t="s">
        <v>26</v>
      </c>
      <c r="W62" s="30">
        <v>466</v>
      </c>
      <c r="X62" s="30">
        <v>477</v>
      </c>
      <c r="Y62" s="30">
        <v>288</v>
      </c>
      <c r="Z62" s="39">
        <v>0.61527777777777781</v>
      </c>
      <c r="AA62" s="39">
        <v>0.62291666666666667</v>
      </c>
      <c r="AB62" s="39">
        <v>0.49166666666666664</v>
      </c>
      <c r="AC62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2.9666666666666668</v>
      </c>
      <c r="AD62" s="30"/>
      <c r="AJ62" s="18"/>
      <c r="AM62"/>
      <c r="AN62"/>
    </row>
    <row r="63" spans="2:40" x14ac:dyDescent="0.25">
      <c r="B63" s="3">
        <v>1</v>
      </c>
      <c r="C63">
        <v>1</v>
      </c>
      <c r="D63">
        <v>1</v>
      </c>
      <c r="E63" s="29" t="s">
        <v>22</v>
      </c>
      <c r="F63" s="3">
        <v>699</v>
      </c>
      <c r="G63" s="3">
        <v>704</v>
      </c>
      <c r="H63" s="29" t="s">
        <v>50</v>
      </c>
      <c r="I63" s="3">
        <v>0</v>
      </c>
      <c r="J63" s="7">
        <v>0.77708333333333335</v>
      </c>
      <c r="K63" s="7">
        <v>0.78055555555555556</v>
      </c>
      <c r="L63" s="3">
        <f t="shared" si="0"/>
        <v>0</v>
      </c>
      <c r="M63" s="3">
        <f t="shared" si="1"/>
        <v>1</v>
      </c>
      <c r="N63" s="29">
        <f>_xlfn.MAXIFS($G$7:G62,$E$7:E62,detalhe_carro1[[#This Row],[Nó]],$B$7:B62,detalhe_carro1[[#This Row],[Numero Voltas]],$L$7:L62,1)</f>
        <v>391</v>
      </c>
      <c r="O63" s="3">
        <f>IF(OR(detalhe_carro1[[#This Row],[Ultima Chegada]]=0,detalhe_carro1[[#This Row],[Chegada]]=0),"",detalhe_carro1[[#This Row],[Hora Inicio]]-detalhe_carro1[[#This Row],[Ultima Chegada]])</f>
        <v>308</v>
      </c>
      <c r="P63" s="3">
        <f>IF(detalhe_carro1[[#This Row],[Tipo]]="Visitar Nó",((detalhe_carro1[[#This Row],[Hora Fim]]-detalhe_carro1[[#This Row],[Hora Inicio]])/60*velocidade_nos),0)</f>
        <v>2.5</v>
      </c>
      <c r="Q63" s="29">
        <f>detalhe_carro1[[#This Row],[Kms Nós]]+detalhe_carro1[[#This Row],[kms]]</f>
        <v>2.5</v>
      </c>
      <c r="S63" s="20">
        <v>2</v>
      </c>
      <c r="T63" s="38">
        <v>0</v>
      </c>
      <c r="U63" s="38">
        <v>4</v>
      </c>
      <c r="V63" s="38" t="s">
        <v>27</v>
      </c>
      <c r="W63" s="30">
        <v>478</v>
      </c>
      <c r="X63" s="30">
        <v>492</v>
      </c>
      <c r="Y63" s="30">
        <v>276</v>
      </c>
      <c r="Z63" s="39">
        <v>0.62361111111111112</v>
      </c>
      <c r="AA63" s="39">
        <v>0.6333333333333333</v>
      </c>
      <c r="AB63" s="39">
        <v>0.48333333333333334</v>
      </c>
      <c r="AC63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3.3666666666666667</v>
      </c>
      <c r="AD63" s="30"/>
      <c r="AJ63" s="18"/>
      <c r="AM63"/>
      <c r="AN63"/>
    </row>
    <row r="64" spans="2:40" x14ac:dyDescent="0.25">
      <c r="B64" s="3">
        <v>1</v>
      </c>
      <c r="C64">
        <v>1</v>
      </c>
      <c r="D64">
        <v>1</v>
      </c>
      <c r="E64" s="29" t="s">
        <v>22</v>
      </c>
      <c r="F64" s="3">
        <v>711</v>
      </c>
      <c r="G64" s="3">
        <v>711</v>
      </c>
      <c r="H64" s="29" t="s">
        <v>51</v>
      </c>
      <c r="I64" s="3">
        <v>7</v>
      </c>
      <c r="J64" s="7">
        <v>0.78541666666666665</v>
      </c>
      <c r="K64" s="7">
        <v>0.78541666666666665</v>
      </c>
      <c r="L64" s="3">
        <f t="shared" si="0"/>
        <v>1</v>
      </c>
      <c r="M64" s="3">
        <f t="shared" si="1"/>
        <v>0</v>
      </c>
      <c r="N64" s="29">
        <f>_xlfn.MAXIFS($G$7:G63,$E$7:E63,detalhe_carro1[[#This Row],[Nó]],$B$7:B63,detalhe_carro1[[#This Row],[Numero Voltas]],$L$7:L63,1)</f>
        <v>391</v>
      </c>
      <c r="O64" s="3" t="str">
        <f>IF(OR(detalhe_carro1[[#This Row],[Ultima Chegada]]=0,detalhe_carro1[[#This Row],[Chegada]]=0),"",detalhe_carro1[[#This Row],[Hora Inicio]]-detalhe_carro1[[#This Row],[Ultima Chegada]])</f>
        <v/>
      </c>
      <c r="P64" s="3">
        <f>IF(detalhe_carro1[[#This Row],[Tipo]]="Visitar Nó",((detalhe_carro1[[#This Row],[Hora Fim]]-detalhe_carro1[[#This Row],[Hora Inicio]])/60*velocidade_nos),0)</f>
        <v>0</v>
      </c>
      <c r="Q64" s="29">
        <f>detalhe_carro1[[#This Row],[Kms Nós]]+detalhe_carro1[[#This Row],[kms]]</f>
        <v>7</v>
      </c>
      <c r="S64" s="20">
        <v>2</v>
      </c>
      <c r="T64" s="38">
        <v>0</v>
      </c>
      <c r="U64" s="38">
        <v>5</v>
      </c>
      <c r="V64" s="38" t="s">
        <v>29</v>
      </c>
      <c r="W64" s="30">
        <v>495</v>
      </c>
      <c r="X64" s="30">
        <v>539</v>
      </c>
      <c r="Y64" s="30">
        <v>257</v>
      </c>
      <c r="Z64" s="39">
        <v>0.63541666666666663</v>
      </c>
      <c r="AA64" s="39">
        <v>0.66597222222222219</v>
      </c>
      <c r="AB64" s="39">
        <v>0.47013888888888888</v>
      </c>
      <c r="AC64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3.9666666666666668</v>
      </c>
      <c r="AD64" s="30"/>
      <c r="AJ64" s="18"/>
      <c r="AM64"/>
      <c r="AN64"/>
    </row>
    <row r="65" spans="2:40" x14ac:dyDescent="0.25">
      <c r="B65" s="3">
        <v>1</v>
      </c>
      <c r="C65">
        <v>1</v>
      </c>
      <c r="D65">
        <v>0</v>
      </c>
      <c r="E65" s="29" t="s">
        <v>20</v>
      </c>
      <c r="F65" s="3">
        <v>712</v>
      </c>
      <c r="G65" s="3">
        <v>712</v>
      </c>
      <c r="H65" s="29" t="s">
        <v>51</v>
      </c>
      <c r="I65" s="3">
        <v>1</v>
      </c>
      <c r="J65" s="7">
        <v>0.78611111111111109</v>
      </c>
      <c r="K65" s="7">
        <v>0.78611111111111109</v>
      </c>
      <c r="L65" s="3">
        <f t="shared" si="0"/>
        <v>0</v>
      </c>
      <c r="M65" s="3">
        <f t="shared" si="1"/>
        <v>1</v>
      </c>
      <c r="N65" s="29">
        <f>_xlfn.MAXIFS($G$7:G64,$E$7:E64,detalhe_carro1[[#This Row],[Nó]],$B$7:B64,detalhe_carro1[[#This Row],[Numero Voltas]],$L$7:L64,1)</f>
        <v>312</v>
      </c>
      <c r="O65" s="3">
        <f>IF(OR(detalhe_carro1[[#This Row],[Ultima Chegada]]=0,detalhe_carro1[[#This Row],[Chegada]]=0),"",detalhe_carro1[[#This Row],[Hora Inicio]]-detalhe_carro1[[#This Row],[Ultima Chegada]])</f>
        <v>400</v>
      </c>
      <c r="P65" s="3">
        <f>IF(detalhe_carro1[[#This Row],[Tipo]]="Visitar Nó",((detalhe_carro1[[#This Row],[Hora Fim]]-detalhe_carro1[[#This Row],[Hora Inicio]])/60*velocidade_nos),0)</f>
        <v>0</v>
      </c>
      <c r="Q65" s="29">
        <f>detalhe_carro1[[#This Row],[Kms Nós]]+detalhe_carro1[[#This Row],[kms]]</f>
        <v>1</v>
      </c>
      <c r="S65" s="20">
        <v>2</v>
      </c>
      <c r="T65" s="38">
        <v>0</v>
      </c>
      <c r="U65" s="38">
        <v>6</v>
      </c>
      <c r="V65" s="38" t="s">
        <v>31</v>
      </c>
      <c r="W65" s="30">
        <v>542</v>
      </c>
      <c r="X65" s="30">
        <v>554</v>
      </c>
      <c r="Y65" s="30">
        <v>223</v>
      </c>
      <c r="Z65" s="39">
        <v>0.66805555555555551</v>
      </c>
      <c r="AA65" s="39">
        <v>0.67638888888888893</v>
      </c>
      <c r="AB65" s="39">
        <v>0.4465277777777778</v>
      </c>
      <c r="AC65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5.3166666666666664</v>
      </c>
      <c r="AD65" s="30"/>
      <c r="AJ65" s="18"/>
      <c r="AM65"/>
      <c r="AN65"/>
    </row>
    <row r="66" spans="2:40" x14ac:dyDescent="0.25">
      <c r="B66" s="3">
        <v>1</v>
      </c>
      <c r="C66">
        <v>1</v>
      </c>
      <c r="D66">
        <v>0</v>
      </c>
      <c r="E66" s="29" t="s">
        <v>20</v>
      </c>
      <c r="F66" s="3">
        <v>712</v>
      </c>
      <c r="G66" s="3">
        <v>727</v>
      </c>
      <c r="H66" s="29" t="s">
        <v>50</v>
      </c>
      <c r="I66" s="3">
        <v>0</v>
      </c>
      <c r="J66" s="7">
        <v>0.78611111111111109</v>
      </c>
      <c r="K66" s="7">
        <v>0.79652777777777772</v>
      </c>
      <c r="L66" s="3">
        <f t="shared" si="0"/>
        <v>0</v>
      </c>
      <c r="M66" s="3">
        <f t="shared" si="1"/>
        <v>0</v>
      </c>
      <c r="N66" s="29">
        <f>_xlfn.MAXIFS($G$7:G65,$E$7:E65,detalhe_carro1[[#This Row],[Nó]],$B$7:B65,detalhe_carro1[[#This Row],[Numero Voltas]],$L$7:L65,1)</f>
        <v>312</v>
      </c>
      <c r="O66" s="3" t="str">
        <f>IF(OR(detalhe_carro1[[#This Row],[Ultima Chegada]]=0,detalhe_carro1[[#This Row],[Chegada]]=0),"",detalhe_carro1[[#This Row],[Hora Inicio]]-detalhe_carro1[[#This Row],[Ultima Chegada]])</f>
        <v/>
      </c>
      <c r="P66" s="3">
        <f>IF(detalhe_carro1[[#This Row],[Tipo]]="Visitar Nó",((detalhe_carro1[[#This Row],[Hora Fim]]-detalhe_carro1[[#This Row],[Hora Inicio]])/60*velocidade_nos),0)</f>
        <v>7.5</v>
      </c>
      <c r="Q66" s="29">
        <f>detalhe_carro1[[#This Row],[Kms Nós]]+detalhe_carro1[[#This Row],[kms]]</f>
        <v>7.5</v>
      </c>
      <c r="S66" s="20">
        <v>2</v>
      </c>
      <c r="T66" s="38">
        <v>0</v>
      </c>
      <c r="U66" s="38">
        <v>7</v>
      </c>
      <c r="V66" s="38" t="s">
        <v>33</v>
      </c>
      <c r="W66" s="30">
        <v>557</v>
      </c>
      <c r="X66" s="30">
        <v>557</v>
      </c>
      <c r="Y66" s="30">
        <v>103</v>
      </c>
      <c r="Z66" s="39">
        <v>0.67847222222222225</v>
      </c>
      <c r="AA66" s="39">
        <v>0.67847222222222225</v>
      </c>
      <c r="AB66" s="39">
        <v>0.36319444444444443</v>
      </c>
      <c r="AC66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7.5666666666666664</v>
      </c>
      <c r="AD66" s="30"/>
      <c r="AJ66" s="18"/>
      <c r="AM66"/>
      <c r="AN66"/>
    </row>
    <row r="67" spans="2:40" x14ac:dyDescent="0.25">
      <c r="B67" s="3">
        <v>1</v>
      </c>
      <c r="C67">
        <v>1</v>
      </c>
      <c r="D67">
        <v>0</v>
      </c>
      <c r="E67" s="29" t="s">
        <v>20</v>
      </c>
      <c r="F67" s="3">
        <v>727</v>
      </c>
      <c r="G67" s="3">
        <v>727</v>
      </c>
      <c r="H67" s="29" t="s">
        <v>51</v>
      </c>
      <c r="I67" s="3">
        <v>1</v>
      </c>
      <c r="J67" s="7">
        <v>0.79652777777777772</v>
      </c>
      <c r="K67" s="7">
        <v>0.79652777777777772</v>
      </c>
      <c r="L67" s="3">
        <f t="shared" si="0"/>
        <v>1</v>
      </c>
      <c r="M67" s="3">
        <f t="shared" si="1"/>
        <v>0</v>
      </c>
      <c r="N67" s="29">
        <f>_xlfn.MAXIFS($G$7:G66,$E$7:E66,detalhe_carro1[[#This Row],[Nó]],$B$7:B66,detalhe_carro1[[#This Row],[Numero Voltas]],$L$7:L66,1)</f>
        <v>312</v>
      </c>
      <c r="O67" s="3" t="str">
        <f>IF(OR(detalhe_carro1[[#This Row],[Ultima Chegada]]=0,detalhe_carro1[[#This Row],[Chegada]]=0),"",detalhe_carro1[[#This Row],[Hora Inicio]]-detalhe_carro1[[#This Row],[Ultima Chegada]])</f>
        <v/>
      </c>
      <c r="P67" s="3">
        <f>IF(detalhe_carro1[[#This Row],[Tipo]]="Visitar Nó",((detalhe_carro1[[#This Row],[Hora Fim]]-detalhe_carro1[[#This Row],[Hora Inicio]])/60*velocidade_nos),0)</f>
        <v>0</v>
      </c>
      <c r="Q67" s="29">
        <f>detalhe_carro1[[#This Row],[Kms Nós]]+detalhe_carro1[[#This Row],[kms]]</f>
        <v>1</v>
      </c>
      <c r="S67" s="20">
        <v>2</v>
      </c>
      <c r="T67" s="38">
        <v>0</v>
      </c>
      <c r="U67" s="38">
        <v>6</v>
      </c>
      <c r="V67" s="38" t="s">
        <v>31</v>
      </c>
      <c r="W67" s="30">
        <v>560</v>
      </c>
      <c r="X67" s="30">
        <v>560</v>
      </c>
      <c r="Y67" s="30">
        <v>554</v>
      </c>
      <c r="Z67" s="39">
        <v>0.68055555555555558</v>
      </c>
      <c r="AA67" s="39">
        <v>0.68055555555555558</v>
      </c>
      <c r="AB67" s="39">
        <v>0.67638888888888893</v>
      </c>
      <c r="AC67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  <c r="AD67" s="30"/>
      <c r="AJ67" s="18"/>
      <c r="AM67"/>
      <c r="AN67"/>
    </row>
    <row r="68" spans="2:40" x14ac:dyDescent="0.25">
      <c r="B68" s="3">
        <v>1</v>
      </c>
      <c r="C68">
        <v>1</v>
      </c>
      <c r="D68">
        <v>1</v>
      </c>
      <c r="E68" s="29" t="s">
        <v>22</v>
      </c>
      <c r="F68" s="3">
        <v>733</v>
      </c>
      <c r="G68" s="3">
        <v>798</v>
      </c>
      <c r="H68" s="29" t="s">
        <v>52</v>
      </c>
      <c r="I68" s="3">
        <v>0</v>
      </c>
      <c r="J68" s="7">
        <v>0.80069444444444449</v>
      </c>
      <c r="K68" s="7">
        <v>0.84583333333333333</v>
      </c>
      <c r="L68" s="3">
        <f t="shared" si="0"/>
        <v>0</v>
      </c>
      <c r="M68" s="3">
        <f t="shared" si="1"/>
        <v>1</v>
      </c>
      <c r="N68" s="29">
        <f>_xlfn.MAXIFS($G$7:G67,$E$7:E67,detalhe_carro1[[#This Row],[Nó]],$B$7:B67,detalhe_carro1[[#This Row],[Numero Voltas]],$L$7:L67,1)</f>
        <v>711</v>
      </c>
      <c r="O68" s="3">
        <f>IF(OR(detalhe_carro1[[#This Row],[Ultima Chegada]]=0,detalhe_carro1[[#This Row],[Chegada]]=0),"",detalhe_carro1[[#This Row],[Hora Inicio]]-detalhe_carro1[[#This Row],[Ultima Chegada]])</f>
        <v>22</v>
      </c>
      <c r="P68" s="3">
        <f>IF(detalhe_carro1[[#This Row],[Tipo]]="Visitar Nó",((detalhe_carro1[[#This Row],[Hora Fim]]-detalhe_carro1[[#This Row],[Hora Inicio]])/60*velocidade_nos),0)</f>
        <v>0</v>
      </c>
      <c r="Q68" s="29">
        <f>detalhe_carro1[[#This Row],[Kms Nós]]+detalhe_carro1[[#This Row],[kms]]</f>
        <v>0</v>
      </c>
      <c r="S68" s="20">
        <v>2</v>
      </c>
      <c r="T68" s="38">
        <v>0</v>
      </c>
      <c r="U68" s="38">
        <v>5</v>
      </c>
      <c r="V68" s="38" t="s">
        <v>29</v>
      </c>
      <c r="W68" s="30">
        <v>563</v>
      </c>
      <c r="X68" s="30">
        <v>563</v>
      </c>
      <c r="Y68" s="30">
        <v>539</v>
      </c>
      <c r="Z68" s="39">
        <v>0.68263888888888891</v>
      </c>
      <c r="AA68" s="39">
        <v>0.68263888888888891</v>
      </c>
      <c r="AB68" s="39">
        <v>0.66597222222222219</v>
      </c>
      <c r="AC68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</v>
      </c>
      <c r="AD68" s="30"/>
      <c r="AJ68" s="18"/>
      <c r="AM68"/>
      <c r="AN68"/>
    </row>
    <row r="69" spans="2:40" x14ac:dyDescent="0.25">
      <c r="B69" s="3">
        <v>1</v>
      </c>
      <c r="C69">
        <v>1</v>
      </c>
      <c r="D69">
        <v>1</v>
      </c>
      <c r="E69" s="29" t="s">
        <v>22</v>
      </c>
      <c r="F69" s="3">
        <v>799</v>
      </c>
      <c r="G69" s="3">
        <v>804</v>
      </c>
      <c r="H69" s="29" t="s">
        <v>50</v>
      </c>
      <c r="I69" s="3">
        <v>0</v>
      </c>
      <c r="J69" s="7">
        <v>0.84652777777777777</v>
      </c>
      <c r="K69" s="7">
        <v>0.85</v>
      </c>
      <c r="L69" s="3">
        <f t="shared" si="0"/>
        <v>0</v>
      </c>
      <c r="M69" s="3">
        <f t="shared" si="1"/>
        <v>0</v>
      </c>
      <c r="N69" s="29">
        <f>_xlfn.MAXIFS($G$7:G68,$E$7:E68,detalhe_carro1[[#This Row],[Nó]],$B$7:B68,detalhe_carro1[[#This Row],[Numero Voltas]],$L$7:L68,1)</f>
        <v>711</v>
      </c>
      <c r="O69" s="3" t="str">
        <f>IF(OR(detalhe_carro1[[#This Row],[Ultima Chegada]]=0,detalhe_carro1[[#This Row],[Chegada]]=0),"",detalhe_carro1[[#This Row],[Hora Inicio]]-detalhe_carro1[[#This Row],[Ultima Chegada]])</f>
        <v/>
      </c>
      <c r="P69" s="3">
        <f>IF(detalhe_carro1[[#This Row],[Tipo]]="Visitar Nó",((detalhe_carro1[[#This Row],[Hora Fim]]-detalhe_carro1[[#This Row],[Hora Inicio]])/60*velocidade_nos),0)</f>
        <v>2.5</v>
      </c>
      <c r="Q69" s="29">
        <f>detalhe_carro1[[#This Row],[Kms Nós]]+detalhe_carro1[[#This Row],[kms]]</f>
        <v>2.5</v>
      </c>
      <c r="S69" s="20">
        <v>2</v>
      </c>
      <c r="T69" s="38">
        <v>0</v>
      </c>
      <c r="U69" s="38">
        <v>4</v>
      </c>
      <c r="V69" s="38" t="s">
        <v>27</v>
      </c>
      <c r="W69" s="30">
        <v>566</v>
      </c>
      <c r="X69" s="30">
        <v>566</v>
      </c>
      <c r="Y69" s="30">
        <v>492</v>
      </c>
      <c r="Z69" s="39">
        <v>0.68472222222222223</v>
      </c>
      <c r="AA69" s="39">
        <v>0.68472222222222223</v>
      </c>
      <c r="AB69" s="39">
        <v>0.6333333333333333</v>
      </c>
      <c r="AC69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1.2333333333333334</v>
      </c>
      <c r="AD69" s="30"/>
      <c r="AJ69" s="18"/>
      <c r="AM69"/>
      <c r="AN69"/>
    </row>
    <row r="70" spans="2:40" x14ac:dyDescent="0.25">
      <c r="B70" s="3">
        <v>1</v>
      </c>
      <c r="C70">
        <v>1</v>
      </c>
      <c r="D70">
        <v>1</v>
      </c>
      <c r="E70" s="29" t="s">
        <v>22</v>
      </c>
      <c r="F70" s="3">
        <v>805</v>
      </c>
      <c r="G70" s="3">
        <v>805</v>
      </c>
      <c r="H70" s="29" t="s">
        <v>51</v>
      </c>
      <c r="I70" s="3">
        <v>1</v>
      </c>
      <c r="J70" s="7">
        <v>0.85069444444444442</v>
      </c>
      <c r="K70" s="7">
        <v>0.85069444444444442</v>
      </c>
      <c r="L70" s="3">
        <f t="shared" si="0"/>
        <v>1</v>
      </c>
      <c r="M70" s="3">
        <f t="shared" si="1"/>
        <v>0</v>
      </c>
      <c r="N70" s="29">
        <f>_xlfn.MAXIFS($G$7:G69,$E$7:E69,detalhe_carro1[[#This Row],[Nó]],$B$7:B69,detalhe_carro1[[#This Row],[Numero Voltas]],$L$7:L69,1)</f>
        <v>711</v>
      </c>
      <c r="O70" s="3" t="str">
        <f>IF(OR(detalhe_carro1[[#This Row],[Ultima Chegada]]=0,detalhe_carro1[[#This Row],[Chegada]]=0),"",detalhe_carro1[[#This Row],[Hora Inicio]]-detalhe_carro1[[#This Row],[Ultima Chegada]])</f>
        <v/>
      </c>
      <c r="P70" s="3">
        <f>IF(detalhe_carro1[[#This Row],[Tipo]]="Visitar Nó",((detalhe_carro1[[#This Row],[Hora Fim]]-detalhe_carro1[[#This Row],[Hora Inicio]])/60*velocidade_nos),0)</f>
        <v>0</v>
      </c>
      <c r="Q70" s="29">
        <f>detalhe_carro1[[#This Row],[Kms Nós]]+detalhe_carro1[[#This Row],[kms]]</f>
        <v>1</v>
      </c>
      <c r="S70" s="20">
        <v>2</v>
      </c>
      <c r="T70" s="38">
        <v>0</v>
      </c>
      <c r="U70" s="38">
        <v>3</v>
      </c>
      <c r="V70" s="38" t="s">
        <v>26</v>
      </c>
      <c r="W70" s="30">
        <v>567</v>
      </c>
      <c r="X70" s="30">
        <v>567</v>
      </c>
      <c r="Y70" s="30">
        <v>477</v>
      </c>
      <c r="Z70" s="39">
        <v>0.68541666666666667</v>
      </c>
      <c r="AA70" s="39">
        <v>0.68541666666666667</v>
      </c>
      <c r="AB70" s="39">
        <v>0.62291666666666667</v>
      </c>
      <c r="AC70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</v>
      </c>
      <c r="AD70" s="30"/>
      <c r="AJ70" s="18"/>
      <c r="AM70"/>
      <c r="AN70"/>
    </row>
    <row r="71" spans="2:40" x14ac:dyDescent="0.25">
      <c r="B71" s="3">
        <v>1</v>
      </c>
      <c r="C71">
        <v>1</v>
      </c>
      <c r="D71">
        <v>2</v>
      </c>
      <c r="E71" s="29" t="s">
        <v>24</v>
      </c>
      <c r="F71" s="3">
        <v>812</v>
      </c>
      <c r="G71" s="3">
        <v>826</v>
      </c>
      <c r="H71" s="29" t="s">
        <v>50</v>
      </c>
      <c r="I71" s="3">
        <v>0</v>
      </c>
      <c r="J71" s="7">
        <v>0.85555555555555551</v>
      </c>
      <c r="K71" s="7">
        <v>0.86527777777777781</v>
      </c>
      <c r="L71" s="3">
        <f t="shared" ref="L71:L134" si="3">IF(E71&lt;&gt;E72,1,0)</f>
        <v>0</v>
      </c>
      <c r="M71" s="3">
        <f t="shared" ref="M71:M134" si="4">IF(E71&lt;&gt;E70,1,0)</f>
        <v>1</v>
      </c>
      <c r="N71" s="29">
        <f>_xlfn.MAXIFS($G$7:G70,$E$7:E70,detalhe_carro1[[#This Row],[Nó]],$B$7:B70,detalhe_carro1[[#This Row],[Numero Voltas]],$L$7:L70,1)</f>
        <v>692</v>
      </c>
      <c r="O71" s="3">
        <f>IF(OR(detalhe_carro1[[#This Row],[Ultima Chegada]]=0,detalhe_carro1[[#This Row],[Chegada]]=0),"",detalhe_carro1[[#This Row],[Hora Inicio]]-detalhe_carro1[[#This Row],[Ultima Chegada]])</f>
        <v>120</v>
      </c>
      <c r="P71" s="3">
        <f>IF(detalhe_carro1[[#This Row],[Tipo]]="Visitar Nó",((detalhe_carro1[[#This Row],[Hora Fim]]-detalhe_carro1[[#This Row],[Hora Inicio]])/60*velocidade_nos),0)</f>
        <v>7</v>
      </c>
      <c r="Q71" s="29">
        <f>detalhe_carro1[[#This Row],[Kms Nós]]+detalhe_carro1[[#This Row],[kms]]</f>
        <v>7</v>
      </c>
      <c r="S71" s="20">
        <v>2</v>
      </c>
      <c r="T71" s="38">
        <v>0</v>
      </c>
      <c r="U71" s="38">
        <v>2</v>
      </c>
      <c r="V71" s="38" t="s">
        <v>24</v>
      </c>
      <c r="W71" s="30">
        <v>568</v>
      </c>
      <c r="X71" s="30">
        <v>568</v>
      </c>
      <c r="Y71" s="30">
        <v>465</v>
      </c>
      <c r="Z71" s="39">
        <v>0.68611111111111112</v>
      </c>
      <c r="AA71" s="39">
        <v>0.68611111111111112</v>
      </c>
      <c r="AB71" s="39">
        <v>0.61458333333333337</v>
      </c>
      <c r="AC71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  <c r="AD71" s="30"/>
      <c r="AJ71" s="18"/>
      <c r="AM71"/>
      <c r="AN71"/>
    </row>
    <row r="72" spans="2:40" x14ac:dyDescent="0.25">
      <c r="B72" s="3">
        <v>1</v>
      </c>
      <c r="C72">
        <v>1</v>
      </c>
      <c r="D72">
        <v>2</v>
      </c>
      <c r="E72" s="29" t="s">
        <v>24</v>
      </c>
      <c r="F72" s="3">
        <v>833</v>
      </c>
      <c r="G72" s="3">
        <v>833</v>
      </c>
      <c r="H72" s="29" t="s">
        <v>51</v>
      </c>
      <c r="I72" s="3">
        <v>7</v>
      </c>
      <c r="J72" s="7">
        <v>0.87013888888888891</v>
      </c>
      <c r="K72" s="7">
        <v>0.87013888888888891</v>
      </c>
      <c r="L72" s="3">
        <f t="shared" si="3"/>
        <v>1</v>
      </c>
      <c r="M72" s="3">
        <f t="shared" si="4"/>
        <v>0</v>
      </c>
      <c r="N72" s="29">
        <f>_xlfn.MAXIFS($G$7:G71,$E$7:E71,detalhe_carro1[[#This Row],[Nó]],$B$7:B71,detalhe_carro1[[#This Row],[Numero Voltas]],$L$7:L71,1)</f>
        <v>692</v>
      </c>
      <c r="O72" s="3" t="str">
        <f>IF(OR(detalhe_carro1[[#This Row],[Ultima Chegada]]=0,detalhe_carro1[[#This Row],[Chegada]]=0),"",detalhe_carro1[[#This Row],[Hora Inicio]]-detalhe_carro1[[#This Row],[Ultima Chegada]])</f>
        <v/>
      </c>
      <c r="P72" s="3">
        <f>IF(detalhe_carro1[[#This Row],[Tipo]]="Visitar Nó",((detalhe_carro1[[#This Row],[Hora Fim]]-detalhe_carro1[[#This Row],[Hora Inicio]])/60*velocidade_nos),0)</f>
        <v>0</v>
      </c>
      <c r="Q72" s="29">
        <f>detalhe_carro1[[#This Row],[Kms Nós]]+detalhe_carro1[[#This Row],[kms]]</f>
        <v>7</v>
      </c>
      <c r="S72" s="20">
        <v>2</v>
      </c>
      <c r="T72" s="38">
        <v>0</v>
      </c>
      <c r="U72" s="38">
        <v>1</v>
      </c>
      <c r="V72" s="38" t="s">
        <v>22</v>
      </c>
      <c r="W72" s="30">
        <v>575</v>
      </c>
      <c r="X72" s="30">
        <v>575</v>
      </c>
      <c r="Y72" s="30">
        <v>437</v>
      </c>
      <c r="Z72" s="39">
        <v>0.69097222222222221</v>
      </c>
      <c r="AA72" s="39">
        <v>0.69097222222222221</v>
      </c>
      <c r="AB72" s="39">
        <v>0.59513888888888888</v>
      </c>
      <c r="AC72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2.2999999999999998</v>
      </c>
      <c r="AD72" s="30"/>
      <c r="AJ72" s="18"/>
      <c r="AM72"/>
      <c r="AN72"/>
    </row>
    <row r="73" spans="2:40" x14ac:dyDescent="0.25">
      <c r="B73" s="3">
        <v>1</v>
      </c>
      <c r="C73">
        <v>1</v>
      </c>
      <c r="D73">
        <v>3</v>
      </c>
      <c r="E73" s="29" t="s">
        <v>26</v>
      </c>
      <c r="F73" s="3">
        <v>834</v>
      </c>
      <c r="G73" s="3">
        <v>844</v>
      </c>
      <c r="H73" s="29" t="s">
        <v>50</v>
      </c>
      <c r="I73" s="3">
        <v>0</v>
      </c>
      <c r="J73" s="7">
        <v>0.87083333333333335</v>
      </c>
      <c r="K73" s="7">
        <v>0.87777777777777777</v>
      </c>
      <c r="L73" s="3">
        <f t="shared" si="3"/>
        <v>0</v>
      </c>
      <c r="M73" s="3">
        <f t="shared" si="4"/>
        <v>1</v>
      </c>
      <c r="N73" s="29">
        <f>_xlfn.MAXIFS($G$7:G72,$E$7:E72,detalhe_carro1[[#This Row],[Nó]],$B$7:B72,detalhe_carro1[[#This Row],[Numero Voltas]],$L$7:L72,1)</f>
        <v>676</v>
      </c>
      <c r="O73" s="3">
        <f>IF(OR(detalhe_carro1[[#This Row],[Ultima Chegada]]=0,detalhe_carro1[[#This Row],[Chegada]]=0),"",detalhe_carro1[[#This Row],[Hora Inicio]]-detalhe_carro1[[#This Row],[Ultima Chegada]])</f>
        <v>158</v>
      </c>
      <c r="P73" s="3">
        <f>IF(detalhe_carro1[[#This Row],[Tipo]]="Visitar Nó",((detalhe_carro1[[#This Row],[Hora Fim]]-detalhe_carro1[[#This Row],[Hora Inicio]])/60*velocidade_nos),0)</f>
        <v>5</v>
      </c>
      <c r="Q73" s="29">
        <f>detalhe_carro1[[#This Row],[Kms Nós]]+detalhe_carro1[[#This Row],[kms]]</f>
        <v>5</v>
      </c>
      <c r="S73" s="20">
        <v>2</v>
      </c>
      <c r="T73" s="38">
        <v>0</v>
      </c>
      <c r="U73" s="38">
        <v>0</v>
      </c>
      <c r="V73" s="38" t="s">
        <v>20</v>
      </c>
      <c r="W73" s="30">
        <v>576</v>
      </c>
      <c r="X73" s="30">
        <v>576</v>
      </c>
      <c r="Y73" s="30">
        <v>430</v>
      </c>
      <c r="Z73" s="39">
        <v>0.69166666666666665</v>
      </c>
      <c r="AA73" s="39">
        <v>0.69166666666666665</v>
      </c>
      <c r="AB73" s="39">
        <v>0.59027777777777779</v>
      </c>
      <c r="AC73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2.4333333333333331</v>
      </c>
      <c r="AD73" s="30"/>
      <c r="AJ73" s="18"/>
      <c r="AM73"/>
      <c r="AN73"/>
    </row>
    <row r="74" spans="2:40" x14ac:dyDescent="0.25">
      <c r="B74" s="3">
        <v>1</v>
      </c>
      <c r="C74">
        <v>1</v>
      </c>
      <c r="D74">
        <v>3</v>
      </c>
      <c r="E74" s="29" t="s">
        <v>26</v>
      </c>
      <c r="F74" s="3">
        <v>845</v>
      </c>
      <c r="G74" s="3">
        <v>845</v>
      </c>
      <c r="H74" s="29" t="s">
        <v>51</v>
      </c>
      <c r="I74" s="3">
        <v>1</v>
      </c>
      <c r="J74" s="7">
        <v>0.87847222222222221</v>
      </c>
      <c r="K74" s="7">
        <v>0.87847222222222221</v>
      </c>
      <c r="L74" s="3">
        <f t="shared" si="3"/>
        <v>1</v>
      </c>
      <c r="M74" s="3">
        <f t="shared" si="4"/>
        <v>0</v>
      </c>
      <c r="N74" s="29">
        <f>_xlfn.MAXIFS($G$7:G73,$E$7:E73,detalhe_carro1[[#This Row],[Nó]],$B$7:B73,detalhe_carro1[[#This Row],[Numero Voltas]],$L$7:L73,1)</f>
        <v>676</v>
      </c>
      <c r="O74" s="3" t="str">
        <f>IF(OR(detalhe_carro1[[#This Row],[Ultima Chegada]]=0,detalhe_carro1[[#This Row],[Chegada]]=0),"",detalhe_carro1[[#This Row],[Hora Inicio]]-detalhe_carro1[[#This Row],[Ultima Chegada]])</f>
        <v/>
      </c>
      <c r="P74" s="3">
        <f>IF(detalhe_carro1[[#This Row],[Tipo]]="Visitar Nó",((detalhe_carro1[[#This Row],[Hora Fim]]-detalhe_carro1[[#This Row],[Hora Inicio]])/60*velocidade_nos),0)</f>
        <v>0</v>
      </c>
      <c r="Q74" s="29">
        <f>detalhe_carro1[[#This Row],[Kms Nós]]+detalhe_carro1[[#This Row],[kms]]</f>
        <v>1</v>
      </c>
      <c r="S74" s="20">
        <v>2</v>
      </c>
      <c r="T74" s="20">
        <v>0</v>
      </c>
      <c r="U74" s="20">
        <v>1</v>
      </c>
      <c r="V74" s="20" t="s">
        <v>22</v>
      </c>
      <c r="W74">
        <v>577</v>
      </c>
      <c r="X74">
        <v>577</v>
      </c>
      <c r="Y74">
        <v>575</v>
      </c>
      <c r="Z74" s="7">
        <v>0.69236111111111109</v>
      </c>
      <c r="AA74" s="7">
        <v>0.69236111111111109</v>
      </c>
      <c r="AB74" s="7">
        <v>0.69097222222222221</v>
      </c>
      <c r="AC7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74" s="18"/>
      <c r="AM74"/>
      <c r="AN74"/>
    </row>
    <row r="75" spans="2:40" x14ac:dyDescent="0.25">
      <c r="B75" s="3">
        <v>1</v>
      </c>
      <c r="C75">
        <v>1</v>
      </c>
      <c r="D75">
        <v>4</v>
      </c>
      <c r="E75" s="29" t="s">
        <v>27</v>
      </c>
      <c r="F75" s="3">
        <v>846</v>
      </c>
      <c r="G75" s="3">
        <v>859</v>
      </c>
      <c r="H75" s="29" t="s">
        <v>50</v>
      </c>
      <c r="I75" s="3">
        <v>0</v>
      </c>
      <c r="J75" s="7">
        <v>0.87916666666666665</v>
      </c>
      <c r="K75" s="7">
        <v>0.8881944444444444</v>
      </c>
      <c r="L75" s="3">
        <f t="shared" si="3"/>
        <v>0</v>
      </c>
      <c r="M75" s="3">
        <f t="shared" si="4"/>
        <v>1</v>
      </c>
      <c r="N75" s="29">
        <f>_xlfn.MAXIFS($G$7:G74,$E$7:E74,detalhe_carro1[[#This Row],[Nó]],$B$7:B74,detalhe_carro1[[#This Row],[Numero Voltas]],$L$7:L74,1)</f>
        <v>664</v>
      </c>
      <c r="O75" s="3">
        <f>IF(OR(detalhe_carro1[[#This Row],[Ultima Chegada]]=0,detalhe_carro1[[#This Row],[Chegada]]=0),"",detalhe_carro1[[#This Row],[Hora Inicio]]-detalhe_carro1[[#This Row],[Ultima Chegada]])</f>
        <v>182</v>
      </c>
      <c r="P75" s="3">
        <f>IF(detalhe_carro1[[#This Row],[Tipo]]="Visitar Nó",((detalhe_carro1[[#This Row],[Hora Fim]]-detalhe_carro1[[#This Row],[Hora Inicio]])/60*velocidade_nos),0)</f>
        <v>6.5</v>
      </c>
      <c r="Q75" s="29">
        <f>detalhe_carro1[[#This Row],[Kms Nós]]+detalhe_carro1[[#This Row],[kms]]</f>
        <v>6.5</v>
      </c>
      <c r="S75" s="20">
        <v>2</v>
      </c>
      <c r="T75" s="20">
        <v>0</v>
      </c>
      <c r="U75" s="20">
        <v>2</v>
      </c>
      <c r="V75" s="20" t="s">
        <v>24</v>
      </c>
      <c r="W75">
        <v>584</v>
      </c>
      <c r="X75">
        <v>584</v>
      </c>
      <c r="Y75">
        <v>568</v>
      </c>
      <c r="Z75" s="7">
        <v>0.69722222222222219</v>
      </c>
      <c r="AA75" s="7">
        <v>0.69722222222222219</v>
      </c>
      <c r="AB75" s="7">
        <v>0.68611111111111112</v>
      </c>
      <c r="AC7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75" s="18"/>
      <c r="AM75"/>
      <c r="AN75"/>
    </row>
    <row r="76" spans="2:40" x14ac:dyDescent="0.25">
      <c r="B76" s="3">
        <v>1</v>
      </c>
      <c r="C76">
        <v>1</v>
      </c>
      <c r="D76">
        <v>4</v>
      </c>
      <c r="E76" s="29" t="s">
        <v>27</v>
      </c>
      <c r="F76" s="3">
        <v>860</v>
      </c>
      <c r="G76" s="3">
        <v>860</v>
      </c>
      <c r="H76" s="29" t="s">
        <v>51</v>
      </c>
      <c r="I76" s="3">
        <v>1</v>
      </c>
      <c r="J76" s="7">
        <v>0.88888888888888884</v>
      </c>
      <c r="K76" s="7">
        <v>0.88888888888888884</v>
      </c>
      <c r="L76" s="3">
        <f t="shared" si="3"/>
        <v>1</v>
      </c>
      <c r="M76" s="3">
        <f t="shared" si="4"/>
        <v>0</v>
      </c>
      <c r="N76" s="29">
        <f>_xlfn.MAXIFS($G$7:G75,$E$7:E75,detalhe_carro1[[#This Row],[Nó]],$B$7:B75,detalhe_carro1[[#This Row],[Numero Voltas]],$L$7:L75,1)</f>
        <v>664</v>
      </c>
      <c r="O76" s="3" t="str">
        <f>IF(OR(detalhe_carro1[[#This Row],[Ultima Chegada]]=0,detalhe_carro1[[#This Row],[Chegada]]=0),"",detalhe_carro1[[#This Row],[Hora Inicio]]-detalhe_carro1[[#This Row],[Ultima Chegada]])</f>
        <v/>
      </c>
      <c r="P76" s="3">
        <f>IF(detalhe_carro1[[#This Row],[Tipo]]="Visitar Nó",((detalhe_carro1[[#This Row],[Hora Fim]]-detalhe_carro1[[#This Row],[Hora Inicio]])/60*velocidade_nos),0)</f>
        <v>0</v>
      </c>
      <c r="Q76" s="29">
        <f>detalhe_carro1[[#This Row],[Kms Nós]]+detalhe_carro1[[#This Row],[kms]]</f>
        <v>1</v>
      </c>
      <c r="S76" s="20">
        <v>2</v>
      </c>
      <c r="T76" s="20">
        <v>0</v>
      </c>
      <c r="U76" s="20">
        <v>3</v>
      </c>
      <c r="V76" s="20" t="s">
        <v>26</v>
      </c>
      <c r="W76">
        <v>585</v>
      </c>
      <c r="X76">
        <v>585</v>
      </c>
      <c r="Y76">
        <v>567</v>
      </c>
      <c r="Z76" s="7">
        <v>0.69791666666666663</v>
      </c>
      <c r="AA76" s="7">
        <v>0.69791666666666663</v>
      </c>
      <c r="AB76" s="7">
        <v>0.68541666666666667</v>
      </c>
      <c r="AC7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76" s="18"/>
      <c r="AM76"/>
      <c r="AN76"/>
    </row>
    <row r="77" spans="2:40" x14ac:dyDescent="0.25">
      <c r="B77" s="3">
        <v>1</v>
      </c>
      <c r="C77">
        <v>1</v>
      </c>
      <c r="D77">
        <v>5</v>
      </c>
      <c r="E77" s="29" t="s">
        <v>29</v>
      </c>
      <c r="F77" s="3">
        <v>863</v>
      </c>
      <c r="G77" s="3">
        <v>873</v>
      </c>
      <c r="H77" s="29" t="s">
        <v>297</v>
      </c>
      <c r="I77" s="3">
        <v>0</v>
      </c>
      <c r="J77" s="7">
        <v>0.89097222222222228</v>
      </c>
      <c r="K77" s="7">
        <v>0.8979166666666667</v>
      </c>
      <c r="L77" s="3">
        <f t="shared" si="3"/>
        <v>0</v>
      </c>
      <c r="M77" s="3">
        <f t="shared" si="4"/>
        <v>1</v>
      </c>
      <c r="N77" s="29">
        <f>_xlfn.MAXIFS($G$7:G76,$E$7:E76,detalhe_carro1[[#This Row],[Nó]],$B$7:B76,detalhe_carro1[[#This Row],[Numero Voltas]],$L$7:L76,1)</f>
        <v>645</v>
      </c>
      <c r="O77" s="3">
        <f>IF(OR(detalhe_carro1[[#This Row],[Ultima Chegada]]=0,detalhe_carro1[[#This Row],[Chegada]]=0),"",detalhe_carro1[[#This Row],[Hora Inicio]]-detalhe_carro1[[#This Row],[Ultima Chegada]])</f>
        <v>218</v>
      </c>
      <c r="P77" s="3">
        <f>IF(detalhe_carro1[[#This Row],[Tipo]]="Visitar Nó",((detalhe_carro1[[#This Row],[Hora Fim]]-detalhe_carro1[[#This Row],[Hora Inicio]])/60*velocidade_nos),0)</f>
        <v>0</v>
      </c>
      <c r="Q77" s="29">
        <f>detalhe_carro1[[#This Row],[Kms Nós]]+detalhe_carro1[[#This Row],[kms]]</f>
        <v>0</v>
      </c>
      <c r="S77" s="20">
        <v>2</v>
      </c>
      <c r="T77" s="20">
        <v>0</v>
      </c>
      <c r="U77" s="20">
        <v>4</v>
      </c>
      <c r="V77" s="20" t="s">
        <v>27</v>
      </c>
      <c r="W77">
        <v>586</v>
      </c>
      <c r="X77">
        <v>586</v>
      </c>
      <c r="Y77">
        <v>566</v>
      </c>
      <c r="Z77" s="7">
        <v>0.69861111111111107</v>
      </c>
      <c r="AA77" s="7">
        <v>0.69861111111111107</v>
      </c>
      <c r="AB77" s="7">
        <v>0.68472222222222223</v>
      </c>
      <c r="AC7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77" s="18"/>
      <c r="AM77"/>
      <c r="AN77"/>
    </row>
    <row r="78" spans="2:40" x14ac:dyDescent="0.25">
      <c r="B78" s="3">
        <v>1</v>
      </c>
      <c r="C78">
        <v>1</v>
      </c>
      <c r="D78">
        <v>5</v>
      </c>
      <c r="E78" s="29" t="s">
        <v>29</v>
      </c>
      <c r="F78" s="3">
        <v>876</v>
      </c>
      <c r="G78" s="3">
        <v>904</v>
      </c>
      <c r="H78" s="29" t="s">
        <v>50</v>
      </c>
      <c r="I78" s="3">
        <v>0</v>
      </c>
      <c r="J78" s="7">
        <v>0.9</v>
      </c>
      <c r="K78" s="7">
        <v>0.9194444444444444</v>
      </c>
      <c r="L78" s="3">
        <f t="shared" si="3"/>
        <v>0</v>
      </c>
      <c r="M78" s="3">
        <f t="shared" si="4"/>
        <v>0</v>
      </c>
      <c r="N78" s="29">
        <f>_xlfn.MAXIFS($G$7:G77,$E$7:E77,detalhe_carro1[[#This Row],[Nó]],$B$7:B77,detalhe_carro1[[#This Row],[Numero Voltas]],$L$7:L77,1)</f>
        <v>645</v>
      </c>
      <c r="O78" s="3" t="str">
        <f>IF(OR(detalhe_carro1[[#This Row],[Ultima Chegada]]=0,detalhe_carro1[[#This Row],[Chegada]]=0),"",detalhe_carro1[[#This Row],[Hora Inicio]]-detalhe_carro1[[#This Row],[Ultima Chegada]])</f>
        <v/>
      </c>
      <c r="P78" s="3">
        <f>IF(detalhe_carro1[[#This Row],[Tipo]]="Visitar Nó",((detalhe_carro1[[#This Row],[Hora Fim]]-detalhe_carro1[[#This Row],[Hora Inicio]])/60*velocidade_nos),0)</f>
        <v>14</v>
      </c>
      <c r="Q78" s="29">
        <f>detalhe_carro1[[#This Row],[Kms Nós]]+detalhe_carro1[[#This Row],[kms]]</f>
        <v>14</v>
      </c>
      <c r="S78" s="20">
        <v>2</v>
      </c>
      <c r="T78" s="20">
        <v>0</v>
      </c>
      <c r="U78" s="20">
        <v>5</v>
      </c>
      <c r="V78" s="20" t="s">
        <v>29</v>
      </c>
      <c r="W78">
        <v>589</v>
      </c>
      <c r="X78">
        <v>589</v>
      </c>
      <c r="Y78">
        <v>563</v>
      </c>
      <c r="Z78" s="7">
        <v>0.7006944444444444</v>
      </c>
      <c r="AA78" s="7">
        <v>0.7006944444444444</v>
      </c>
      <c r="AB78" s="7">
        <v>0.68263888888888891</v>
      </c>
      <c r="AC7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78" s="18"/>
      <c r="AM78"/>
      <c r="AN78"/>
    </row>
    <row r="79" spans="2:40" x14ac:dyDescent="0.25">
      <c r="B79" s="3">
        <v>1</v>
      </c>
      <c r="C79">
        <v>1</v>
      </c>
      <c r="D79">
        <v>5</v>
      </c>
      <c r="E79" s="29" t="s">
        <v>29</v>
      </c>
      <c r="F79" s="3">
        <v>907</v>
      </c>
      <c r="G79" s="3">
        <v>907</v>
      </c>
      <c r="H79" s="29" t="s">
        <v>51</v>
      </c>
      <c r="I79" s="3">
        <v>3</v>
      </c>
      <c r="J79" s="7">
        <v>0.92152777777777772</v>
      </c>
      <c r="K79" s="7">
        <v>0.92152777777777772</v>
      </c>
      <c r="L79" s="3">
        <f t="shared" si="3"/>
        <v>1</v>
      </c>
      <c r="M79" s="3">
        <f t="shared" si="4"/>
        <v>0</v>
      </c>
      <c r="N79" s="29">
        <f>_xlfn.MAXIFS($G$7:G78,$E$7:E78,detalhe_carro1[[#This Row],[Nó]],$B$7:B78,detalhe_carro1[[#This Row],[Numero Voltas]],$L$7:L78,1)</f>
        <v>645</v>
      </c>
      <c r="O79" s="3" t="str">
        <f>IF(OR(detalhe_carro1[[#This Row],[Ultima Chegada]]=0,detalhe_carro1[[#This Row],[Chegada]]=0),"",detalhe_carro1[[#This Row],[Hora Inicio]]-detalhe_carro1[[#This Row],[Ultima Chegada]])</f>
        <v/>
      </c>
      <c r="P79" s="3">
        <f>IF(detalhe_carro1[[#This Row],[Tipo]]="Visitar Nó",((detalhe_carro1[[#This Row],[Hora Fim]]-detalhe_carro1[[#This Row],[Hora Inicio]])/60*velocidade_nos),0)</f>
        <v>0</v>
      </c>
      <c r="Q79" s="29">
        <f>detalhe_carro1[[#This Row],[Kms Nós]]+detalhe_carro1[[#This Row],[kms]]</f>
        <v>3</v>
      </c>
      <c r="S79" s="20">
        <v>2</v>
      </c>
      <c r="T79" s="20">
        <v>0</v>
      </c>
      <c r="U79" s="20">
        <v>6</v>
      </c>
      <c r="V79" s="20" t="s">
        <v>31</v>
      </c>
      <c r="W79">
        <v>592</v>
      </c>
      <c r="X79">
        <v>592</v>
      </c>
      <c r="Y79">
        <v>560</v>
      </c>
      <c r="Z79" s="7">
        <v>0.70277777777777772</v>
      </c>
      <c r="AA79" s="7">
        <v>0.70277777777777772</v>
      </c>
      <c r="AB79" s="7">
        <v>0.68055555555555558</v>
      </c>
      <c r="AC7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79" s="18"/>
      <c r="AM79"/>
      <c r="AN79"/>
    </row>
    <row r="80" spans="2:40" x14ac:dyDescent="0.25">
      <c r="B80" s="3">
        <v>1</v>
      </c>
      <c r="C80">
        <v>1</v>
      </c>
      <c r="D80">
        <v>6</v>
      </c>
      <c r="E80" s="29" t="s">
        <v>31</v>
      </c>
      <c r="F80" s="3">
        <v>919</v>
      </c>
      <c r="G80" s="3">
        <v>985</v>
      </c>
      <c r="H80" s="29" t="s">
        <v>52</v>
      </c>
      <c r="I80" s="3">
        <v>0</v>
      </c>
      <c r="J80" s="7">
        <v>0.92986111111111114</v>
      </c>
      <c r="K80" s="7">
        <v>0.97569444444444442</v>
      </c>
      <c r="L80" s="3">
        <f t="shared" si="3"/>
        <v>0</v>
      </c>
      <c r="M80" s="3">
        <f t="shared" si="4"/>
        <v>1</v>
      </c>
      <c r="N80" s="29">
        <f>_xlfn.MAXIFS($G$7:G79,$E$7:E79,detalhe_carro1[[#This Row],[Nó]],$B$7:B79,detalhe_carro1[[#This Row],[Numero Voltas]],$L$7:L79,1)</f>
        <v>611</v>
      </c>
      <c r="O80" s="3">
        <f>IF(OR(detalhe_carro1[[#This Row],[Ultima Chegada]]=0,detalhe_carro1[[#This Row],[Chegada]]=0),"",detalhe_carro1[[#This Row],[Hora Inicio]]-detalhe_carro1[[#This Row],[Ultima Chegada]])</f>
        <v>308</v>
      </c>
      <c r="P80" s="3">
        <f>IF(detalhe_carro1[[#This Row],[Tipo]]="Visitar Nó",((detalhe_carro1[[#This Row],[Hora Fim]]-detalhe_carro1[[#This Row],[Hora Inicio]])/60*velocidade_nos),0)</f>
        <v>0</v>
      </c>
      <c r="Q80" s="29">
        <f>detalhe_carro1[[#This Row],[Kms Nós]]+detalhe_carro1[[#This Row],[kms]]</f>
        <v>0</v>
      </c>
      <c r="S80" s="20">
        <v>2</v>
      </c>
      <c r="T80" s="20">
        <v>0</v>
      </c>
      <c r="U80" s="20">
        <v>7</v>
      </c>
      <c r="V80" s="20" t="s">
        <v>33</v>
      </c>
      <c r="W80">
        <v>595</v>
      </c>
      <c r="X80">
        <v>595</v>
      </c>
      <c r="Y80">
        <v>557</v>
      </c>
      <c r="Z80" s="7">
        <v>0.70486111111111116</v>
      </c>
      <c r="AA80" s="7">
        <v>0.70486111111111116</v>
      </c>
      <c r="AB80" s="7">
        <v>0.67847222222222225</v>
      </c>
      <c r="AC8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80" s="18"/>
      <c r="AM80"/>
      <c r="AN80"/>
    </row>
    <row r="81" spans="2:40" x14ac:dyDescent="0.25">
      <c r="B81" s="3">
        <v>1</v>
      </c>
      <c r="C81">
        <v>1</v>
      </c>
      <c r="D81">
        <v>6</v>
      </c>
      <c r="E81" s="29" t="s">
        <v>31</v>
      </c>
      <c r="F81" s="3">
        <v>988</v>
      </c>
      <c r="G81" s="3">
        <v>997</v>
      </c>
      <c r="H81" s="29" t="s">
        <v>50</v>
      </c>
      <c r="I81" s="3">
        <v>0</v>
      </c>
      <c r="J81" s="7">
        <v>0.97777777777777775</v>
      </c>
      <c r="K81" s="7">
        <v>0.98402777777777772</v>
      </c>
      <c r="L81" s="3">
        <f t="shared" si="3"/>
        <v>0</v>
      </c>
      <c r="M81" s="3">
        <f t="shared" si="4"/>
        <v>0</v>
      </c>
      <c r="N81" s="29">
        <f>_xlfn.MAXIFS($G$7:G80,$E$7:E80,detalhe_carro1[[#This Row],[Nó]],$B$7:B80,detalhe_carro1[[#This Row],[Numero Voltas]],$L$7:L80,1)</f>
        <v>611</v>
      </c>
      <c r="O81" s="3" t="str">
        <f>IF(OR(detalhe_carro1[[#This Row],[Ultima Chegada]]=0,detalhe_carro1[[#This Row],[Chegada]]=0),"",detalhe_carro1[[#This Row],[Hora Inicio]]-detalhe_carro1[[#This Row],[Ultima Chegada]])</f>
        <v/>
      </c>
      <c r="P81" s="3">
        <f>IF(detalhe_carro1[[#This Row],[Tipo]]="Visitar Nó",((detalhe_carro1[[#This Row],[Hora Fim]]-detalhe_carro1[[#This Row],[Hora Inicio]])/60*velocidade_nos),0)</f>
        <v>4.5</v>
      </c>
      <c r="Q81" s="29">
        <f>detalhe_carro1[[#This Row],[Kms Nós]]+detalhe_carro1[[#This Row],[kms]]</f>
        <v>4.5</v>
      </c>
      <c r="S81" s="20">
        <v>2</v>
      </c>
      <c r="T81" s="20">
        <v>1</v>
      </c>
      <c r="U81" s="20">
        <v>7</v>
      </c>
      <c r="V81" s="20" t="s">
        <v>33</v>
      </c>
      <c r="W81">
        <v>510</v>
      </c>
      <c r="X81">
        <v>583</v>
      </c>
      <c r="Y81">
        <v>595</v>
      </c>
      <c r="Z81" s="7">
        <v>0.64583333333333337</v>
      </c>
      <c r="AA81" s="7">
        <v>0.69652777777777775</v>
      </c>
      <c r="AB81" s="7">
        <v>0.70486111111111116</v>
      </c>
      <c r="AC8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-1.4166666666666667</v>
      </c>
      <c r="AJ81" s="18"/>
      <c r="AM81"/>
      <c r="AN81"/>
    </row>
    <row r="82" spans="2:40" x14ac:dyDescent="0.25">
      <c r="B82" s="3">
        <v>1</v>
      </c>
      <c r="C82">
        <v>1</v>
      </c>
      <c r="D82">
        <v>6</v>
      </c>
      <c r="E82" s="29" t="s">
        <v>31</v>
      </c>
      <c r="F82" s="3">
        <v>1000</v>
      </c>
      <c r="G82" s="3">
        <v>1000</v>
      </c>
      <c r="H82" s="29" t="s">
        <v>51</v>
      </c>
      <c r="I82" s="3">
        <v>3</v>
      </c>
      <c r="J82" s="7">
        <v>0.98611111111111116</v>
      </c>
      <c r="K82" s="7">
        <v>0.98611111111111116</v>
      </c>
      <c r="L82" s="3">
        <f t="shared" si="3"/>
        <v>1</v>
      </c>
      <c r="M82" s="3">
        <f t="shared" si="4"/>
        <v>0</v>
      </c>
      <c r="N82" s="29">
        <f>_xlfn.MAXIFS($G$7:G81,$E$7:E81,detalhe_carro1[[#This Row],[Nó]],$B$7:B81,detalhe_carro1[[#This Row],[Numero Voltas]],$L$7:L81,1)</f>
        <v>611</v>
      </c>
      <c r="O82" s="3" t="str">
        <f>IF(OR(detalhe_carro1[[#This Row],[Ultima Chegada]]=0,detalhe_carro1[[#This Row],[Chegada]]=0),"",detalhe_carro1[[#This Row],[Hora Inicio]]-detalhe_carro1[[#This Row],[Ultima Chegada]])</f>
        <v/>
      </c>
      <c r="P82" s="3">
        <f>IF(detalhe_carro1[[#This Row],[Tipo]]="Visitar Nó",((detalhe_carro1[[#This Row],[Hora Fim]]-detalhe_carro1[[#This Row],[Hora Inicio]])/60*velocidade_nos),0)</f>
        <v>0</v>
      </c>
      <c r="Q82" s="29">
        <f>detalhe_carro1[[#This Row],[Kms Nós]]+detalhe_carro1[[#This Row],[kms]]</f>
        <v>3</v>
      </c>
      <c r="S82" s="20">
        <v>2</v>
      </c>
      <c r="T82" s="20">
        <v>1</v>
      </c>
      <c r="U82" s="20">
        <v>6</v>
      </c>
      <c r="V82" s="20" t="s">
        <v>31</v>
      </c>
      <c r="W82">
        <v>586</v>
      </c>
      <c r="X82">
        <v>611</v>
      </c>
      <c r="Y82">
        <v>592</v>
      </c>
      <c r="Z82" s="7">
        <v>0.69861111111111107</v>
      </c>
      <c r="AA82" s="7">
        <v>0.71597222222222223</v>
      </c>
      <c r="AB82" s="7">
        <v>0.70277777777777772</v>
      </c>
      <c r="AC8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-0.1</v>
      </c>
      <c r="AJ82" s="18"/>
      <c r="AM82"/>
      <c r="AN82"/>
    </row>
    <row r="83" spans="2:40" x14ac:dyDescent="0.25">
      <c r="B83" s="3">
        <v>1</v>
      </c>
      <c r="C83">
        <v>1</v>
      </c>
      <c r="D83">
        <v>7</v>
      </c>
      <c r="E83" s="29" t="s">
        <v>33</v>
      </c>
      <c r="F83" s="3">
        <v>1003</v>
      </c>
      <c r="G83" s="3">
        <v>1068</v>
      </c>
      <c r="H83" s="29" t="s">
        <v>52</v>
      </c>
      <c r="I83" s="3">
        <v>0</v>
      </c>
      <c r="J83" s="7">
        <v>0.98819444444444449</v>
      </c>
      <c r="K83" s="7">
        <v>3.3333333333333333E-2</v>
      </c>
      <c r="L83" s="3">
        <f t="shared" si="3"/>
        <v>0</v>
      </c>
      <c r="M83" s="3">
        <f t="shared" si="4"/>
        <v>1</v>
      </c>
      <c r="N83" s="29">
        <f>_xlfn.MAXIFS($G$7:G82,$E$7:E82,detalhe_carro1[[#This Row],[Nó]],$B$7:B82,detalhe_carro1[[#This Row],[Numero Voltas]],$L$7:L82,1)</f>
        <v>583</v>
      </c>
      <c r="O83" s="3">
        <f>IF(OR(detalhe_carro1[[#This Row],[Ultima Chegada]]=0,detalhe_carro1[[#This Row],[Chegada]]=0),"",detalhe_carro1[[#This Row],[Hora Inicio]]-detalhe_carro1[[#This Row],[Ultima Chegada]])</f>
        <v>420</v>
      </c>
      <c r="P83" s="3">
        <f>IF(detalhe_carro1[[#This Row],[Tipo]]="Visitar Nó",((detalhe_carro1[[#This Row],[Hora Fim]]-detalhe_carro1[[#This Row],[Hora Inicio]])/60*velocidade_nos),0)</f>
        <v>0</v>
      </c>
      <c r="Q83" s="29">
        <f>detalhe_carro1[[#This Row],[Kms Nós]]+detalhe_carro1[[#This Row],[kms]]</f>
        <v>0</v>
      </c>
      <c r="S83" s="20">
        <v>2</v>
      </c>
      <c r="T83" s="20">
        <v>1</v>
      </c>
      <c r="U83" s="20">
        <v>5</v>
      </c>
      <c r="V83" s="20" t="s">
        <v>29</v>
      </c>
      <c r="W83">
        <v>614</v>
      </c>
      <c r="X83">
        <v>645</v>
      </c>
      <c r="Y83">
        <v>589</v>
      </c>
      <c r="Z83" s="7">
        <v>0.71805555555555556</v>
      </c>
      <c r="AA83" s="7">
        <v>0.73958333333333337</v>
      </c>
      <c r="AB83" s="7">
        <v>0.7006944444444444</v>
      </c>
      <c r="AC8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0.41666666666666669</v>
      </c>
      <c r="AJ83" s="18"/>
      <c r="AM83"/>
      <c r="AN83"/>
    </row>
    <row r="84" spans="2:40" x14ac:dyDescent="0.25">
      <c r="B84" s="3">
        <v>1</v>
      </c>
      <c r="C84">
        <v>1</v>
      </c>
      <c r="D84">
        <v>7</v>
      </c>
      <c r="E84" s="29" t="s">
        <v>33</v>
      </c>
      <c r="F84" s="3">
        <v>1071</v>
      </c>
      <c r="G84" s="3">
        <v>1071</v>
      </c>
      <c r="H84" s="29" t="s">
        <v>51</v>
      </c>
      <c r="I84" s="3">
        <v>3</v>
      </c>
      <c r="J84" s="7">
        <v>3.5416666666666666E-2</v>
      </c>
      <c r="K84" s="7">
        <v>3.5416666666666666E-2</v>
      </c>
      <c r="L84" s="3">
        <f t="shared" si="3"/>
        <v>0</v>
      </c>
      <c r="M84" s="3">
        <f t="shared" si="4"/>
        <v>0</v>
      </c>
      <c r="N84" s="29">
        <f>_xlfn.MAXIFS($G$7:G83,$E$7:E83,detalhe_carro1[[#This Row],[Nó]],$B$7:B83,detalhe_carro1[[#This Row],[Numero Voltas]],$L$7:L83,1)</f>
        <v>583</v>
      </c>
      <c r="O84" s="3" t="str">
        <f>IF(OR(detalhe_carro1[[#This Row],[Ultima Chegada]]=0,detalhe_carro1[[#This Row],[Chegada]]=0),"",detalhe_carro1[[#This Row],[Hora Inicio]]-detalhe_carro1[[#This Row],[Ultima Chegada]])</f>
        <v/>
      </c>
      <c r="P84" s="3">
        <f>IF(detalhe_carro1[[#This Row],[Tipo]]="Visitar Nó",((detalhe_carro1[[#This Row],[Hora Fim]]-detalhe_carro1[[#This Row],[Hora Inicio]])/60*velocidade_nos),0)</f>
        <v>0</v>
      </c>
      <c r="Q84" s="29">
        <f>detalhe_carro1[[#This Row],[Kms Nós]]+detalhe_carro1[[#This Row],[kms]]</f>
        <v>3</v>
      </c>
      <c r="S84" s="20">
        <v>2</v>
      </c>
      <c r="T84" s="20">
        <v>1</v>
      </c>
      <c r="U84" s="20">
        <v>4</v>
      </c>
      <c r="V84" s="20" t="s">
        <v>27</v>
      </c>
      <c r="W84">
        <v>648</v>
      </c>
      <c r="X84">
        <v>664</v>
      </c>
      <c r="Y84">
        <v>586</v>
      </c>
      <c r="Z84" s="7">
        <v>0.7416666666666667</v>
      </c>
      <c r="AA84" s="7">
        <v>0.75277777777777777</v>
      </c>
      <c r="AB84" s="7">
        <v>0.69861111111111107</v>
      </c>
      <c r="AC8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1.0333333333333334</v>
      </c>
      <c r="AJ84" s="18"/>
      <c r="AM84"/>
      <c r="AN84"/>
    </row>
    <row r="85" spans="2:40" x14ac:dyDescent="0.25">
      <c r="B85" s="3">
        <v>1</v>
      </c>
      <c r="C85">
        <v>1</v>
      </c>
      <c r="D85">
        <v>7</v>
      </c>
      <c r="E85" s="29" t="s">
        <v>33</v>
      </c>
      <c r="F85" s="3">
        <v>1071</v>
      </c>
      <c r="G85" s="3">
        <v>1071</v>
      </c>
      <c r="H85" s="29" t="s">
        <v>51</v>
      </c>
      <c r="I85" s="3">
        <v>3</v>
      </c>
      <c r="J85" s="7">
        <v>3.5416666666666666E-2</v>
      </c>
      <c r="K85" s="7">
        <v>3.5416666666666666E-2</v>
      </c>
      <c r="L85" s="3">
        <f t="shared" si="3"/>
        <v>0</v>
      </c>
      <c r="M85" s="3">
        <f t="shared" si="4"/>
        <v>0</v>
      </c>
      <c r="N85" s="29">
        <f>_xlfn.MAXIFS($G$7:G84,$E$7:E84,detalhe_carro1[[#This Row],[Nó]],$B$7:B84,detalhe_carro1[[#This Row],[Numero Voltas]],$L$7:L84,1)</f>
        <v>583</v>
      </c>
      <c r="O85" s="3" t="str">
        <f>IF(OR(detalhe_carro1[[#This Row],[Ultima Chegada]]=0,detalhe_carro1[[#This Row],[Chegada]]=0),"",detalhe_carro1[[#This Row],[Hora Inicio]]-detalhe_carro1[[#This Row],[Ultima Chegada]])</f>
        <v/>
      </c>
      <c r="P85" s="3">
        <f>IF(detalhe_carro1[[#This Row],[Tipo]]="Visitar Nó",((detalhe_carro1[[#This Row],[Hora Fim]]-detalhe_carro1[[#This Row],[Hora Inicio]])/60*velocidade_nos),0)</f>
        <v>0</v>
      </c>
      <c r="Q85" s="29">
        <f>detalhe_carro1[[#This Row],[Kms Nós]]+detalhe_carro1[[#This Row],[kms]]</f>
        <v>3</v>
      </c>
      <c r="S85" s="20">
        <v>2</v>
      </c>
      <c r="T85" s="20">
        <v>1</v>
      </c>
      <c r="U85" s="20">
        <v>3</v>
      </c>
      <c r="V85" s="20" t="s">
        <v>26</v>
      </c>
      <c r="W85">
        <v>665</v>
      </c>
      <c r="X85">
        <v>676</v>
      </c>
      <c r="Y85">
        <v>585</v>
      </c>
      <c r="Z85" s="7">
        <v>0.75347222222222221</v>
      </c>
      <c r="AA85" s="7">
        <v>0.76111111111111107</v>
      </c>
      <c r="AB85" s="7">
        <v>0.69791666666666663</v>
      </c>
      <c r="AC8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1.3333333333333333</v>
      </c>
      <c r="AJ85" s="18"/>
      <c r="AM85"/>
      <c r="AN85"/>
    </row>
    <row r="86" spans="2:40" x14ac:dyDescent="0.25">
      <c r="B86" s="3">
        <v>1</v>
      </c>
      <c r="C86">
        <v>1</v>
      </c>
      <c r="D86">
        <v>7</v>
      </c>
      <c r="E86" s="29" t="s">
        <v>33</v>
      </c>
      <c r="F86" s="3">
        <v>1071</v>
      </c>
      <c r="G86" s="3">
        <v>1071</v>
      </c>
      <c r="H86" s="29" t="s">
        <v>51</v>
      </c>
      <c r="I86" s="3">
        <v>3</v>
      </c>
      <c r="J86" s="7">
        <v>3.5416666666666666E-2</v>
      </c>
      <c r="K86" s="7">
        <v>3.5416666666666666E-2</v>
      </c>
      <c r="L86" s="3">
        <f t="shared" si="3"/>
        <v>0</v>
      </c>
      <c r="M86" s="3">
        <f t="shared" si="4"/>
        <v>0</v>
      </c>
      <c r="N86" s="29">
        <f>_xlfn.MAXIFS($G$7:G85,$E$7:E85,detalhe_carro1[[#This Row],[Nó]],$B$7:B85,detalhe_carro1[[#This Row],[Numero Voltas]],$L$7:L85,1)</f>
        <v>583</v>
      </c>
      <c r="O86" s="3" t="str">
        <f>IF(OR(detalhe_carro1[[#This Row],[Ultima Chegada]]=0,detalhe_carro1[[#This Row],[Chegada]]=0),"",detalhe_carro1[[#This Row],[Hora Inicio]]-detalhe_carro1[[#This Row],[Ultima Chegada]])</f>
        <v/>
      </c>
      <c r="P86" s="3">
        <f>IF(detalhe_carro1[[#This Row],[Tipo]]="Visitar Nó",((detalhe_carro1[[#This Row],[Hora Fim]]-detalhe_carro1[[#This Row],[Hora Inicio]])/60*velocidade_nos),0)</f>
        <v>0</v>
      </c>
      <c r="Q86" s="29">
        <f>detalhe_carro1[[#This Row],[Kms Nós]]+detalhe_carro1[[#This Row],[kms]]</f>
        <v>3</v>
      </c>
      <c r="S86" s="20">
        <v>2</v>
      </c>
      <c r="T86" s="20">
        <v>1</v>
      </c>
      <c r="U86" s="20">
        <v>2</v>
      </c>
      <c r="V86" s="20" t="s">
        <v>24</v>
      </c>
      <c r="W86">
        <v>677</v>
      </c>
      <c r="X86">
        <v>692</v>
      </c>
      <c r="Y86">
        <v>584</v>
      </c>
      <c r="Z86" s="7">
        <v>0.76180555555555551</v>
      </c>
      <c r="AA86" s="7">
        <v>0.77222222222222225</v>
      </c>
      <c r="AB86" s="7">
        <v>0.69722222222222219</v>
      </c>
      <c r="AC8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1.55</v>
      </c>
      <c r="AJ86" s="18"/>
      <c r="AM86"/>
      <c r="AN86"/>
    </row>
    <row r="87" spans="2:40" x14ac:dyDescent="0.25">
      <c r="B87" s="3">
        <v>1</v>
      </c>
      <c r="C87">
        <v>2</v>
      </c>
      <c r="D87">
        <v>7</v>
      </c>
      <c r="E87" s="29" t="s">
        <v>33</v>
      </c>
      <c r="F87" s="3">
        <v>990</v>
      </c>
      <c r="G87" s="3">
        <v>1050</v>
      </c>
      <c r="H87" s="29" t="s">
        <v>54</v>
      </c>
      <c r="I87" s="3">
        <v>0</v>
      </c>
      <c r="J87" s="7">
        <v>0.97916666666666663</v>
      </c>
      <c r="K87" s="7">
        <v>2.0833333333333332E-2</v>
      </c>
      <c r="L87" s="3">
        <f t="shared" si="3"/>
        <v>0</v>
      </c>
      <c r="M87" s="3">
        <f t="shared" si="4"/>
        <v>0</v>
      </c>
      <c r="N87" s="29">
        <f>_xlfn.MAXIFS($G$7:G86,$E$7:E86,detalhe_carro1[[#This Row],[Nó]],$B$7:B86,detalhe_carro1[[#This Row],[Numero Voltas]],$L$7:L86,1)</f>
        <v>583</v>
      </c>
      <c r="O87" s="3" t="str">
        <f>IF(OR(detalhe_carro1[[#This Row],[Ultima Chegada]]=0,detalhe_carro1[[#This Row],[Chegada]]=0),"",detalhe_carro1[[#This Row],[Hora Inicio]]-detalhe_carro1[[#This Row],[Ultima Chegada]])</f>
        <v/>
      </c>
      <c r="P87" s="3">
        <f>IF(detalhe_carro1[[#This Row],[Tipo]]="Visitar Nó",((detalhe_carro1[[#This Row],[Hora Fim]]-detalhe_carro1[[#This Row],[Hora Inicio]])/60*velocidade_nos),0)</f>
        <v>0</v>
      </c>
      <c r="Q87" s="29">
        <f>detalhe_carro1[[#This Row],[Kms Nós]]+detalhe_carro1[[#This Row],[kms]]</f>
        <v>0</v>
      </c>
      <c r="S87" s="20">
        <v>2</v>
      </c>
      <c r="T87" s="20">
        <v>1</v>
      </c>
      <c r="U87" s="20">
        <v>1</v>
      </c>
      <c r="V87" s="20" t="s">
        <v>22</v>
      </c>
      <c r="W87">
        <v>699</v>
      </c>
      <c r="X87">
        <v>711</v>
      </c>
      <c r="Y87">
        <v>577</v>
      </c>
      <c r="Z87" s="7">
        <v>0.77708333333333335</v>
      </c>
      <c r="AA87" s="7">
        <v>0.78541666666666665</v>
      </c>
      <c r="AB87" s="7">
        <v>0.69236111111111109</v>
      </c>
      <c r="AC8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2.0333333333333332</v>
      </c>
      <c r="AJ87" s="18"/>
      <c r="AM87"/>
      <c r="AN87"/>
    </row>
    <row r="88" spans="2:40" x14ac:dyDescent="0.25">
      <c r="B88" s="3">
        <v>1</v>
      </c>
      <c r="C88">
        <v>2</v>
      </c>
      <c r="D88">
        <v>7</v>
      </c>
      <c r="E88" s="29" t="s">
        <v>33</v>
      </c>
      <c r="F88" s="3">
        <v>1020</v>
      </c>
      <c r="G88" s="3">
        <v>1050</v>
      </c>
      <c r="H88" s="29" t="s">
        <v>54</v>
      </c>
      <c r="I88" s="3">
        <v>0</v>
      </c>
      <c r="J88" s="7">
        <v>0</v>
      </c>
      <c r="K88" s="7">
        <v>2.0833333333333332E-2</v>
      </c>
      <c r="L88" s="3">
        <f t="shared" si="3"/>
        <v>0</v>
      </c>
      <c r="M88" s="3">
        <f t="shared" si="4"/>
        <v>0</v>
      </c>
      <c r="N88" s="29">
        <f>_xlfn.MAXIFS($G$7:G87,$E$7:E87,detalhe_carro1[[#This Row],[Nó]],$B$7:B87,detalhe_carro1[[#This Row],[Numero Voltas]],$L$7:L87,1)</f>
        <v>583</v>
      </c>
      <c r="O88" s="3" t="str">
        <f>IF(OR(detalhe_carro1[[#This Row],[Ultima Chegada]]=0,detalhe_carro1[[#This Row],[Chegada]]=0),"",detalhe_carro1[[#This Row],[Hora Inicio]]-detalhe_carro1[[#This Row],[Ultima Chegada]])</f>
        <v/>
      </c>
      <c r="P88" s="3">
        <f>IF(detalhe_carro1[[#This Row],[Tipo]]="Visitar Nó",((detalhe_carro1[[#This Row],[Hora Fim]]-detalhe_carro1[[#This Row],[Hora Inicio]])/60*velocidade_nos),0)</f>
        <v>0</v>
      </c>
      <c r="Q88" s="29">
        <f>detalhe_carro1[[#This Row],[Kms Nós]]+detalhe_carro1[[#This Row],[kms]]</f>
        <v>0</v>
      </c>
      <c r="S88" s="20">
        <v>2</v>
      </c>
      <c r="T88" s="20">
        <v>1</v>
      </c>
      <c r="U88" s="20">
        <v>0</v>
      </c>
      <c r="V88" s="20" t="s">
        <v>20</v>
      </c>
      <c r="W88">
        <v>712</v>
      </c>
      <c r="X88">
        <v>727</v>
      </c>
      <c r="Y88">
        <v>576</v>
      </c>
      <c r="Z88" s="7">
        <v>0.78611111111111109</v>
      </c>
      <c r="AA88" s="7">
        <v>0.79652777777777772</v>
      </c>
      <c r="AB88" s="7">
        <v>0.69166666666666665</v>
      </c>
      <c r="AC8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2.2666666666666666</v>
      </c>
      <c r="AJ88" s="18"/>
      <c r="AM88"/>
      <c r="AN88"/>
    </row>
    <row r="89" spans="2:40" x14ac:dyDescent="0.25">
      <c r="B89" s="3">
        <v>1</v>
      </c>
      <c r="C89">
        <v>2</v>
      </c>
      <c r="D89">
        <v>7</v>
      </c>
      <c r="E89" s="29" t="s">
        <v>33</v>
      </c>
      <c r="F89" s="3">
        <v>1050</v>
      </c>
      <c r="G89" s="3">
        <v>1050</v>
      </c>
      <c r="H89" s="29" t="s">
        <v>49</v>
      </c>
      <c r="I89" s="3">
        <v>0</v>
      </c>
      <c r="J89" s="7">
        <v>2.0833333333333332E-2</v>
      </c>
      <c r="K89" s="7">
        <v>2.0833333333333332E-2</v>
      </c>
      <c r="L89" s="3">
        <f t="shared" si="3"/>
        <v>0</v>
      </c>
      <c r="M89" s="3">
        <f t="shared" si="4"/>
        <v>0</v>
      </c>
      <c r="N89" s="29">
        <f>_xlfn.MAXIFS($G$7:G88,$E$7:E88,detalhe_carro1[[#This Row],[Nó]],$B$7:B88,detalhe_carro1[[#This Row],[Numero Voltas]],$L$7:L88,1)</f>
        <v>583</v>
      </c>
      <c r="O89" s="3" t="str">
        <f>IF(OR(detalhe_carro1[[#This Row],[Ultima Chegada]]=0,detalhe_carro1[[#This Row],[Chegada]]=0),"",detalhe_carro1[[#This Row],[Hora Inicio]]-detalhe_carro1[[#This Row],[Ultima Chegada]])</f>
        <v/>
      </c>
      <c r="P89" s="3">
        <f>IF(detalhe_carro1[[#This Row],[Tipo]]="Visitar Nó",((detalhe_carro1[[#This Row],[Hora Fim]]-detalhe_carro1[[#This Row],[Hora Inicio]])/60*velocidade_nos),0)</f>
        <v>0</v>
      </c>
      <c r="Q89" s="29">
        <f>detalhe_carro1[[#This Row],[Kms Nós]]+detalhe_carro1[[#This Row],[kms]]</f>
        <v>0</v>
      </c>
      <c r="S89" s="20">
        <v>2</v>
      </c>
      <c r="T89" s="20">
        <v>1</v>
      </c>
      <c r="U89" s="20">
        <v>1</v>
      </c>
      <c r="V89" s="20" t="s">
        <v>22</v>
      </c>
      <c r="W89">
        <v>728</v>
      </c>
      <c r="X89">
        <v>734</v>
      </c>
      <c r="Y89">
        <v>711</v>
      </c>
      <c r="Z89" s="7">
        <v>0.79722222222222228</v>
      </c>
      <c r="AA89" s="7">
        <v>0.80138888888888893</v>
      </c>
      <c r="AB89" s="7">
        <v>0.78541666666666665</v>
      </c>
      <c r="AC8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J89" s="18"/>
      <c r="AM89"/>
      <c r="AN89"/>
    </row>
    <row r="90" spans="2:40" x14ac:dyDescent="0.25">
      <c r="B90" s="3">
        <v>1</v>
      </c>
      <c r="C90">
        <v>2</v>
      </c>
      <c r="D90">
        <v>7</v>
      </c>
      <c r="E90" s="29" t="s">
        <v>33</v>
      </c>
      <c r="F90" s="3">
        <v>1050</v>
      </c>
      <c r="G90" s="3">
        <v>1063</v>
      </c>
      <c r="H90" s="29" t="s">
        <v>50</v>
      </c>
      <c r="I90" s="3">
        <v>0</v>
      </c>
      <c r="J90" s="7">
        <v>2.0833333333333332E-2</v>
      </c>
      <c r="K90" s="7">
        <v>2.9861111111111113E-2</v>
      </c>
      <c r="L90" s="3">
        <f t="shared" si="3"/>
        <v>0</v>
      </c>
      <c r="M90" s="3">
        <f t="shared" si="4"/>
        <v>0</v>
      </c>
      <c r="N90" s="29">
        <f>_xlfn.MAXIFS($G$7:G89,$E$7:E89,detalhe_carro1[[#This Row],[Nó]],$B$7:B89,detalhe_carro1[[#This Row],[Numero Voltas]],$L$7:L89,1)</f>
        <v>583</v>
      </c>
      <c r="O90" s="3" t="str">
        <f>IF(OR(detalhe_carro1[[#This Row],[Ultima Chegada]]=0,detalhe_carro1[[#This Row],[Chegada]]=0),"",detalhe_carro1[[#This Row],[Hora Inicio]]-detalhe_carro1[[#This Row],[Ultima Chegada]])</f>
        <v/>
      </c>
      <c r="P90" s="3">
        <f>IF(detalhe_carro1[[#This Row],[Tipo]]="Visitar Nó",((detalhe_carro1[[#This Row],[Hora Fim]]-detalhe_carro1[[#This Row],[Hora Inicio]])/60*velocidade_nos),0)</f>
        <v>6.5</v>
      </c>
      <c r="Q90" s="29">
        <f>detalhe_carro1[[#This Row],[Kms Nós]]+detalhe_carro1[[#This Row],[kms]]</f>
        <v>6.5</v>
      </c>
      <c r="S90" s="20">
        <v>2</v>
      </c>
      <c r="T90" s="20">
        <v>1</v>
      </c>
      <c r="U90" s="20">
        <v>2</v>
      </c>
      <c r="V90" s="20" t="s">
        <v>24</v>
      </c>
      <c r="W90">
        <v>741</v>
      </c>
      <c r="X90">
        <v>762</v>
      </c>
      <c r="Y90">
        <v>692</v>
      </c>
      <c r="Z90" s="7">
        <v>0.80625000000000002</v>
      </c>
      <c r="AA90" s="7">
        <v>0.8208333333333333</v>
      </c>
      <c r="AB90" s="7">
        <v>0.77222222222222225</v>
      </c>
      <c r="AC9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0.81666666666666665</v>
      </c>
      <c r="AJ90" s="18"/>
      <c r="AM90"/>
      <c r="AN90"/>
    </row>
    <row r="91" spans="2:40" x14ac:dyDescent="0.25">
      <c r="B91" s="3">
        <v>1</v>
      </c>
      <c r="C91">
        <v>2</v>
      </c>
      <c r="D91">
        <v>7</v>
      </c>
      <c r="E91" s="29" t="s">
        <v>33</v>
      </c>
      <c r="F91" s="3">
        <v>1063</v>
      </c>
      <c r="G91" s="3">
        <v>1063</v>
      </c>
      <c r="H91" s="29" t="s">
        <v>51</v>
      </c>
      <c r="I91" s="3">
        <v>0</v>
      </c>
      <c r="J91" s="7">
        <v>2.9861111111111113E-2</v>
      </c>
      <c r="K91" s="7">
        <v>2.9861111111111113E-2</v>
      </c>
      <c r="L91" s="3">
        <f t="shared" si="3"/>
        <v>1</v>
      </c>
      <c r="M91" s="3">
        <f t="shared" si="4"/>
        <v>0</v>
      </c>
      <c r="N91" s="29">
        <f>_xlfn.MAXIFS($G$7:G90,$E$7:E90,detalhe_carro1[[#This Row],[Nó]],$B$7:B90,detalhe_carro1[[#This Row],[Numero Voltas]],$L$7:L90,1)</f>
        <v>583</v>
      </c>
      <c r="O91" s="3" t="str">
        <f>IF(OR(detalhe_carro1[[#This Row],[Ultima Chegada]]=0,detalhe_carro1[[#This Row],[Chegada]]=0),"",detalhe_carro1[[#This Row],[Hora Inicio]]-detalhe_carro1[[#This Row],[Ultima Chegada]])</f>
        <v/>
      </c>
      <c r="P91" s="3">
        <f>IF(detalhe_carro1[[#This Row],[Tipo]]="Visitar Nó",((detalhe_carro1[[#This Row],[Hora Fim]]-detalhe_carro1[[#This Row],[Hora Inicio]])/60*velocidade_nos),0)</f>
        <v>0</v>
      </c>
      <c r="Q91" s="29">
        <f>detalhe_carro1[[#This Row],[Kms Nós]]+detalhe_carro1[[#This Row],[kms]]</f>
        <v>0</v>
      </c>
      <c r="S91" s="20">
        <v>2</v>
      </c>
      <c r="T91" s="20">
        <v>1</v>
      </c>
      <c r="U91" s="20">
        <v>3</v>
      </c>
      <c r="V91" s="20" t="s">
        <v>26</v>
      </c>
      <c r="W91">
        <v>763</v>
      </c>
      <c r="X91">
        <v>774</v>
      </c>
      <c r="Y91">
        <v>676</v>
      </c>
      <c r="Z91" s="7">
        <v>0.82152777777777775</v>
      </c>
      <c r="AA91" s="7">
        <v>0.82916666666666672</v>
      </c>
      <c r="AB91" s="7">
        <v>0.76111111111111107</v>
      </c>
      <c r="AC9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  <c r="AJ91" s="18"/>
      <c r="AM91"/>
      <c r="AN91"/>
    </row>
    <row r="92" spans="2:40" x14ac:dyDescent="0.25">
      <c r="B92" s="3">
        <v>1</v>
      </c>
      <c r="C92">
        <v>2</v>
      </c>
      <c r="D92">
        <v>6</v>
      </c>
      <c r="E92" s="29" t="s">
        <v>31</v>
      </c>
      <c r="F92" s="3">
        <v>1066</v>
      </c>
      <c r="G92" s="3">
        <v>1076</v>
      </c>
      <c r="H92" s="29" t="s">
        <v>297</v>
      </c>
      <c r="I92" s="3">
        <v>0</v>
      </c>
      <c r="J92" s="7">
        <v>3.1944444444444442E-2</v>
      </c>
      <c r="K92" s="7">
        <v>3.888888888888889E-2</v>
      </c>
      <c r="L92" s="3">
        <f t="shared" si="3"/>
        <v>0</v>
      </c>
      <c r="M92" s="3">
        <f t="shared" si="4"/>
        <v>1</v>
      </c>
      <c r="N92" s="29">
        <f>_xlfn.MAXIFS($G$7:G91,$E$7:E91,detalhe_carro1[[#This Row],[Nó]],$B$7:B91,detalhe_carro1[[#This Row],[Numero Voltas]],$L$7:L91,1)</f>
        <v>1000</v>
      </c>
      <c r="O92" s="3">
        <f>IF(OR(detalhe_carro1[[#This Row],[Ultima Chegada]]=0,detalhe_carro1[[#This Row],[Chegada]]=0),"",detalhe_carro1[[#This Row],[Hora Inicio]]-detalhe_carro1[[#This Row],[Ultima Chegada]])</f>
        <v>66</v>
      </c>
      <c r="P92" s="3">
        <f>IF(detalhe_carro1[[#This Row],[Tipo]]="Visitar Nó",((detalhe_carro1[[#This Row],[Hora Fim]]-detalhe_carro1[[#This Row],[Hora Inicio]])/60*velocidade_nos),0)</f>
        <v>0</v>
      </c>
      <c r="Q92" s="29">
        <f>detalhe_carro1[[#This Row],[Kms Nós]]+detalhe_carro1[[#This Row],[kms]]</f>
        <v>0</v>
      </c>
      <c r="S92" s="20">
        <v>2</v>
      </c>
      <c r="T92" s="20">
        <v>1</v>
      </c>
      <c r="U92" s="20">
        <v>4</v>
      </c>
      <c r="V92" s="20" t="s">
        <v>27</v>
      </c>
      <c r="W92">
        <v>775</v>
      </c>
      <c r="X92">
        <v>789</v>
      </c>
      <c r="Y92">
        <v>664</v>
      </c>
      <c r="Z92" s="7">
        <v>0.82986111111111116</v>
      </c>
      <c r="AA92" s="7">
        <v>0.83958333333333335</v>
      </c>
      <c r="AB92" s="7">
        <v>0.75277777777777777</v>
      </c>
      <c r="AC9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1.85</v>
      </c>
      <c r="AJ92" s="18"/>
      <c r="AM92"/>
      <c r="AN92"/>
    </row>
    <row r="93" spans="2:40" x14ac:dyDescent="0.25">
      <c r="B93" s="3">
        <v>1</v>
      </c>
      <c r="C93">
        <v>2</v>
      </c>
      <c r="D93">
        <v>6</v>
      </c>
      <c r="E93" s="29" t="s">
        <v>31</v>
      </c>
      <c r="F93" s="3">
        <v>1079</v>
      </c>
      <c r="G93" s="3">
        <v>1088</v>
      </c>
      <c r="H93" s="29" t="s">
        <v>50</v>
      </c>
      <c r="I93" s="3">
        <v>0</v>
      </c>
      <c r="J93" s="7">
        <v>4.0972222222222222E-2</v>
      </c>
      <c r="K93" s="7">
        <v>4.7222222222222221E-2</v>
      </c>
      <c r="L93" s="3">
        <f t="shared" si="3"/>
        <v>0</v>
      </c>
      <c r="M93" s="3">
        <f t="shared" si="4"/>
        <v>0</v>
      </c>
      <c r="N93" s="29">
        <f>_xlfn.MAXIFS($G$7:G92,$E$7:E92,detalhe_carro1[[#This Row],[Nó]],$B$7:B92,detalhe_carro1[[#This Row],[Numero Voltas]],$L$7:L92,1)</f>
        <v>1000</v>
      </c>
      <c r="O93" s="3" t="str">
        <f>IF(OR(detalhe_carro1[[#This Row],[Ultima Chegada]]=0,detalhe_carro1[[#This Row],[Chegada]]=0),"",detalhe_carro1[[#This Row],[Hora Inicio]]-detalhe_carro1[[#This Row],[Ultima Chegada]])</f>
        <v/>
      </c>
      <c r="P93" s="3">
        <f>IF(detalhe_carro1[[#This Row],[Tipo]]="Visitar Nó",((detalhe_carro1[[#This Row],[Hora Fim]]-detalhe_carro1[[#This Row],[Hora Inicio]])/60*velocidade_nos),0)</f>
        <v>4.5</v>
      </c>
      <c r="Q93" s="29">
        <f>detalhe_carro1[[#This Row],[Kms Nós]]+detalhe_carro1[[#This Row],[kms]]</f>
        <v>4.5</v>
      </c>
      <c r="S93" s="20">
        <v>2</v>
      </c>
      <c r="T93" s="20">
        <v>1</v>
      </c>
      <c r="U93" s="20">
        <v>5</v>
      </c>
      <c r="V93" s="20" t="s">
        <v>29</v>
      </c>
      <c r="W93">
        <v>792</v>
      </c>
      <c r="X93">
        <v>836</v>
      </c>
      <c r="Y93">
        <v>645</v>
      </c>
      <c r="Z93" s="7">
        <v>0.84166666666666667</v>
      </c>
      <c r="AA93" s="7">
        <v>0.87222222222222223</v>
      </c>
      <c r="AB93" s="7">
        <v>0.73958333333333337</v>
      </c>
      <c r="AC9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2.4500000000000002</v>
      </c>
      <c r="AJ93" s="18"/>
      <c r="AM93"/>
      <c r="AN93"/>
    </row>
    <row r="94" spans="2:40" x14ac:dyDescent="0.25">
      <c r="B94" s="3">
        <v>1</v>
      </c>
      <c r="C94">
        <v>2</v>
      </c>
      <c r="D94">
        <v>6</v>
      </c>
      <c r="E94" s="29" t="s">
        <v>31</v>
      </c>
      <c r="F94" s="3">
        <v>1091</v>
      </c>
      <c r="G94" s="3">
        <v>1091</v>
      </c>
      <c r="H94" s="29" t="s">
        <v>51</v>
      </c>
      <c r="I94" s="3">
        <v>3</v>
      </c>
      <c r="J94" s="7">
        <v>4.9305555555555554E-2</v>
      </c>
      <c r="K94" s="7">
        <v>4.9305555555555554E-2</v>
      </c>
      <c r="L94" s="3">
        <f t="shared" si="3"/>
        <v>1</v>
      </c>
      <c r="M94" s="3">
        <f t="shared" si="4"/>
        <v>0</v>
      </c>
      <c r="N94" s="29">
        <f>_xlfn.MAXIFS($G$7:G93,$E$7:E93,detalhe_carro1[[#This Row],[Nó]],$B$7:B93,detalhe_carro1[[#This Row],[Numero Voltas]],$L$7:L93,1)</f>
        <v>1000</v>
      </c>
      <c r="O94" s="3" t="str">
        <f>IF(OR(detalhe_carro1[[#This Row],[Ultima Chegada]]=0,detalhe_carro1[[#This Row],[Chegada]]=0),"",detalhe_carro1[[#This Row],[Hora Inicio]]-detalhe_carro1[[#This Row],[Ultima Chegada]])</f>
        <v/>
      </c>
      <c r="P94" s="3">
        <f>IF(detalhe_carro1[[#This Row],[Tipo]]="Visitar Nó",((detalhe_carro1[[#This Row],[Hora Fim]]-detalhe_carro1[[#This Row],[Hora Inicio]])/60*velocidade_nos),0)</f>
        <v>0</v>
      </c>
      <c r="Q94" s="29">
        <f>detalhe_carro1[[#This Row],[Kms Nós]]+detalhe_carro1[[#This Row],[kms]]</f>
        <v>3</v>
      </c>
      <c r="S94" s="20">
        <v>2</v>
      </c>
      <c r="T94" s="20">
        <v>1</v>
      </c>
      <c r="U94" s="20">
        <v>6</v>
      </c>
      <c r="V94" s="20" t="s">
        <v>31</v>
      </c>
      <c r="W94">
        <v>839</v>
      </c>
      <c r="X94">
        <v>851</v>
      </c>
      <c r="Y94">
        <v>611</v>
      </c>
      <c r="Z94" s="7">
        <v>0.87430555555555556</v>
      </c>
      <c r="AA94" s="7">
        <v>0.88263888888888886</v>
      </c>
      <c r="AB94" s="7">
        <v>0.71597222222222223</v>
      </c>
      <c r="AC9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3.8</v>
      </c>
      <c r="AJ94" s="18"/>
      <c r="AM94"/>
      <c r="AN94"/>
    </row>
    <row r="95" spans="2:40" x14ac:dyDescent="0.25">
      <c r="B95" s="3">
        <v>1</v>
      </c>
      <c r="C95">
        <v>2</v>
      </c>
      <c r="D95">
        <v>5</v>
      </c>
      <c r="E95" s="29" t="s">
        <v>29</v>
      </c>
      <c r="F95" s="3">
        <v>1094</v>
      </c>
      <c r="G95" s="3">
        <v>1122</v>
      </c>
      <c r="H95" s="29" t="s">
        <v>50</v>
      </c>
      <c r="I95" s="3">
        <v>0</v>
      </c>
      <c r="J95" s="7">
        <v>5.1388888888888887E-2</v>
      </c>
      <c r="K95" s="7">
        <v>7.0833333333333331E-2</v>
      </c>
      <c r="L95" s="3">
        <f t="shared" si="3"/>
        <v>0</v>
      </c>
      <c r="M95" s="3">
        <f t="shared" si="4"/>
        <v>1</v>
      </c>
      <c r="N95" s="29">
        <f>_xlfn.MAXIFS($G$7:G94,$E$7:E94,detalhe_carro1[[#This Row],[Nó]],$B$7:B94,detalhe_carro1[[#This Row],[Numero Voltas]],$L$7:L94,1)</f>
        <v>907</v>
      </c>
      <c r="O95" s="3">
        <f>IF(OR(detalhe_carro1[[#This Row],[Ultima Chegada]]=0,detalhe_carro1[[#This Row],[Chegada]]=0),"",detalhe_carro1[[#This Row],[Hora Inicio]]-detalhe_carro1[[#This Row],[Ultima Chegada]])</f>
        <v>187</v>
      </c>
      <c r="P95" s="3">
        <f>IF(detalhe_carro1[[#This Row],[Tipo]]="Visitar Nó",((detalhe_carro1[[#This Row],[Hora Fim]]-detalhe_carro1[[#This Row],[Hora Inicio]])/60*velocidade_nos),0)</f>
        <v>14</v>
      </c>
      <c r="Q95" s="29">
        <f>detalhe_carro1[[#This Row],[Kms Nós]]+detalhe_carro1[[#This Row],[kms]]</f>
        <v>14</v>
      </c>
      <c r="S95" s="20">
        <v>2</v>
      </c>
      <c r="T95" s="20">
        <v>1</v>
      </c>
      <c r="U95" s="20">
        <v>7</v>
      </c>
      <c r="V95" s="20" t="s">
        <v>33</v>
      </c>
      <c r="W95">
        <v>854</v>
      </c>
      <c r="X95">
        <v>854</v>
      </c>
      <c r="Y95">
        <v>583</v>
      </c>
      <c r="Z95" s="7">
        <v>0.88472222222222219</v>
      </c>
      <c r="AA95" s="7">
        <v>0.88472222222222219</v>
      </c>
      <c r="AB95" s="7">
        <v>0.69652777777777775</v>
      </c>
      <c r="AC9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4.5166666666666666</v>
      </c>
      <c r="AJ95" s="18"/>
      <c r="AM95"/>
      <c r="AN95"/>
    </row>
    <row r="96" spans="2:40" x14ac:dyDescent="0.25">
      <c r="B96" s="3">
        <v>1</v>
      </c>
      <c r="C96">
        <v>2</v>
      </c>
      <c r="D96">
        <v>5</v>
      </c>
      <c r="E96" s="29" t="s">
        <v>29</v>
      </c>
      <c r="F96" s="3">
        <v>1125</v>
      </c>
      <c r="G96" s="3">
        <v>1125</v>
      </c>
      <c r="H96" s="29" t="s">
        <v>51</v>
      </c>
      <c r="I96" s="3">
        <v>3</v>
      </c>
      <c r="J96" s="7">
        <v>7.2916666666666671E-2</v>
      </c>
      <c r="K96" s="7">
        <v>7.2916666666666671E-2</v>
      </c>
      <c r="L96" s="3">
        <f t="shared" si="3"/>
        <v>1</v>
      </c>
      <c r="M96" s="3">
        <f t="shared" si="4"/>
        <v>0</v>
      </c>
      <c r="N96" s="29">
        <f>_xlfn.MAXIFS($G$7:G95,$E$7:E95,detalhe_carro1[[#This Row],[Nó]],$B$7:B95,detalhe_carro1[[#This Row],[Numero Voltas]],$L$7:L95,1)</f>
        <v>907</v>
      </c>
      <c r="O96" s="3" t="str">
        <f>IF(OR(detalhe_carro1[[#This Row],[Ultima Chegada]]=0,detalhe_carro1[[#This Row],[Chegada]]=0),"",detalhe_carro1[[#This Row],[Hora Inicio]]-detalhe_carro1[[#This Row],[Ultima Chegada]])</f>
        <v/>
      </c>
      <c r="P96" s="3">
        <f>IF(detalhe_carro1[[#This Row],[Tipo]]="Visitar Nó",((detalhe_carro1[[#This Row],[Hora Fim]]-detalhe_carro1[[#This Row],[Hora Inicio]])/60*velocidade_nos),0)</f>
        <v>0</v>
      </c>
      <c r="Q96" s="29">
        <f>detalhe_carro1[[#This Row],[Kms Nós]]+detalhe_carro1[[#This Row],[kms]]</f>
        <v>3</v>
      </c>
      <c r="S96" s="20">
        <v>2</v>
      </c>
      <c r="T96" s="20">
        <v>1</v>
      </c>
      <c r="U96" s="20">
        <v>6</v>
      </c>
      <c r="V96" s="20" t="s">
        <v>31</v>
      </c>
      <c r="W96">
        <v>857</v>
      </c>
      <c r="X96">
        <v>857</v>
      </c>
      <c r="Y96">
        <v>851</v>
      </c>
      <c r="Z96" s="7">
        <v>0.88680555555555551</v>
      </c>
      <c r="AA96" s="7">
        <v>0.88680555555555551</v>
      </c>
      <c r="AB96" s="7">
        <v>0.88263888888888886</v>
      </c>
      <c r="AC9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  <c r="AJ96" s="18"/>
      <c r="AM96"/>
      <c r="AN96"/>
    </row>
    <row r="97" spans="2:40" x14ac:dyDescent="0.25">
      <c r="B97" s="3">
        <v>1</v>
      </c>
      <c r="C97">
        <v>2</v>
      </c>
      <c r="D97">
        <v>4</v>
      </c>
      <c r="E97" s="29" t="s">
        <v>27</v>
      </c>
      <c r="F97" s="3">
        <v>1128</v>
      </c>
      <c r="G97" s="3">
        <v>1141</v>
      </c>
      <c r="H97" s="29" t="s">
        <v>50</v>
      </c>
      <c r="I97" s="3">
        <v>0</v>
      </c>
      <c r="J97" s="7">
        <v>7.4999999999999997E-2</v>
      </c>
      <c r="K97" s="7">
        <v>8.4027777777777785E-2</v>
      </c>
      <c r="L97" s="3">
        <f t="shared" si="3"/>
        <v>0</v>
      </c>
      <c r="M97" s="3">
        <f t="shared" si="4"/>
        <v>1</v>
      </c>
      <c r="N97" s="29">
        <f>_xlfn.MAXIFS($G$7:G96,$E$7:E96,detalhe_carro1[[#This Row],[Nó]],$B$7:B96,detalhe_carro1[[#This Row],[Numero Voltas]],$L$7:L96,1)</f>
        <v>860</v>
      </c>
      <c r="O97" s="3">
        <f>IF(OR(detalhe_carro1[[#This Row],[Ultima Chegada]]=0,detalhe_carro1[[#This Row],[Chegada]]=0),"",detalhe_carro1[[#This Row],[Hora Inicio]]-detalhe_carro1[[#This Row],[Ultima Chegada]])</f>
        <v>268</v>
      </c>
      <c r="P97" s="3">
        <f>IF(detalhe_carro1[[#This Row],[Tipo]]="Visitar Nó",((detalhe_carro1[[#This Row],[Hora Fim]]-detalhe_carro1[[#This Row],[Hora Inicio]])/60*velocidade_nos),0)</f>
        <v>6.5</v>
      </c>
      <c r="Q97" s="29">
        <f>detalhe_carro1[[#This Row],[Kms Nós]]+detalhe_carro1[[#This Row],[kms]]</f>
        <v>6.5</v>
      </c>
      <c r="S97" s="20">
        <v>2</v>
      </c>
      <c r="T97" s="20">
        <v>1</v>
      </c>
      <c r="U97" s="20">
        <v>5</v>
      </c>
      <c r="V97" s="20" t="s">
        <v>29</v>
      </c>
      <c r="W97">
        <v>860</v>
      </c>
      <c r="X97">
        <v>860</v>
      </c>
      <c r="Y97">
        <v>836</v>
      </c>
      <c r="Z97" s="7">
        <v>0.88888888888888884</v>
      </c>
      <c r="AA97" s="7">
        <v>0.88888888888888884</v>
      </c>
      <c r="AB97" s="7">
        <v>0.87222222222222223</v>
      </c>
      <c r="AC9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</v>
      </c>
      <c r="AJ97" s="18"/>
      <c r="AM97"/>
      <c r="AN97"/>
    </row>
    <row r="98" spans="2:40" x14ac:dyDescent="0.25">
      <c r="B98" s="3">
        <v>1</v>
      </c>
      <c r="C98">
        <v>2</v>
      </c>
      <c r="D98">
        <v>4</v>
      </c>
      <c r="E98" s="29" t="s">
        <v>27</v>
      </c>
      <c r="F98" s="3">
        <v>1144</v>
      </c>
      <c r="G98" s="3">
        <v>1144</v>
      </c>
      <c r="H98" s="29" t="s">
        <v>51</v>
      </c>
      <c r="I98" s="3">
        <v>3</v>
      </c>
      <c r="J98" s="7">
        <v>8.611111111111111E-2</v>
      </c>
      <c r="K98" s="7">
        <v>8.611111111111111E-2</v>
      </c>
      <c r="L98" s="3">
        <f t="shared" si="3"/>
        <v>1</v>
      </c>
      <c r="M98" s="3">
        <f t="shared" si="4"/>
        <v>0</v>
      </c>
      <c r="N98" s="29">
        <f>_xlfn.MAXIFS($G$7:G97,$E$7:E97,detalhe_carro1[[#This Row],[Nó]],$B$7:B97,detalhe_carro1[[#This Row],[Numero Voltas]],$L$7:L97,1)</f>
        <v>860</v>
      </c>
      <c r="O98" s="3" t="str">
        <f>IF(OR(detalhe_carro1[[#This Row],[Ultima Chegada]]=0,detalhe_carro1[[#This Row],[Chegada]]=0),"",detalhe_carro1[[#This Row],[Hora Inicio]]-detalhe_carro1[[#This Row],[Ultima Chegada]])</f>
        <v/>
      </c>
      <c r="P98" s="3">
        <f>IF(detalhe_carro1[[#This Row],[Tipo]]="Visitar Nó",((detalhe_carro1[[#This Row],[Hora Fim]]-detalhe_carro1[[#This Row],[Hora Inicio]])/60*velocidade_nos),0)</f>
        <v>0</v>
      </c>
      <c r="Q98" s="29">
        <f>detalhe_carro1[[#This Row],[Kms Nós]]+detalhe_carro1[[#This Row],[kms]]</f>
        <v>3</v>
      </c>
      <c r="S98" s="20">
        <v>2</v>
      </c>
      <c r="T98" s="20">
        <v>1</v>
      </c>
      <c r="U98" s="20">
        <v>4</v>
      </c>
      <c r="V98" s="20" t="s">
        <v>27</v>
      </c>
      <c r="W98">
        <v>863</v>
      </c>
      <c r="X98">
        <v>863</v>
      </c>
      <c r="Y98">
        <v>789</v>
      </c>
      <c r="Z98" s="7">
        <v>0.89097222222222228</v>
      </c>
      <c r="AA98" s="7">
        <v>0.89097222222222228</v>
      </c>
      <c r="AB98" s="7">
        <v>0.83958333333333335</v>
      </c>
      <c r="AC9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1.2333333333333334</v>
      </c>
      <c r="AJ98" s="18"/>
      <c r="AM98"/>
      <c r="AN98"/>
    </row>
    <row r="99" spans="2:40" x14ac:dyDescent="0.25">
      <c r="B99" s="3">
        <v>1</v>
      </c>
      <c r="C99">
        <v>2</v>
      </c>
      <c r="D99">
        <v>3</v>
      </c>
      <c r="E99" s="29" t="s">
        <v>26</v>
      </c>
      <c r="F99" s="3">
        <v>1145</v>
      </c>
      <c r="G99" s="3">
        <v>1155</v>
      </c>
      <c r="H99" s="29" t="s">
        <v>50</v>
      </c>
      <c r="I99" s="3">
        <v>0</v>
      </c>
      <c r="J99" s="7">
        <v>8.6805555555555552E-2</v>
      </c>
      <c r="K99" s="7">
        <v>9.375E-2</v>
      </c>
      <c r="L99" s="3">
        <f t="shared" si="3"/>
        <v>0</v>
      </c>
      <c r="M99" s="3">
        <f t="shared" si="4"/>
        <v>1</v>
      </c>
      <c r="N99" s="29">
        <f>_xlfn.MAXIFS($G$7:G98,$E$7:E98,detalhe_carro1[[#This Row],[Nó]],$B$7:B98,detalhe_carro1[[#This Row],[Numero Voltas]],$L$7:L98,1)</f>
        <v>845</v>
      </c>
      <c r="O99" s="3">
        <f>IF(OR(detalhe_carro1[[#This Row],[Ultima Chegada]]=0,detalhe_carro1[[#This Row],[Chegada]]=0),"",detalhe_carro1[[#This Row],[Hora Inicio]]-detalhe_carro1[[#This Row],[Ultima Chegada]])</f>
        <v>300</v>
      </c>
      <c r="P99" s="3">
        <f>IF(detalhe_carro1[[#This Row],[Tipo]]="Visitar Nó",((detalhe_carro1[[#This Row],[Hora Fim]]-detalhe_carro1[[#This Row],[Hora Inicio]])/60*velocidade_nos),0)</f>
        <v>5</v>
      </c>
      <c r="Q99" s="29">
        <f>detalhe_carro1[[#This Row],[Kms Nós]]+detalhe_carro1[[#This Row],[kms]]</f>
        <v>5</v>
      </c>
      <c r="S99" s="20">
        <v>2</v>
      </c>
      <c r="T99" s="20">
        <v>1</v>
      </c>
      <c r="U99" s="20">
        <v>3</v>
      </c>
      <c r="V99" s="20" t="s">
        <v>26</v>
      </c>
      <c r="W99">
        <v>864</v>
      </c>
      <c r="X99">
        <v>864</v>
      </c>
      <c r="Y99">
        <v>774</v>
      </c>
      <c r="Z99" s="7">
        <v>0.89166666666666672</v>
      </c>
      <c r="AA99" s="7">
        <v>0.89166666666666672</v>
      </c>
      <c r="AB99" s="7">
        <v>0.82916666666666672</v>
      </c>
      <c r="AC9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</v>
      </c>
      <c r="AJ99" s="18"/>
      <c r="AM99"/>
      <c r="AN99"/>
    </row>
    <row r="100" spans="2:40" x14ac:dyDescent="0.25">
      <c r="B100" s="3">
        <v>1</v>
      </c>
      <c r="C100">
        <v>2</v>
      </c>
      <c r="D100">
        <v>3</v>
      </c>
      <c r="E100" s="29" t="s">
        <v>26</v>
      </c>
      <c r="F100" s="3">
        <v>1156</v>
      </c>
      <c r="G100" s="3">
        <v>1156</v>
      </c>
      <c r="H100" s="29" t="s">
        <v>51</v>
      </c>
      <c r="I100" s="3">
        <v>1</v>
      </c>
      <c r="J100" s="7">
        <v>9.4444444444444442E-2</v>
      </c>
      <c r="K100" s="7">
        <v>9.4444444444444442E-2</v>
      </c>
      <c r="L100" s="3">
        <f t="shared" si="3"/>
        <v>1</v>
      </c>
      <c r="M100" s="3">
        <f t="shared" si="4"/>
        <v>0</v>
      </c>
      <c r="N100" s="29">
        <f>_xlfn.MAXIFS($G$7:G99,$E$7:E99,detalhe_carro1[[#This Row],[Nó]],$B$7:B99,detalhe_carro1[[#This Row],[Numero Voltas]],$L$7:L99,1)</f>
        <v>845</v>
      </c>
      <c r="O100" s="3" t="str">
        <f>IF(OR(detalhe_carro1[[#This Row],[Ultima Chegada]]=0,detalhe_carro1[[#This Row],[Chegada]]=0),"",detalhe_carro1[[#This Row],[Hora Inicio]]-detalhe_carro1[[#This Row],[Ultima Chegada]])</f>
        <v/>
      </c>
      <c r="P100" s="3">
        <f>IF(detalhe_carro1[[#This Row],[Tipo]]="Visitar Nó",((detalhe_carro1[[#This Row],[Hora Fim]]-detalhe_carro1[[#This Row],[Hora Inicio]])/60*velocidade_nos),0)</f>
        <v>0</v>
      </c>
      <c r="Q100" s="29">
        <f>detalhe_carro1[[#This Row],[Kms Nós]]+detalhe_carro1[[#This Row],[kms]]</f>
        <v>1</v>
      </c>
      <c r="S100" s="20">
        <v>2</v>
      </c>
      <c r="T100" s="20">
        <v>1</v>
      </c>
      <c r="U100" s="20">
        <v>2</v>
      </c>
      <c r="V100" s="20" t="s">
        <v>24</v>
      </c>
      <c r="W100">
        <v>865</v>
      </c>
      <c r="X100">
        <v>865</v>
      </c>
      <c r="Y100">
        <v>762</v>
      </c>
      <c r="Z100" s="7">
        <v>0.89236111111111116</v>
      </c>
      <c r="AA100" s="7">
        <v>0.89236111111111116</v>
      </c>
      <c r="AB100" s="7">
        <v>0.8208333333333333</v>
      </c>
      <c r="AC10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  <c r="AJ100" s="18"/>
      <c r="AM100"/>
      <c r="AN100"/>
    </row>
    <row r="101" spans="2:40" x14ac:dyDescent="0.25">
      <c r="B101" s="3">
        <v>1</v>
      </c>
      <c r="C101">
        <v>2</v>
      </c>
      <c r="D101">
        <v>2</v>
      </c>
      <c r="E101" s="29" t="s">
        <v>24</v>
      </c>
      <c r="F101" s="3">
        <v>1157</v>
      </c>
      <c r="G101" s="3">
        <v>1171</v>
      </c>
      <c r="H101" s="29" t="s">
        <v>50</v>
      </c>
      <c r="I101" s="3">
        <v>0</v>
      </c>
      <c r="J101" s="7">
        <v>9.5138888888888884E-2</v>
      </c>
      <c r="K101" s="7">
        <v>0.10486111111111111</v>
      </c>
      <c r="L101" s="3">
        <f t="shared" si="3"/>
        <v>0</v>
      </c>
      <c r="M101" s="3">
        <f t="shared" si="4"/>
        <v>1</v>
      </c>
      <c r="N101" s="29">
        <f>_xlfn.MAXIFS($G$7:G100,$E$7:E100,detalhe_carro1[[#This Row],[Nó]],$B$7:B100,detalhe_carro1[[#This Row],[Numero Voltas]],$L$7:L100,1)</f>
        <v>833</v>
      </c>
      <c r="O101" s="3">
        <f>IF(OR(detalhe_carro1[[#This Row],[Ultima Chegada]]=0,detalhe_carro1[[#This Row],[Chegada]]=0),"",detalhe_carro1[[#This Row],[Hora Inicio]]-detalhe_carro1[[#This Row],[Ultima Chegada]])</f>
        <v>324</v>
      </c>
      <c r="P101" s="3">
        <f>IF(detalhe_carro1[[#This Row],[Tipo]]="Visitar Nó",((detalhe_carro1[[#This Row],[Hora Fim]]-detalhe_carro1[[#This Row],[Hora Inicio]])/60*velocidade_nos),0)</f>
        <v>7</v>
      </c>
      <c r="Q101" s="29">
        <f>detalhe_carro1[[#This Row],[Kms Nós]]+detalhe_carro1[[#This Row],[kms]]</f>
        <v>7</v>
      </c>
      <c r="S101" s="20">
        <v>2</v>
      </c>
      <c r="T101" s="20">
        <v>1</v>
      </c>
      <c r="U101" s="20">
        <v>1</v>
      </c>
      <c r="V101" s="20" t="s">
        <v>22</v>
      </c>
      <c r="W101">
        <v>872</v>
      </c>
      <c r="X101">
        <v>872</v>
      </c>
      <c r="Y101">
        <v>734</v>
      </c>
      <c r="Z101" s="7">
        <v>0.89722222222222225</v>
      </c>
      <c r="AA101" s="7">
        <v>0.89722222222222225</v>
      </c>
      <c r="AB101" s="7">
        <v>0.80138888888888893</v>
      </c>
      <c r="AC10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2.2999999999999998</v>
      </c>
      <c r="AJ101" s="18"/>
      <c r="AM101"/>
      <c r="AN101"/>
    </row>
    <row r="102" spans="2:40" x14ac:dyDescent="0.25">
      <c r="B102" s="3">
        <v>1</v>
      </c>
      <c r="C102">
        <v>2</v>
      </c>
      <c r="D102">
        <v>2</v>
      </c>
      <c r="E102" s="29" t="s">
        <v>24</v>
      </c>
      <c r="F102" s="3">
        <v>1172</v>
      </c>
      <c r="G102" s="3">
        <v>1172</v>
      </c>
      <c r="H102" s="29" t="s">
        <v>51</v>
      </c>
      <c r="I102" s="3">
        <v>1</v>
      </c>
      <c r="J102" s="7">
        <v>0.10555555555555556</v>
      </c>
      <c r="K102" s="7">
        <v>0.10555555555555556</v>
      </c>
      <c r="L102" s="3">
        <f t="shared" si="3"/>
        <v>1</v>
      </c>
      <c r="M102" s="3">
        <f t="shared" si="4"/>
        <v>0</v>
      </c>
      <c r="N102" s="29">
        <f>_xlfn.MAXIFS($G$7:G101,$E$7:E101,detalhe_carro1[[#This Row],[Nó]],$B$7:B101,detalhe_carro1[[#This Row],[Numero Voltas]],$L$7:L101,1)</f>
        <v>833</v>
      </c>
      <c r="O102" s="3" t="str">
        <f>IF(OR(detalhe_carro1[[#This Row],[Ultima Chegada]]=0,detalhe_carro1[[#This Row],[Chegada]]=0),"",detalhe_carro1[[#This Row],[Hora Inicio]]-detalhe_carro1[[#This Row],[Ultima Chegada]])</f>
        <v/>
      </c>
      <c r="P102" s="3">
        <f>IF(detalhe_carro1[[#This Row],[Tipo]]="Visitar Nó",((detalhe_carro1[[#This Row],[Hora Fim]]-detalhe_carro1[[#This Row],[Hora Inicio]])/60*velocidade_nos),0)</f>
        <v>0</v>
      </c>
      <c r="Q102" s="29">
        <f>detalhe_carro1[[#This Row],[Kms Nós]]+detalhe_carro1[[#This Row],[kms]]</f>
        <v>1</v>
      </c>
      <c r="S102" s="20">
        <v>2</v>
      </c>
      <c r="T102" s="20">
        <v>1</v>
      </c>
      <c r="U102" s="20">
        <v>0</v>
      </c>
      <c r="V102" s="20" t="s">
        <v>20</v>
      </c>
      <c r="W102">
        <v>873</v>
      </c>
      <c r="X102">
        <v>873</v>
      </c>
      <c r="Y102">
        <v>727</v>
      </c>
      <c r="Z102" s="7">
        <v>0.8979166666666667</v>
      </c>
      <c r="AA102" s="7">
        <v>0.8979166666666667</v>
      </c>
      <c r="AB102" s="7">
        <v>0.79652777777777772</v>
      </c>
      <c r="AC10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2.4333333333333331</v>
      </c>
      <c r="AJ102" s="18"/>
      <c r="AM102"/>
      <c r="AN102"/>
    </row>
    <row r="103" spans="2:40" x14ac:dyDescent="0.25">
      <c r="B103" s="3">
        <v>1</v>
      </c>
      <c r="C103">
        <v>2</v>
      </c>
      <c r="D103">
        <v>1</v>
      </c>
      <c r="E103" s="29" t="s">
        <v>22</v>
      </c>
      <c r="F103" s="3">
        <v>1179</v>
      </c>
      <c r="G103" s="3">
        <v>1184</v>
      </c>
      <c r="H103" s="29" t="s">
        <v>50</v>
      </c>
      <c r="I103" s="3">
        <v>0</v>
      </c>
      <c r="J103" s="7">
        <v>0.11041666666666666</v>
      </c>
      <c r="K103" s="7">
        <v>0.11388888888888889</v>
      </c>
      <c r="L103" s="3">
        <f t="shared" si="3"/>
        <v>0</v>
      </c>
      <c r="M103" s="3">
        <f t="shared" si="4"/>
        <v>1</v>
      </c>
      <c r="N103" s="29">
        <f>_xlfn.MAXIFS($G$7:G102,$E$7:E102,detalhe_carro1[[#This Row],[Nó]],$B$7:B102,detalhe_carro1[[#This Row],[Numero Voltas]],$L$7:L102,1)</f>
        <v>805</v>
      </c>
      <c r="O103" s="3">
        <f>IF(OR(detalhe_carro1[[#This Row],[Ultima Chegada]]=0,detalhe_carro1[[#This Row],[Chegada]]=0),"",detalhe_carro1[[#This Row],[Hora Inicio]]-detalhe_carro1[[#This Row],[Ultima Chegada]])</f>
        <v>374</v>
      </c>
      <c r="P103" s="3">
        <f>IF(detalhe_carro1[[#This Row],[Tipo]]="Visitar Nó",((detalhe_carro1[[#This Row],[Hora Fim]]-detalhe_carro1[[#This Row],[Hora Inicio]])/60*velocidade_nos),0)</f>
        <v>2.5</v>
      </c>
      <c r="Q103" s="29">
        <f>detalhe_carro1[[#This Row],[Kms Nós]]+detalhe_carro1[[#This Row],[kms]]</f>
        <v>2.5</v>
      </c>
      <c r="S103" s="20">
        <v>2</v>
      </c>
      <c r="T103" s="20">
        <v>1</v>
      </c>
      <c r="U103" s="20">
        <v>1</v>
      </c>
      <c r="V103" s="20" t="s">
        <v>22</v>
      </c>
      <c r="W103">
        <v>874</v>
      </c>
      <c r="X103">
        <v>954</v>
      </c>
      <c r="Y103">
        <v>872</v>
      </c>
      <c r="Z103" s="7">
        <v>0.89861111111111114</v>
      </c>
      <c r="AA103" s="7">
        <v>0.95416666666666672</v>
      </c>
      <c r="AB103" s="7">
        <v>0.89722222222222225</v>
      </c>
      <c r="AC10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103" s="18"/>
      <c r="AM103"/>
      <c r="AN103"/>
    </row>
    <row r="104" spans="2:40" x14ac:dyDescent="0.25">
      <c r="B104" s="3">
        <v>1</v>
      </c>
      <c r="C104">
        <v>2</v>
      </c>
      <c r="D104">
        <v>1</v>
      </c>
      <c r="E104" s="29" t="s">
        <v>22</v>
      </c>
      <c r="F104" s="3">
        <v>1191</v>
      </c>
      <c r="G104" s="3">
        <v>1191</v>
      </c>
      <c r="H104" s="29" t="s">
        <v>51</v>
      </c>
      <c r="I104" s="3">
        <v>7</v>
      </c>
      <c r="J104" s="7">
        <v>0.11874999999999999</v>
      </c>
      <c r="K104" s="7">
        <v>0.11874999999999999</v>
      </c>
      <c r="L104" s="3">
        <f t="shared" si="3"/>
        <v>1</v>
      </c>
      <c r="M104" s="3">
        <f t="shared" si="4"/>
        <v>0</v>
      </c>
      <c r="N104" s="29">
        <f>_xlfn.MAXIFS($G$7:G103,$E$7:E103,detalhe_carro1[[#This Row],[Nó]],$B$7:B103,detalhe_carro1[[#This Row],[Numero Voltas]],$L$7:L103,1)</f>
        <v>805</v>
      </c>
      <c r="O104" s="3" t="str">
        <f>IF(OR(detalhe_carro1[[#This Row],[Ultima Chegada]]=0,detalhe_carro1[[#This Row],[Chegada]]=0),"",detalhe_carro1[[#This Row],[Hora Inicio]]-detalhe_carro1[[#This Row],[Ultima Chegada]])</f>
        <v/>
      </c>
      <c r="P104" s="3">
        <f>IF(detalhe_carro1[[#This Row],[Tipo]]="Visitar Nó",((detalhe_carro1[[#This Row],[Hora Fim]]-detalhe_carro1[[#This Row],[Hora Inicio]])/60*velocidade_nos),0)</f>
        <v>0</v>
      </c>
      <c r="Q104" s="29">
        <f>detalhe_carro1[[#This Row],[Kms Nós]]+detalhe_carro1[[#This Row],[kms]]</f>
        <v>7</v>
      </c>
      <c r="S104" s="20">
        <v>2</v>
      </c>
      <c r="T104" s="20">
        <v>1</v>
      </c>
      <c r="U104" s="20">
        <v>2</v>
      </c>
      <c r="V104" s="20" t="s">
        <v>24</v>
      </c>
      <c r="W104">
        <v>961</v>
      </c>
      <c r="X104">
        <v>961</v>
      </c>
      <c r="Y104">
        <v>865</v>
      </c>
      <c r="Z104" s="7">
        <v>0.95902777777777781</v>
      </c>
      <c r="AA104" s="7">
        <v>0.95902777777777781</v>
      </c>
      <c r="AB104" s="7">
        <v>0.89236111111111116</v>
      </c>
      <c r="AC10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1.6</v>
      </c>
      <c r="AJ104" s="18"/>
      <c r="AM104"/>
      <c r="AN104"/>
    </row>
    <row r="105" spans="2:40" x14ac:dyDescent="0.25">
      <c r="B105" s="3">
        <v>1</v>
      </c>
      <c r="C105">
        <v>2</v>
      </c>
      <c r="D105">
        <v>0</v>
      </c>
      <c r="E105" s="29" t="s">
        <v>20</v>
      </c>
      <c r="F105" s="3">
        <v>1192</v>
      </c>
      <c r="G105" s="3">
        <v>1192</v>
      </c>
      <c r="H105" s="29" t="s">
        <v>51</v>
      </c>
      <c r="I105" s="3">
        <v>1</v>
      </c>
      <c r="J105" s="7">
        <v>0.11944444444444445</v>
      </c>
      <c r="K105" s="7">
        <v>0.11944444444444445</v>
      </c>
      <c r="L105" s="3">
        <f t="shared" si="3"/>
        <v>0</v>
      </c>
      <c r="M105" s="3">
        <f t="shared" si="4"/>
        <v>1</v>
      </c>
      <c r="N105" s="29">
        <f>_xlfn.MAXIFS($G$7:G104,$E$7:E104,detalhe_carro1[[#This Row],[Nó]],$B$7:B104,detalhe_carro1[[#This Row],[Numero Voltas]],$L$7:L104,1)</f>
        <v>727</v>
      </c>
      <c r="O105" s="3">
        <f>IF(OR(detalhe_carro1[[#This Row],[Ultima Chegada]]=0,detalhe_carro1[[#This Row],[Chegada]]=0),"",detalhe_carro1[[#This Row],[Hora Inicio]]-detalhe_carro1[[#This Row],[Ultima Chegada]])</f>
        <v>465</v>
      </c>
      <c r="P105" s="3">
        <f>IF(detalhe_carro1[[#This Row],[Tipo]]="Visitar Nó",((detalhe_carro1[[#This Row],[Hora Fim]]-detalhe_carro1[[#This Row],[Hora Inicio]])/60*velocidade_nos),0)</f>
        <v>0</v>
      </c>
      <c r="Q105" s="29">
        <f>detalhe_carro1[[#This Row],[Kms Nós]]+detalhe_carro1[[#This Row],[kms]]</f>
        <v>1</v>
      </c>
      <c r="S105" s="20">
        <v>2</v>
      </c>
      <c r="T105" s="20">
        <v>1</v>
      </c>
      <c r="U105" s="20">
        <v>3</v>
      </c>
      <c r="V105" s="20" t="s">
        <v>26</v>
      </c>
      <c r="W105">
        <v>962</v>
      </c>
      <c r="X105">
        <v>962</v>
      </c>
      <c r="Y105">
        <v>864</v>
      </c>
      <c r="Z105" s="7">
        <v>0.95972222222222225</v>
      </c>
      <c r="AA105" s="7">
        <v>0.95972222222222225</v>
      </c>
      <c r="AB105" s="7">
        <v>0.89166666666666672</v>
      </c>
      <c r="AC10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1.6333333333333333</v>
      </c>
      <c r="AJ105" s="18"/>
      <c r="AM105"/>
      <c r="AN105"/>
    </row>
    <row r="106" spans="2:40" x14ac:dyDescent="0.25">
      <c r="B106" s="3">
        <v>1</v>
      </c>
      <c r="C106">
        <v>2</v>
      </c>
      <c r="D106">
        <v>0</v>
      </c>
      <c r="E106" s="29" t="s">
        <v>20</v>
      </c>
      <c r="F106" s="3">
        <v>1192</v>
      </c>
      <c r="G106" s="3">
        <v>1207</v>
      </c>
      <c r="H106" s="29" t="s">
        <v>50</v>
      </c>
      <c r="I106" s="3">
        <v>0</v>
      </c>
      <c r="J106" s="7">
        <v>0.11944444444444445</v>
      </c>
      <c r="K106" s="7">
        <v>0.12986111111111112</v>
      </c>
      <c r="L106" s="3">
        <f t="shared" si="3"/>
        <v>0</v>
      </c>
      <c r="M106" s="3">
        <f t="shared" si="4"/>
        <v>0</v>
      </c>
      <c r="N106" s="29">
        <f>_xlfn.MAXIFS($G$7:G105,$E$7:E105,detalhe_carro1[[#This Row],[Nó]],$B$7:B105,detalhe_carro1[[#This Row],[Numero Voltas]],$L$7:L105,1)</f>
        <v>727</v>
      </c>
      <c r="O106" s="3" t="str">
        <f>IF(OR(detalhe_carro1[[#This Row],[Ultima Chegada]]=0,detalhe_carro1[[#This Row],[Chegada]]=0),"",detalhe_carro1[[#This Row],[Hora Inicio]]-detalhe_carro1[[#This Row],[Ultima Chegada]])</f>
        <v/>
      </c>
      <c r="P106" s="3">
        <f>IF(detalhe_carro1[[#This Row],[Tipo]]="Visitar Nó",((detalhe_carro1[[#This Row],[Hora Fim]]-detalhe_carro1[[#This Row],[Hora Inicio]])/60*velocidade_nos),0)</f>
        <v>7.5</v>
      </c>
      <c r="Q106" s="29">
        <f>detalhe_carro1[[#This Row],[Kms Nós]]+detalhe_carro1[[#This Row],[kms]]</f>
        <v>7.5</v>
      </c>
      <c r="S106" s="20">
        <v>2</v>
      </c>
      <c r="T106" s="20">
        <v>1</v>
      </c>
      <c r="U106" s="20">
        <v>4</v>
      </c>
      <c r="V106" s="20" t="s">
        <v>27</v>
      </c>
      <c r="W106">
        <v>963</v>
      </c>
      <c r="X106">
        <v>963</v>
      </c>
      <c r="Y106">
        <v>863</v>
      </c>
      <c r="Z106" s="7">
        <v>0.9604166666666667</v>
      </c>
      <c r="AA106" s="7">
        <v>0.9604166666666667</v>
      </c>
      <c r="AB106" s="7">
        <v>0.89097222222222228</v>
      </c>
      <c r="AC10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1.6666666666666667</v>
      </c>
      <c r="AJ106" s="18"/>
      <c r="AM106"/>
      <c r="AN106"/>
    </row>
    <row r="107" spans="2:40" x14ac:dyDescent="0.25">
      <c r="B107" s="3">
        <v>1</v>
      </c>
      <c r="C107">
        <v>2</v>
      </c>
      <c r="D107">
        <v>0</v>
      </c>
      <c r="E107" s="29" t="s">
        <v>20</v>
      </c>
      <c r="F107" s="3">
        <v>1207</v>
      </c>
      <c r="G107" s="3">
        <v>1207</v>
      </c>
      <c r="H107" s="29" t="s">
        <v>51</v>
      </c>
      <c r="I107" s="3">
        <v>1</v>
      </c>
      <c r="J107" s="7">
        <v>0.12986111111111112</v>
      </c>
      <c r="K107" s="7">
        <v>0.12986111111111112</v>
      </c>
      <c r="L107" s="3">
        <f t="shared" si="3"/>
        <v>1</v>
      </c>
      <c r="M107" s="3">
        <f t="shared" si="4"/>
        <v>0</v>
      </c>
      <c r="N107" s="29">
        <f>_xlfn.MAXIFS($G$7:G106,$E$7:E106,detalhe_carro1[[#This Row],[Nó]],$B$7:B106,detalhe_carro1[[#This Row],[Numero Voltas]],$L$7:L106,1)</f>
        <v>727</v>
      </c>
      <c r="O107" s="3" t="str">
        <f>IF(OR(detalhe_carro1[[#This Row],[Ultima Chegada]]=0,detalhe_carro1[[#This Row],[Chegada]]=0),"",detalhe_carro1[[#This Row],[Hora Inicio]]-detalhe_carro1[[#This Row],[Ultima Chegada]])</f>
        <v/>
      </c>
      <c r="P107" s="3">
        <f>IF(detalhe_carro1[[#This Row],[Tipo]]="Visitar Nó",((detalhe_carro1[[#This Row],[Hora Fim]]-detalhe_carro1[[#This Row],[Hora Inicio]])/60*velocidade_nos),0)</f>
        <v>0</v>
      </c>
      <c r="Q107" s="29">
        <f>detalhe_carro1[[#This Row],[Kms Nós]]+detalhe_carro1[[#This Row],[kms]]</f>
        <v>1</v>
      </c>
      <c r="S107" s="20">
        <v>2</v>
      </c>
      <c r="T107" s="20">
        <v>1</v>
      </c>
      <c r="U107" s="20">
        <v>5</v>
      </c>
      <c r="V107" s="20" t="s">
        <v>29</v>
      </c>
      <c r="W107">
        <v>966</v>
      </c>
      <c r="X107">
        <v>966</v>
      </c>
      <c r="Y107">
        <v>860</v>
      </c>
      <c r="Z107" s="7">
        <v>0.96250000000000002</v>
      </c>
      <c r="AA107" s="7">
        <v>0.96250000000000002</v>
      </c>
      <c r="AB107" s="7">
        <v>0.88888888888888884</v>
      </c>
      <c r="AC10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1.7666666666666666</v>
      </c>
      <c r="AJ107" s="18"/>
      <c r="AM107"/>
      <c r="AN107"/>
    </row>
    <row r="108" spans="2:40" x14ac:dyDescent="0.25">
      <c r="B108" s="3">
        <v>1</v>
      </c>
      <c r="C108">
        <v>2</v>
      </c>
      <c r="D108">
        <v>1</v>
      </c>
      <c r="E108" s="29" t="s">
        <v>22</v>
      </c>
      <c r="F108" s="3">
        <v>1213</v>
      </c>
      <c r="G108" s="3">
        <v>1278</v>
      </c>
      <c r="H108" s="29" t="s">
        <v>52</v>
      </c>
      <c r="I108" s="3">
        <v>0</v>
      </c>
      <c r="J108" s="7">
        <v>0.13402777777777777</v>
      </c>
      <c r="K108" s="7">
        <v>0.17916666666666667</v>
      </c>
      <c r="L108" s="3">
        <f t="shared" si="3"/>
        <v>0</v>
      </c>
      <c r="M108" s="3">
        <f t="shared" si="4"/>
        <v>1</v>
      </c>
      <c r="N108" s="29">
        <f>_xlfn.MAXIFS($G$7:G107,$E$7:E107,detalhe_carro1[[#This Row],[Nó]],$B$7:B107,detalhe_carro1[[#This Row],[Numero Voltas]],$L$7:L107,1)</f>
        <v>1191</v>
      </c>
      <c r="O108" s="3">
        <f>IF(OR(detalhe_carro1[[#This Row],[Ultima Chegada]]=0,detalhe_carro1[[#This Row],[Chegada]]=0),"",detalhe_carro1[[#This Row],[Hora Inicio]]-detalhe_carro1[[#This Row],[Ultima Chegada]])</f>
        <v>22</v>
      </c>
      <c r="P108" s="3">
        <f>IF(detalhe_carro1[[#This Row],[Tipo]]="Visitar Nó",((detalhe_carro1[[#This Row],[Hora Fim]]-detalhe_carro1[[#This Row],[Hora Inicio]])/60*velocidade_nos),0)</f>
        <v>0</v>
      </c>
      <c r="Q108" s="29">
        <f>detalhe_carro1[[#This Row],[Kms Nós]]+detalhe_carro1[[#This Row],[kms]]</f>
        <v>0</v>
      </c>
      <c r="S108" s="20">
        <v>2</v>
      </c>
      <c r="T108" s="20">
        <v>1</v>
      </c>
      <c r="U108" s="20">
        <v>6</v>
      </c>
      <c r="V108" s="20" t="s">
        <v>31</v>
      </c>
      <c r="W108">
        <v>969</v>
      </c>
      <c r="X108">
        <v>1051</v>
      </c>
      <c r="Y108">
        <v>857</v>
      </c>
      <c r="Z108" s="7">
        <v>0.96458333333333335</v>
      </c>
      <c r="AA108" s="7">
        <v>2.1527777777777778E-2</v>
      </c>
      <c r="AB108" s="7">
        <v>0.88680555555555551</v>
      </c>
      <c r="AC10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1.8666666666666667</v>
      </c>
      <c r="AJ108" s="18"/>
      <c r="AM108"/>
      <c r="AN108"/>
    </row>
    <row r="109" spans="2:40" x14ac:dyDescent="0.25">
      <c r="B109" s="3">
        <v>1</v>
      </c>
      <c r="C109">
        <v>2</v>
      </c>
      <c r="D109">
        <v>1</v>
      </c>
      <c r="E109" s="29" t="s">
        <v>22</v>
      </c>
      <c r="F109" s="3">
        <v>1279</v>
      </c>
      <c r="G109" s="3">
        <v>1284</v>
      </c>
      <c r="H109" s="29" t="s">
        <v>50</v>
      </c>
      <c r="I109" s="3">
        <v>0</v>
      </c>
      <c r="J109" s="7">
        <v>0.17986111111111111</v>
      </c>
      <c r="K109" s="7">
        <v>0.18333333333333332</v>
      </c>
      <c r="L109" s="3">
        <f t="shared" si="3"/>
        <v>0</v>
      </c>
      <c r="M109" s="3">
        <f t="shared" si="4"/>
        <v>0</v>
      </c>
      <c r="N109" s="29">
        <f>_xlfn.MAXIFS($G$7:G108,$E$7:E108,detalhe_carro1[[#This Row],[Nó]],$B$7:B108,detalhe_carro1[[#This Row],[Numero Voltas]],$L$7:L108,1)</f>
        <v>1191</v>
      </c>
      <c r="O109" s="3" t="str">
        <f>IF(OR(detalhe_carro1[[#This Row],[Ultima Chegada]]=0,detalhe_carro1[[#This Row],[Chegada]]=0),"",detalhe_carro1[[#This Row],[Hora Inicio]]-detalhe_carro1[[#This Row],[Ultima Chegada]])</f>
        <v/>
      </c>
      <c r="P109" s="3">
        <f>IF(detalhe_carro1[[#This Row],[Tipo]]="Visitar Nó",((detalhe_carro1[[#This Row],[Hora Fim]]-detalhe_carro1[[#This Row],[Hora Inicio]])/60*velocidade_nos),0)</f>
        <v>2.5</v>
      </c>
      <c r="Q109" s="29">
        <f>detalhe_carro1[[#This Row],[Kms Nós]]+detalhe_carro1[[#This Row],[kms]]</f>
        <v>2.5</v>
      </c>
      <c r="S109" s="20">
        <v>2</v>
      </c>
      <c r="T109" s="20">
        <v>1</v>
      </c>
      <c r="U109" s="20">
        <v>7</v>
      </c>
      <c r="V109" s="20" t="s">
        <v>33</v>
      </c>
      <c r="W109">
        <v>1054</v>
      </c>
      <c r="X109">
        <v>1054</v>
      </c>
      <c r="Y109">
        <v>854</v>
      </c>
      <c r="Z109" s="7">
        <v>2.361111111111111E-2</v>
      </c>
      <c r="AA109" s="7">
        <v>2.361111111111111E-2</v>
      </c>
      <c r="AB109" s="7">
        <v>0.88472222222222219</v>
      </c>
      <c r="AC10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3.3333333333333335</v>
      </c>
      <c r="AJ109" s="18"/>
      <c r="AM109"/>
      <c r="AN109"/>
    </row>
    <row r="110" spans="2:40" x14ac:dyDescent="0.25">
      <c r="B110" s="3">
        <v>1</v>
      </c>
      <c r="C110">
        <v>2</v>
      </c>
      <c r="D110">
        <v>1</v>
      </c>
      <c r="E110" s="29" t="s">
        <v>22</v>
      </c>
      <c r="F110" s="3">
        <v>1285</v>
      </c>
      <c r="G110" s="3">
        <v>1285</v>
      </c>
      <c r="H110" s="29" t="s">
        <v>51</v>
      </c>
      <c r="I110" s="3">
        <v>1</v>
      </c>
      <c r="J110" s="7">
        <v>0.18402777777777779</v>
      </c>
      <c r="K110" s="7">
        <v>0.18402777777777779</v>
      </c>
      <c r="L110" s="3">
        <f t="shared" si="3"/>
        <v>1</v>
      </c>
      <c r="M110" s="3">
        <f t="shared" si="4"/>
        <v>0</v>
      </c>
      <c r="N110" s="29">
        <f>_xlfn.MAXIFS($G$7:G109,$E$7:E109,detalhe_carro1[[#This Row],[Nó]],$B$7:B109,detalhe_carro1[[#This Row],[Numero Voltas]],$L$7:L109,1)</f>
        <v>1191</v>
      </c>
      <c r="O110" s="3" t="str">
        <f>IF(OR(detalhe_carro1[[#This Row],[Ultima Chegada]]=0,detalhe_carro1[[#This Row],[Chegada]]=0),"",detalhe_carro1[[#This Row],[Hora Inicio]]-detalhe_carro1[[#This Row],[Ultima Chegada]])</f>
        <v/>
      </c>
      <c r="P110" s="3">
        <f>IF(detalhe_carro1[[#This Row],[Tipo]]="Visitar Nó",((detalhe_carro1[[#This Row],[Hora Fim]]-detalhe_carro1[[#This Row],[Hora Inicio]])/60*velocidade_nos),0)</f>
        <v>0</v>
      </c>
      <c r="Q110" s="29">
        <f>detalhe_carro1[[#This Row],[Kms Nós]]+detalhe_carro1[[#This Row],[kms]]</f>
        <v>1</v>
      </c>
      <c r="S110" s="20">
        <v>2</v>
      </c>
      <c r="T110" s="20">
        <v>2</v>
      </c>
      <c r="U110" s="20">
        <v>7</v>
      </c>
      <c r="V110" s="20" t="s">
        <v>33</v>
      </c>
      <c r="W110">
        <v>990</v>
      </c>
      <c r="X110">
        <v>1063</v>
      </c>
      <c r="Y110">
        <v>1054</v>
      </c>
      <c r="Z110" s="7">
        <v>0.97916666666666663</v>
      </c>
      <c r="AA110" s="7">
        <v>2.9861111111111113E-2</v>
      </c>
      <c r="AB110" s="7">
        <v>2.361111111111111E-2</v>
      </c>
      <c r="AC11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-1.0666666666666667</v>
      </c>
      <c r="AJ110" s="18"/>
      <c r="AM110"/>
      <c r="AN110"/>
    </row>
    <row r="111" spans="2:40" x14ac:dyDescent="0.25">
      <c r="B111" s="3">
        <v>1</v>
      </c>
      <c r="C111">
        <v>2</v>
      </c>
      <c r="D111">
        <v>2</v>
      </c>
      <c r="E111" s="29" t="s">
        <v>24</v>
      </c>
      <c r="F111" s="3">
        <v>1292</v>
      </c>
      <c r="G111" s="3">
        <v>1306</v>
      </c>
      <c r="H111" s="29" t="s">
        <v>50</v>
      </c>
      <c r="I111" s="3">
        <v>0</v>
      </c>
      <c r="J111" s="7">
        <v>0.18888888888888888</v>
      </c>
      <c r="K111" s="7">
        <v>0.1986111111111111</v>
      </c>
      <c r="L111" s="3">
        <f t="shared" si="3"/>
        <v>0</v>
      </c>
      <c r="M111" s="3">
        <f t="shared" si="4"/>
        <v>1</v>
      </c>
      <c r="N111" s="29">
        <f>_xlfn.MAXIFS($G$7:G110,$E$7:E110,detalhe_carro1[[#This Row],[Nó]],$B$7:B110,detalhe_carro1[[#This Row],[Numero Voltas]],$L$7:L110,1)</f>
        <v>1172</v>
      </c>
      <c r="O111" s="3">
        <f>IF(OR(detalhe_carro1[[#This Row],[Ultima Chegada]]=0,detalhe_carro1[[#This Row],[Chegada]]=0),"",detalhe_carro1[[#This Row],[Hora Inicio]]-detalhe_carro1[[#This Row],[Ultima Chegada]])</f>
        <v>120</v>
      </c>
      <c r="P111" s="3">
        <f>IF(detalhe_carro1[[#This Row],[Tipo]]="Visitar Nó",((detalhe_carro1[[#This Row],[Hora Fim]]-detalhe_carro1[[#This Row],[Hora Inicio]])/60*velocidade_nos),0)</f>
        <v>7</v>
      </c>
      <c r="Q111" s="29">
        <f>detalhe_carro1[[#This Row],[Kms Nós]]+detalhe_carro1[[#This Row],[kms]]</f>
        <v>7</v>
      </c>
      <c r="S111" s="20">
        <v>2</v>
      </c>
      <c r="T111" s="20">
        <v>2</v>
      </c>
      <c r="U111" s="20">
        <v>6</v>
      </c>
      <c r="V111" s="20" t="s">
        <v>31</v>
      </c>
      <c r="W111">
        <v>1066</v>
      </c>
      <c r="X111">
        <v>1091</v>
      </c>
      <c r="Y111">
        <v>1051</v>
      </c>
      <c r="Z111" s="7">
        <v>3.1944444444444442E-2</v>
      </c>
      <c r="AA111" s="7">
        <v>4.9305555555555554E-2</v>
      </c>
      <c r="AB111" s="7">
        <v>2.1527777777777778E-2</v>
      </c>
      <c r="AC11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0.25</v>
      </c>
      <c r="AJ111" s="18"/>
      <c r="AM111"/>
      <c r="AN111"/>
    </row>
    <row r="112" spans="2:40" x14ac:dyDescent="0.25">
      <c r="B112" s="3">
        <v>1</v>
      </c>
      <c r="C112">
        <v>2</v>
      </c>
      <c r="D112">
        <v>2</v>
      </c>
      <c r="E112" s="29" t="s">
        <v>24</v>
      </c>
      <c r="F112" s="3">
        <v>1313</v>
      </c>
      <c r="G112" s="3">
        <v>1313</v>
      </c>
      <c r="H112" s="29" t="s">
        <v>51</v>
      </c>
      <c r="I112" s="3">
        <v>7</v>
      </c>
      <c r="J112" s="7">
        <v>0.20347222222222222</v>
      </c>
      <c r="K112" s="7">
        <v>0.20347222222222222</v>
      </c>
      <c r="L112" s="3">
        <f t="shared" si="3"/>
        <v>1</v>
      </c>
      <c r="M112" s="3">
        <f t="shared" si="4"/>
        <v>0</v>
      </c>
      <c r="N112" s="29">
        <f>_xlfn.MAXIFS($G$7:G111,$E$7:E111,detalhe_carro1[[#This Row],[Nó]],$B$7:B111,detalhe_carro1[[#This Row],[Numero Voltas]],$L$7:L111,1)</f>
        <v>1172</v>
      </c>
      <c r="O112" s="3" t="str">
        <f>IF(OR(detalhe_carro1[[#This Row],[Ultima Chegada]]=0,detalhe_carro1[[#This Row],[Chegada]]=0),"",detalhe_carro1[[#This Row],[Hora Inicio]]-detalhe_carro1[[#This Row],[Ultima Chegada]])</f>
        <v/>
      </c>
      <c r="P112" s="3">
        <f>IF(detalhe_carro1[[#This Row],[Tipo]]="Visitar Nó",((detalhe_carro1[[#This Row],[Hora Fim]]-detalhe_carro1[[#This Row],[Hora Inicio]])/60*velocidade_nos),0)</f>
        <v>0</v>
      </c>
      <c r="Q112" s="29">
        <f>detalhe_carro1[[#This Row],[Kms Nós]]+detalhe_carro1[[#This Row],[kms]]</f>
        <v>7</v>
      </c>
      <c r="S112" s="20">
        <v>2</v>
      </c>
      <c r="T112" s="20">
        <v>2</v>
      </c>
      <c r="U112" s="20">
        <v>5</v>
      </c>
      <c r="V112" s="20" t="s">
        <v>29</v>
      </c>
      <c r="W112">
        <v>1094</v>
      </c>
      <c r="X112">
        <v>1125</v>
      </c>
      <c r="Y112">
        <v>966</v>
      </c>
      <c r="Z112" s="7">
        <v>5.1388888888888887E-2</v>
      </c>
      <c r="AA112" s="7">
        <v>7.2916666666666671E-2</v>
      </c>
      <c r="AB112" s="7">
        <v>0.96250000000000002</v>
      </c>
      <c r="AC11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2.1333333333333333</v>
      </c>
      <c r="AJ112" s="18"/>
      <c r="AM112"/>
      <c r="AN112"/>
    </row>
    <row r="113" spans="2:40" x14ac:dyDescent="0.25">
      <c r="B113" s="3">
        <v>1</v>
      </c>
      <c r="C113">
        <v>2</v>
      </c>
      <c r="D113">
        <v>3</v>
      </c>
      <c r="E113" s="29" t="s">
        <v>26</v>
      </c>
      <c r="F113" s="3">
        <v>1314</v>
      </c>
      <c r="G113" s="3">
        <v>1324</v>
      </c>
      <c r="H113" s="29" t="s">
        <v>50</v>
      </c>
      <c r="I113" s="3">
        <v>0</v>
      </c>
      <c r="J113" s="7">
        <v>0.20416666666666666</v>
      </c>
      <c r="K113" s="7">
        <v>0.21111111111111111</v>
      </c>
      <c r="L113" s="3">
        <f t="shared" si="3"/>
        <v>0</v>
      </c>
      <c r="M113" s="3">
        <f t="shared" si="4"/>
        <v>1</v>
      </c>
      <c r="N113" s="29">
        <f>_xlfn.MAXIFS($G$7:G112,$E$7:E112,detalhe_carro1[[#This Row],[Nó]],$B$7:B112,detalhe_carro1[[#This Row],[Numero Voltas]],$L$7:L112,1)</f>
        <v>1156</v>
      </c>
      <c r="O113" s="3">
        <f>IF(OR(detalhe_carro1[[#This Row],[Ultima Chegada]]=0,detalhe_carro1[[#This Row],[Chegada]]=0),"",detalhe_carro1[[#This Row],[Hora Inicio]]-detalhe_carro1[[#This Row],[Ultima Chegada]])</f>
        <v>158</v>
      </c>
      <c r="P113" s="3">
        <f>IF(detalhe_carro1[[#This Row],[Tipo]]="Visitar Nó",((detalhe_carro1[[#This Row],[Hora Fim]]-detalhe_carro1[[#This Row],[Hora Inicio]])/60*velocidade_nos),0)</f>
        <v>5</v>
      </c>
      <c r="Q113" s="29">
        <f>detalhe_carro1[[#This Row],[Kms Nós]]+detalhe_carro1[[#This Row],[kms]]</f>
        <v>5</v>
      </c>
      <c r="S113" s="20">
        <v>2</v>
      </c>
      <c r="T113" s="20">
        <v>2</v>
      </c>
      <c r="U113" s="20">
        <v>4</v>
      </c>
      <c r="V113" s="20" t="s">
        <v>27</v>
      </c>
      <c r="W113">
        <v>1128</v>
      </c>
      <c r="X113">
        <v>1144</v>
      </c>
      <c r="Y113">
        <v>963</v>
      </c>
      <c r="Z113" s="7">
        <v>7.4999999999999997E-2</v>
      </c>
      <c r="AA113" s="7">
        <v>8.611111111111111E-2</v>
      </c>
      <c r="AB113" s="7">
        <v>0.9604166666666667</v>
      </c>
      <c r="AC11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2.75</v>
      </c>
      <c r="AJ113" s="18"/>
      <c r="AM113"/>
      <c r="AN113"/>
    </row>
    <row r="114" spans="2:40" x14ac:dyDescent="0.25">
      <c r="B114" s="3">
        <v>1</v>
      </c>
      <c r="C114">
        <v>2</v>
      </c>
      <c r="D114">
        <v>3</v>
      </c>
      <c r="E114" s="29" t="s">
        <v>26</v>
      </c>
      <c r="F114" s="3">
        <v>1325</v>
      </c>
      <c r="G114" s="3">
        <v>1325</v>
      </c>
      <c r="H114" s="29" t="s">
        <v>51</v>
      </c>
      <c r="I114" s="3">
        <v>1</v>
      </c>
      <c r="J114" s="7">
        <v>0.21180555555555555</v>
      </c>
      <c r="K114" s="7">
        <v>0.21180555555555555</v>
      </c>
      <c r="L114" s="3">
        <f t="shared" si="3"/>
        <v>1</v>
      </c>
      <c r="M114" s="3">
        <f t="shared" si="4"/>
        <v>0</v>
      </c>
      <c r="N114" s="29">
        <f>_xlfn.MAXIFS($G$7:G113,$E$7:E113,detalhe_carro1[[#This Row],[Nó]],$B$7:B113,detalhe_carro1[[#This Row],[Numero Voltas]],$L$7:L113,1)</f>
        <v>1156</v>
      </c>
      <c r="O114" s="3" t="str">
        <f>IF(OR(detalhe_carro1[[#This Row],[Ultima Chegada]]=0,detalhe_carro1[[#This Row],[Chegada]]=0),"",detalhe_carro1[[#This Row],[Hora Inicio]]-detalhe_carro1[[#This Row],[Ultima Chegada]])</f>
        <v/>
      </c>
      <c r="P114" s="3">
        <f>IF(detalhe_carro1[[#This Row],[Tipo]]="Visitar Nó",((detalhe_carro1[[#This Row],[Hora Fim]]-detalhe_carro1[[#This Row],[Hora Inicio]])/60*velocidade_nos),0)</f>
        <v>0</v>
      </c>
      <c r="Q114" s="29">
        <f>detalhe_carro1[[#This Row],[Kms Nós]]+detalhe_carro1[[#This Row],[kms]]</f>
        <v>1</v>
      </c>
      <c r="S114" s="20">
        <v>2</v>
      </c>
      <c r="T114" s="20">
        <v>2</v>
      </c>
      <c r="U114" s="20">
        <v>3</v>
      </c>
      <c r="V114" s="20" t="s">
        <v>26</v>
      </c>
      <c r="W114">
        <v>1145</v>
      </c>
      <c r="X114">
        <v>1156</v>
      </c>
      <c r="Y114">
        <v>962</v>
      </c>
      <c r="Z114" s="7">
        <v>8.6805555555555552E-2</v>
      </c>
      <c r="AA114" s="7">
        <v>9.4444444444444442E-2</v>
      </c>
      <c r="AB114" s="7">
        <v>0.95972222222222225</v>
      </c>
      <c r="AC11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3.05</v>
      </c>
      <c r="AJ114" s="18"/>
      <c r="AM114"/>
      <c r="AN114"/>
    </row>
    <row r="115" spans="2:40" x14ac:dyDescent="0.25">
      <c r="B115" s="3">
        <v>1</v>
      </c>
      <c r="C115">
        <v>2</v>
      </c>
      <c r="D115">
        <v>4</v>
      </c>
      <c r="E115" s="29" t="s">
        <v>27</v>
      </c>
      <c r="F115" s="3">
        <v>1326</v>
      </c>
      <c r="G115" s="3">
        <v>1339</v>
      </c>
      <c r="H115" s="29" t="s">
        <v>50</v>
      </c>
      <c r="I115" s="3">
        <v>0</v>
      </c>
      <c r="J115" s="7">
        <v>0.21249999999999999</v>
      </c>
      <c r="K115" s="7">
        <v>0.22152777777777777</v>
      </c>
      <c r="L115" s="3">
        <f t="shared" si="3"/>
        <v>0</v>
      </c>
      <c r="M115" s="3">
        <f t="shared" si="4"/>
        <v>1</v>
      </c>
      <c r="N115" s="29">
        <f>_xlfn.MAXIFS($G$7:G114,$E$7:E114,detalhe_carro1[[#This Row],[Nó]],$B$7:B114,detalhe_carro1[[#This Row],[Numero Voltas]],$L$7:L114,1)</f>
        <v>1144</v>
      </c>
      <c r="O115" s="3">
        <f>IF(OR(detalhe_carro1[[#This Row],[Ultima Chegada]]=0,detalhe_carro1[[#This Row],[Chegada]]=0),"",detalhe_carro1[[#This Row],[Hora Inicio]]-detalhe_carro1[[#This Row],[Ultima Chegada]])</f>
        <v>182</v>
      </c>
      <c r="P115" s="3">
        <f>IF(detalhe_carro1[[#This Row],[Tipo]]="Visitar Nó",((detalhe_carro1[[#This Row],[Hora Fim]]-detalhe_carro1[[#This Row],[Hora Inicio]])/60*velocidade_nos),0)</f>
        <v>6.5</v>
      </c>
      <c r="Q115" s="29">
        <f>detalhe_carro1[[#This Row],[Kms Nós]]+detalhe_carro1[[#This Row],[kms]]</f>
        <v>6.5</v>
      </c>
      <c r="S115" s="20">
        <v>2</v>
      </c>
      <c r="T115" s="20">
        <v>2</v>
      </c>
      <c r="U115" s="20">
        <v>2</v>
      </c>
      <c r="V115" s="20" t="s">
        <v>24</v>
      </c>
      <c r="W115">
        <v>1157</v>
      </c>
      <c r="X115">
        <v>1172</v>
      </c>
      <c r="Y115">
        <v>961</v>
      </c>
      <c r="Z115" s="7">
        <v>9.5138888888888884E-2</v>
      </c>
      <c r="AA115" s="7">
        <v>0.10555555555555556</v>
      </c>
      <c r="AB115" s="7">
        <v>0.95902777777777781</v>
      </c>
      <c r="AC1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3.2666666666666666</v>
      </c>
      <c r="AJ115" s="18"/>
      <c r="AM115"/>
      <c r="AN115"/>
    </row>
    <row r="116" spans="2:40" x14ac:dyDescent="0.25">
      <c r="B116" s="3">
        <v>1</v>
      </c>
      <c r="C116">
        <v>2</v>
      </c>
      <c r="D116">
        <v>4</v>
      </c>
      <c r="E116" s="29" t="s">
        <v>27</v>
      </c>
      <c r="F116" s="3">
        <v>1340</v>
      </c>
      <c r="G116" s="3">
        <v>1340</v>
      </c>
      <c r="H116" s="29" t="s">
        <v>51</v>
      </c>
      <c r="I116" s="3">
        <v>1</v>
      </c>
      <c r="J116" s="7">
        <v>0.22222222222222221</v>
      </c>
      <c r="K116" s="7">
        <v>0.22222222222222221</v>
      </c>
      <c r="L116" s="3">
        <f t="shared" si="3"/>
        <v>1</v>
      </c>
      <c r="M116" s="3">
        <f t="shared" si="4"/>
        <v>0</v>
      </c>
      <c r="N116" s="29">
        <f>_xlfn.MAXIFS($G$7:G115,$E$7:E115,detalhe_carro1[[#This Row],[Nó]],$B$7:B115,detalhe_carro1[[#This Row],[Numero Voltas]],$L$7:L115,1)</f>
        <v>1144</v>
      </c>
      <c r="O116" s="3" t="str">
        <f>IF(OR(detalhe_carro1[[#This Row],[Ultima Chegada]]=0,detalhe_carro1[[#This Row],[Chegada]]=0),"",detalhe_carro1[[#This Row],[Hora Inicio]]-detalhe_carro1[[#This Row],[Ultima Chegada]])</f>
        <v/>
      </c>
      <c r="P116" s="3">
        <f>IF(detalhe_carro1[[#This Row],[Tipo]]="Visitar Nó",((detalhe_carro1[[#This Row],[Hora Fim]]-detalhe_carro1[[#This Row],[Hora Inicio]])/60*velocidade_nos),0)</f>
        <v>0</v>
      </c>
      <c r="Q116" s="29">
        <f>detalhe_carro1[[#This Row],[Kms Nós]]+detalhe_carro1[[#This Row],[kms]]</f>
        <v>1</v>
      </c>
      <c r="S116" s="20">
        <v>2</v>
      </c>
      <c r="T116" s="20">
        <v>2</v>
      </c>
      <c r="U116" s="20">
        <v>1</v>
      </c>
      <c r="V116" s="20" t="s">
        <v>22</v>
      </c>
      <c r="W116">
        <v>1179</v>
      </c>
      <c r="X116">
        <v>1191</v>
      </c>
      <c r="Y116">
        <v>954</v>
      </c>
      <c r="Z116" s="7">
        <v>0.11041666666666666</v>
      </c>
      <c r="AA116" s="7">
        <v>0.11874999999999999</v>
      </c>
      <c r="AB116" s="7">
        <v>0.95416666666666672</v>
      </c>
      <c r="AC1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3.75</v>
      </c>
      <c r="AJ116" s="18"/>
      <c r="AM116"/>
      <c r="AN116"/>
    </row>
    <row r="117" spans="2:40" x14ac:dyDescent="0.25">
      <c r="B117" s="3">
        <v>1</v>
      </c>
      <c r="C117">
        <v>2</v>
      </c>
      <c r="D117">
        <v>5</v>
      </c>
      <c r="E117" s="29" t="s">
        <v>29</v>
      </c>
      <c r="F117" s="3">
        <v>1343</v>
      </c>
      <c r="G117" s="3">
        <v>1353</v>
      </c>
      <c r="H117" s="29" t="s">
        <v>297</v>
      </c>
      <c r="I117" s="3">
        <v>0</v>
      </c>
      <c r="J117" s="7">
        <v>0.22430555555555556</v>
      </c>
      <c r="K117" s="7">
        <v>0.23125000000000001</v>
      </c>
      <c r="L117" s="3">
        <f t="shared" si="3"/>
        <v>0</v>
      </c>
      <c r="M117" s="3">
        <f t="shared" si="4"/>
        <v>1</v>
      </c>
      <c r="N117" s="29">
        <f>_xlfn.MAXIFS($G$7:G116,$E$7:E116,detalhe_carro1[[#This Row],[Nó]],$B$7:B116,detalhe_carro1[[#This Row],[Numero Voltas]],$L$7:L116,1)</f>
        <v>1125</v>
      </c>
      <c r="O117" s="3">
        <f>IF(OR(detalhe_carro1[[#This Row],[Ultima Chegada]]=0,detalhe_carro1[[#This Row],[Chegada]]=0),"",detalhe_carro1[[#This Row],[Hora Inicio]]-detalhe_carro1[[#This Row],[Ultima Chegada]])</f>
        <v>218</v>
      </c>
      <c r="P117" s="3">
        <f>IF(detalhe_carro1[[#This Row],[Tipo]]="Visitar Nó",((detalhe_carro1[[#This Row],[Hora Fim]]-detalhe_carro1[[#This Row],[Hora Inicio]])/60*velocidade_nos),0)</f>
        <v>0</v>
      </c>
      <c r="Q117" s="29">
        <f>detalhe_carro1[[#This Row],[Kms Nós]]+detalhe_carro1[[#This Row],[kms]]</f>
        <v>0</v>
      </c>
      <c r="S117" s="20">
        <v>2</v>
      </c>
      <c r="T117" s="20">
        <v>2</v>
      </c>
      <c r="U117" s="20">
        <v>0</v>
      </c>
      <c r="V117" s="20" t="s">
        <v>20</v>
      </c>
      <c r="W117">
        <v>1192</v>
      </c>
      <c r="X117">
        <v>1207</v>
      </c>
      <c r="Y117">
        <v>873</v>
      </c>
      <c r="Z117" s="7">
        <v>0.11944444444444445</v>
      </c>
      <c r="AA117" s="7">
        <v>0.12986111111111112</v>
      </c>
      <c r="AB117" s="7">
        <v>0.8979166666666667</v>
      </c>
      <c r="AC1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5.3166666666666664</v>
      </c>
      <c r="AJ117" s="18"/>
      <c r="AM117"/>
      <c r="AN117"/>
    </row>
    <row r="118" spans="2:40" x14ac:dyDescent="0.25">
      <c r="B118" s="3">
        <v>1</v>
      </c>
      <c r="C118">
        <v>2</v>
      </c>
      <c r="D118">
        <v>5</v>
      </c>
      <c r="E118" s="29" t="s">
        <v>29</v>
      </c>
      <c r="F118" s="3">
        <v>1356</v>
      </c>
      <c r="G118" s="3">
        <v>1384</v>
      </c>
      <c r="H118" s="29" t="s">
        <v>50</v>
      </c>
      <c r="I118" s="3">
        <v>0</v>
      </c>
      <c r="J118" s="7">
        <v>0.23333333333333334</v>
      </c>
      <c r="K118" s="7">
        <v>0.25277777777777777</v>
      </c>
      <c r="L118" s="3">
        <f t="shared" si="3"/>
        <v>0</v>
      </c>
      <c r="M118" s="3">
        <f t="shared" si="4"/>
        <v>0</v>
      </c>
      <c r="N118" s="29">
        <f>_xlfn.MAXIFS($G$7:G117,$E$7:E117,detalhe_carro1[[#This Row],[Nó]],$B$7:B117,detalhe_carro1[[#This Row],[Numero Voltas]],$L$7:L117,1)</f>
        <v>1125</v>
      </c>
      <c r="O118" s="3" t="str">
        <f>IF(OR(detalhe_carro1[[#This Row],[Ultima Chegada]]=0,detalhe_carro1[[#This Row],[Chegada]]=0),"",detalhe_carro1[[#This Row],[Hora Inicio]]-detalhe_carro1[[#This Row],[Ultima Chegada]])</f>
        <v/>
      </c>
      <c r="P118" s="3">
        <f>IF(detalhe_carro1[[#This Row],[Tipo]]="Visitar Nó",((detalhe_carro1[[#This Row],[Hora Fim]]-detalhe_carro1[[#This Row],[Hora Inicio]])/60*velocidade_nos),0)</f>
        <v>14</v>
      </c>
      <c r="Q118" s="29">
        <f>detalhe_carro1[[#This Row],[Kms Nós]]+detalhe_carro1[[#This Row],[kms]]</f>
        <v>14</v>
      </c>
      <c r="S118" s="20">
        <v>2</v>
      </c>
      <c r="T118" s="20">
        <v>2</v>
      </c>
      <c r="U118" s="20">
        <v>1</v>
      </c>
      <c r="V118" s="20" t="s">
        <v>22</v>
      </c>
      <c r="W118">
        <v>1208</v>
      </c>
      <c r="X118">
        <v>1214</v>
      </c>
      <c r="Y118">
        <v>1191</v>
      </c>
      <c r="Z118" s="7">
        <v>0.13055555555555556</v>
      </c>
      <c r="AA118" s="7">
        <v>0.13472222222222222</v>
      </c>
      <c r="AB118" s="7">
        <v>0.11874999999999999</v>
      </c>
      <c r="AC1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J118" s="18"/>
      <c r="AM118"/>
      <c r="AN118"/>
    </row>
    <row r="119" spans="2:40" x14ac:dyDescent="0.25">
      <c r="B119" s="3">
        <v>1</v>
      </c>
      <c r="C119">
        <v>2</v>
      </c>
      <c r="D119">
        <v>5</v>
      </c>
      <c r="E119" s="29" t="s">
        <v>29</v>
      </c>
      <c r="F119" s="3">
        <v>1387</v>
      </c>
      <c r="G119" s="3">
        <v>1387</v>
      </c>
      <c r="H119" s="29" t="s">
        <v>51</v>
      </c>
      <c r="I119" s="3">
        <v>3</v>
      </c>
      <c r="J119" s="7">
        <v>0.25486111111111109</v>
      </c>
      <c r="K119" s="7">
        <v>0.25486111111111109</v>
      </c>
      <c r="L119" s="3">
        <f t="shared" si="3"/>
        <v>1</v>
      </c>
      <c r="M119" s="3">
        <f t="shared" si="4"/>
        <v>0</v>
      </c>
      <c r="N119" s="29">
        <f>_xlfn.MAXIFS($G$7:G118,$E$7:E118,detalhe_carro1[[#This Row],[Nó]],$B$7:B118,detalhe_carro1[[#This Row],[Numero Voltas]],$L$7:L118,1)</f>
        <v>1125</v>
      </c>
      <c r="O119" s="3" t="str">
        <f>IF(OR(detalhe_carro1[[#This Row],[Ultima Chegada]]=0,detalhe_carro1[[#This Row],[Chegada]]=0),"",detalhe_carro1[[#This Row],[Hora Inicio]]-detalhe_carro1[[#This Row],[Ultima Chegada]])</f>
        <v/>
      </c>
      <c r="P119" s="3">
        <f>IF(detalhe_carro1[[#This Row],[Tipo]]="Visitar Nó",((detalhe_carro1[[#This Row],[Hora Fim]]-detalhe_carro1[[#This Row],[Hora Inicio]])/60*velocidade_nos),0)</f>
        <v>0</v>
      </c>
      <c r="Q119" s="29">
        <f>detalhe_carro1[[#This Row],[Kms Nós]]+detalhe_carro1[[#This Row],[kms]]</f>
        <v>3</v>
      </c>
      <c r="S119" s="20">
        <v>2</v>
      </c>
      <c r="T119" s="20">
        <v>2</v>
      </c>
      <c r="U119" s="20">
        <v>2</v>
      </c>
      <c r="V119" s="20" t="s">
        <v>24</v>
      </c>
      <c r="W119">
        <v>1221</v>
      </c>
      <c r="X119">
        <v>1242</v>
      </c>
      <c r="Y119">
        <v>1172</v>
      </c>
      <c r="Z119" s="7">
        <v>0.13958333333333334</v>
      </c>
      <c r="AA119" s="7">
        <v>0.15416666666666667</v>
      </c>
      <c r="AB119" s="7">
        <v>0.10555555555555556</v>
      </c>
      <c r="AC1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0.81666666666666665</v>
      </c>
      <c r="AJ119" s="18"/>
      <c r="AM119"/>
      <c r="AN119"/>
    </row>
    <row r="120" spans="2:40" x14ac:dyDescent="0.25">
      <c r="B120" s="3">
        <v>1</v>
      </c>
      <c r="C120">
        <v>2</v>
      </c>
      <c r="D120">
        <v>6</v>
      </c>
      <c r="E120" s="29" t="s">
        <v>31</v>
      </c>
      <c r="F120" s="3">
        <v>1399</v>
      </c>
      <c r="G120" s="3">
        <v>1465</v>
      </c>
      <c r="H120" s="29" t="s">
        <v>52</v>
      </c>
      <c r="I120" s="3">
        <v>0</v>
      </c>
      <c r="J120" s="7">
        <v>0.26319444444444445</v>
      </c>
      <c r="K120" s="7">
        <v>0.30902777777777779</v>
      </c>
      <c r="L120" s="3">
        <f t="shared" si="3"/>
        <v>0</v>
      </c>
      <c r="M120" s="3">
        <f t="shared" si="4"/>
        <v>1</v>
      </c>
      <c r="N120" s="29">
        <f>_xlfn.MAXIFS($G$7:G119,$E$7:E119,detalhe_carro1[[#This Row],[Nó]],$B$7:B119,detalhe_carro1[[#This Row],[Numero Voltas]],$L$7:L119,1)</f>
        <v>1091</v>
      </c>
      <c r="O120" s="3">
        <f>IF(OR(detalhe_carro1[[#This Row],[Ultima Chegada]]=0,detalhe_carro1[[#This Row],[Chegada]]=0),"",detalhe_carro1[[#This Row],[Hora Inicio]]-detalhe_carro1[[#This Row],[Ultima Chegada]])</f>
        <v>308</v>
      </c>
      <c r="P120" s="3">
        <f>IF(detalhe_carro1[[#This Row],[Tipo]]="Visitar Nó",((detalhe_carro1[[#This Row],[Hora Fim]]-detalhe_carro1[[#This Row],[Hora Inicio]])/60*velocidade_nos),0)</f>
        <v>0</v>
      </c>
      <c r="Q120" s="29">
        <f>detalhe_carro1[[#This Row],[Kms Nós]]+detalhe_carro1[[#This Row],[kms]]</f>
        <v>0</v>
      </c>
      <c r="S120" s="20">
        <v>2</v>
      </c>
      <c r="T120" s="20">
        <v>2</v>
      </c>
      <c r="U120" s="20">
        <v>3</v>
      </c>
      <c r="V120" s="20" t="s">
        <v>26</v>
      </c>
      <c r="W120">
        <v>1243</v>
      </c>
      <c r="X120">
        <v>1254</v>
      </c>
      <c r="Y120">
        <v>1156</v>
      </c>
      <c r="Z120" s="7">
        <v>0.15486111111111112</v>
      </c>
      <c r="AA120" s="7">
        <v>0.16250000000000001</v>
      </c>
      <c r="AB120" s="7">
        <v>9.4444444444444442E-2</v>
      </c>
      <c r="AC1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  <c r="AJ120" s="18"/>
      <c r="AM120"/>
      <c r="AN120"/>
    </row>
    <row r="121" spans="2:40" x14ac:dyDescent="0.25">
      <c r="B121" s="3">
        <v>1</v>
      </c>
      <c r="C121">
        <v>2</v>
      </c>
      <c r="D121">
        <v>6</v>
      </c>
      <c r="E121" s="29" t="s">
        <v>31</v>
      </c>
      <c r="F121" s="3">
        <v>1468</v>
      </c>
      <c r="G121" s="3">
        <v>1477</v>
      </c>
      <c r="H121" s="29" t="s">
        <v>50</v>
      </c>
      <c r="I121" s="3">
        <v>0</v>
      </c>
      <c r="J121" s="7">
        <v>0.31111111111111112</v>
      </c>
      <c r="K121" s="7">
        <v>0.31736111111111109</v>
      </c>
      <c r="L121" s="3">
        <f t="shared" si="3"/>
        <v>0</v>
      </c>
      <c r="M121" s="3">
        <f t="shared" si="4"/>
        <v>0</v>
      </c>
      <c r="N121" s="29">
        <f>_xlfn.MAXIFS($G$7:G120,$E$7:E120,detalhe_carro1[[#This Row],[Nó]],$B$7:B120,detalhe_carro1[[#This Row],[Numero Voltas]],$L$7:L120,1)</f>
        <v>1091</v>
      </c>
      <c r="O121" s="3" t="str">
        <f>IF(OR(detalhe_carro1[[#This Row],[Ultima Chegada]]=0,detalhe_carro1[[#This Row],[Chegada]]=0),"",detalhe_carro1[[#This Row],[Hora Inicio]]-detalhe_carro1[[#This Row],[Ultima Chegada]])</f>
        <v/>
      </c>
      <c r="P121" s="3">
        <f>IF(detalhe_carro1[[#This Row],[Tipo]]="Visitar Nó",((detalhe_carro1[[#This Row],[Hora Fim]]-detalhe_carro1[[#This Row],[Hora Inicio]])/60*velocidade_nos),0)</f>
        <v>4.5</v>
      </c>
      <c r="Q121" s="29">
        <f>detalhe_carro1[[#This Row],[Kms Nós]]+detalhe_carro1[[#This Row],[kms]]</f>
        <v>4.5</v>
      </c>
      <c r="S121" s="20">
        <v>2</v>
      </c>
      <c r="T121" s="20">
        <v>2</v>
      </c>
      <c r="U121" s="20">
        <v>4</v>
      </c>
      <c r="V121" s="20" t="s">
        <v>27</v>
      </c>
      <c r="W121">
        <v>1255</v>
      </c>
      <c r="X121">
        <v>1269</v>
      </c>
      <c r="Y121">
        <v>1144</v>
      </c>
      <c r="Z121" s="7">
        <v>0.16319444444444445</v>
      </c>
      <c r="AA121" s="7">
        <v>0.17291666666666666</v>
      </c>
      <c r="AB121" s="7">
        <v>8.611111111111111E-2</v>
      </c>
      <c r="AC1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1.85</v>
      </c>
      <c r="AJ121" s="18"/>
      <c r="AM121"/>
      <c r="AN121"/>
    </row>
    <row r="122" spans="2:40" x14ac:dyDescent="0.25">
      <c r="B122" s="3">
        <v>1</v>
      </c>
      <c r="C122">
        <v>2</v>
      </c>
      <c r="D122">
        <v>6</v>
      </c>
      <c r="E122" s="29" t="s">
        <v>31</v>
      </c>
      <c r="F122" s="3">
        <v>1480</v>
      </c>
      <c r="G122" s="3">
        <v>1480</v>
      </c>
      <c r="H122" s="29" t="s">
        <v>51</v>
      </c>
      <c r="I122" s="3">
        <v>3</v>
      </c>
      <c r="J122" s="7">
        <v>0.31944444444444442</v>
      </c>
      <c r="K122" s="7">
        <v>0.31944444444444442</v>
      </c>
      <c r="L122" s="3">
        <f t="shared" si="3"/>
        <v>1</v>
      </c>
      <c r="M122" s="3">
        <f t="shared" si="4"/>
        <v>0</v>
      </c>
      <c r="N122" s="29">
        <f>_xlfn.MAXIFS($G$7:G121,$E$7:E121,detalhe_carro1[[#This Row],[Nó]],$B$7:B121,detalhe_carro1[[#This Row],[Numero Voltas]],$L$7:L121,1)</f>
        <v>1091</v>
      </c>
      <c r="O122" s="3" t="str">
        <f>IF(OR(detalhe_carro1[[#This Row],[Ultima Chegada]]=0,detalhe_carro1[[#This Row],[Chegada]]=0),"",detalhe_carro1[[#This Row],[Hora Inicio]]-detalhe_carro1[[#This Row],[Ultima Chegada]])</f>
        <v/>
      </c>
      <c r="P122" s="3">
        <f>IF(detalhe_carro1[[#This Row],[Tipo]]="Visitar Nó",((detalhe_carro1[[#This Row],[Hora Fim]]-detalhe_carro1[[#This Row],[Hora Inicio]])/60*velocidade_nos),0)</f>
        <v>0</v>
      </c>
      <c r="Q122" s="29">
        <f>detalhe_carro1[[#This Row],[Kms Nós]]+detalhe_carro1[[#This Row],[kms]]</f>
        <v>3</v>
      </c>
      <c r="S122" s="20">
        <v>2</v>
      </c>
      <c r="T122" s="20">
        <v>2</v>
      </c>
      <c r="U122" s="20">
        <v>5</v>
      </c>
      <c r="V122" s="20" t="s">
        <v>29</v>
      </c>
      <c r="W122">
        <v>1272</v>
      </c>
      <c r="X122">
        <v>1316</v>
      </c>
      <c r="Y122">
        <v>1125</v>
      </c>
      <c r="Z122" s="7">
        <v>0.17499999999999999</v>
      </c>
      <c r="AA122" s="7">
        <v>0.20555555555555555</v>
      </c>
      <c r="AB122" s="7">
        <v>7.2916666666666671E-2</v>
      </c>
      <c r="AC1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2.4500000000000002</v>
      </c>
      <c r="AJ122" s="18"/>
      <c r="AM122"/>
      <c r="AN122"/>
    </row>
    <row r="123" spans="2:40" x14ac:dyDescent="0.25">
      <c r="B123" s="3">
        <v>1</v>
      </c>
      <c r="C123">
        <v>2</v>
      </c>
      <c r="D123">
        <v>7</v>
      </c>
      <c r="E123" s="29" t="s">
        <v>33</v>
      </c>
      <c r="F123" s="3">
        <v>1483</v>
      </c>
      <c r="G123" s="3">
        <v>1548</v>
      </c>
      <c r="H123" s="29" t="s">
        <v>52</v>
      </c>
      <c r="I123" s="3">
        <v>0</v>
      </c>
      <c r="J123" s="7">
        <v>0.3215277777777778</v>
      </c>
      <c r="K123" s="7">
        <v>0.36666666666666664</v>
      </c>
      <c r="L123" s="3">
        <f t="shared" si="3"/>
        <v>0</v>
      </c>
      <c r="M123" s="3">
        <f t="shared" si="4"/>
        <v>1</v>
      </c>
      <c r="N123" s="29">
        <f>_xlfn.MAXIFS($G$7:G122,$E$7:E122,detalhe_carro1[[#This Row],[Nó]],$B$7:B122,detalhe_carro1[[#This Row],[Numero Voltas]],$L$7:L122,1)</f>
        <v>1063</v>
      </c>
      <c r="O123" s="3">
        <f>IF(OR(detalhe_carro1[[#This Row],[Ultima Chegada]]=0,detalhe_carro1[[#This Row],[Chegada]]=0),"",detalhe_carro1[[#This Row],[Hora Inicio]]-detalhe_carro1[[#This Row],[Ultima Chegada]])</f>
        <v>420</v>
      </c>
      <c r="P123" s="3">
        <f>IF(detalhe_carro1[[#This Row],[Tipo]]="Visitar Nó",((detalhe_carro1[[#This Row],[Hora Fim]]-detalhe_carro1[[#This Row],[Hora Inicio]])/60*velocidade_nos),0)</f>
        <v>0</v>
      </c>
      <c r="Q123" s="29">
        <f>detalhe_carro1[[#This Row],[Kms Nós]]+detalhe_carro1[[#This Row],[kms]]</f>
        <v>0</v>
      </c>
      <c r="S123" s="20">
        <v>2</v>
      </c>
      <c r="T123" s="20">
        <v>2</v>
      </c>
      <c r="U123" s="20">
        <v>6</v>
      </c>
      <c r="V123" s="20" t="s">
        <v>31</v>
      </c>
      <c r="W123">
        <v>1319</v>
      </c>
      <c r="X123">
        <v>1331</v>
      </c>
      <c r="Y123">
        <v>1091</v>
      </c>
      <c r="Z123" s="7">
        <v>0.2076388888888889</v>
      </c>
      <c r="AA123" s="7">
        <v>0.21597222222222223</v>
      </c>
      <c r="AB123" s="7">
        <v>4.9305555555555554E-2</v>
      </c>
      <c r="AC1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3.8</v>
      </c>
      <c r="AJ123" s="18"/>
      <c r="AM123"/>
      <c r="AN123"/>
    </row>
    <row r="124" spans="2:40" x14ac:dyDescent="0.25">
      <c r="B124" s="3">
        <v>1</v>
      </c>
      <c r="C124">
        <v>2</v>
      </c>
      <c r="D124">
        <v>7</v>
      </c>
      <c r="E124" s="29" t="s">
        <v>33</v>
      </c>
      <c r="F124" s="3">
        <v>1551</v>
      </c>
      <c r="G124" s="3">
        <v>1551</v>
      </c>
      <c r="H124" s="29" t="s">
        <v>51</v>
      </c>
      <c r="I124" s="3">
        <v>3</v>
      </c>
      <c r="J124" s="7">
        <v>0.36875000000000002</v>
      </c>
      <c r="K124" s="7">
        <v>0.36875000000000002</v>
      </c>
      <c r="L124" s="3">
        <f t="shared" si="3"/>
        <v>0</v>
      </c>
      <c r="M124" s="3">
        <f t="shared" si="4"/>
        <v>0</v>
      </c>
      <c r="N124" s="29">
        <f>_xlfn.MAXIFS($G$7:G123,$E$7:E123,detalhe_carro1[[#This Row],[Nó]],$B$7:B123,detalhe_carro1[[#This Row],[Numero Voltas]],$L$7:L123,1)</f>
        <v>1063</v>
      </c>
      <c r="O124" s="3" t="str">
        <f>IF(OR(detalhe_carro1[[#This Row],[Ultima Chegada]]=0,detalhe_carro1[[#This Row],[Chegada]]=0),"",detalhe_carro1[[#This Row],[Hora Inicio]]-detalhe_carro1[[#This Row],[Ultima Chegada]])</f>
        <v/>
      </c>
      <c r="P124" s="3">
        <f>IF(detalhe_carro1[[#This Row],[Tipo]]="Visitar Nó",((detalhe_carro1[[#This Row],[Hora Fim]]-detalhe_carro1[[#This Row],[Hora Inicio]])/60*velocidade_nos),0)</f>
        <v>0</v>
      </c>
      <c r="Q124" s="29">
        <f>detalhe_carro1[[#This Row],[Kms Nós]]+detalhe_carro1[[#This Row],[kms]]</f>
        <v>3</v>
      </c>
      <c r="S124" s="20">
        <v>2</v>
      </c>
      <c r="T124" s="20">
        <v>2</v>
      </c>
      <c r="U124" s="20">
        <v>7</v>
      </c>
      <c r="V124" s="20" t="s">
        <v>33</v>
      </c>
      <c r="W124">
        <v>1334</v>
      </c>
      <c r="X124">
        <v>1334</v>
      </c>
      <c r="Y124">
        <v>1063</v>
      </c>
      <c r="Z124" s="7">
        <v>0.21805555555555556</v>
      </c>
      <c r="AA124" s="7">
        <v>0.21805555555555556</v>
      </c>
      <c r="AB124" s="7">
        <v>2.9861111111111113E-2</v>
      </c>
      <c r="AC1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4.5166666666666666</v>
      </c>
      <c r="AJ124" s="18"/>
      <c r="AM124"/>
      <c r="AN124"/>
    </row>
    <row r="125" spans="2:40" x14ac:dyDescent="0.25">
      <c r="B125" s="3">
        <v>1</v>
      </c>
      <c r="C125">
        <v>2</v>
      </c>
      <c r="D125">
        <v>7</v>
      </c>
      <c r="E125" s="29" t="s">
        <v>33</v>
      </c>
      <c r="F125" s="3">
        <v>1551</v>
      </c>
      <c r="G125" s="3">
        <v>1551</v>
      </c>
      <c r="H125" s="29" t="s">
        <v>51</v>
      </c>
      <c r="I125" s="3">
        <v>3</v>
      </c>
      <c r="J125" s="7">
        <v>0.36875000000000002</v>
      </c>
      <c r="K125" s="7">
        <v>0.36875000000000002</v>
      </c>
      <c r="L125" s="3">
        <f t="shared" si="3"/>
        <v>0</v>
      </c>
      <c r="M125" s="3">
        <f t="shared" si="4"/>
        <v>0</v>
      </c>
      <c r="N125" s="29">
        <f>_xlfn.MAXIFS($G$7:G124,$E$7:E124,detalhe_carro1[[#This Row],[Nó]],$B$7:B124,detalhe_carro1[[#This Row],[Numero Voltas]],$L$7:L124,1)</f>
        <v>1063</v>
      </c>
      <c r="O125" s="3" t="str">
        <f>IF(OR(detalhe_carro1[[#This Row],[Ultima Chegada]]=0,detalhe_carro1[[#This Row],[Chegada]]=0),"",detalhe_carro1[[#This Row],[Hora Inicio]]-detalhe_carro1[[#This Row],[Ultima Chegada]])</f>
        <v/>
      </c>
      <c r="P125" s="3">
        <f>IF(detalhe_carro1[[#This Row],[Tipo]]="Visitar Nó",((detalhe_carro1[[#This Row],[Hora Fim]]-detalhe_carro1[[#This Row],[Hora Inicio]])/60*velocidade_nos),0)</f>
        <v>0</v>
      </c>
      <c r="Q125" s="29">
        <f>detalhe_carro1[[#This Row],[Kms Nós]]+detalhe_carro1[[#This Row],[kms]]</f>
        <v>3</v>
      </c>
      <c r="S125" s="20">
        <v>2</v>
      </c>
      <c r="T125" s="20">
        <v>2</v>
      </c>
      <c r="U125" s="20">
        <v>6</v>
      </c>
      <c r="V125" s="20" t="s">
        <v>31</v>
      </c>
      <c r="W125">
        <v>1337</v>
      </c>
      <c r="X125">
        <v>1337</v>
      </c>
      <c r="Y125">
        <v>1331</v>
      </c>
      <c r="Z125" s="7">
        <v>0.22013888888888888</v>
      </c>
      <c r="AA125" s="7">
        <v>0.22013888888888888</v>
      </c>
      <c r="AB125" s="7">
        <v>0.21597222222222223</v>
      </c>
      <c r="AC1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  <c r="AJ125" s="18"/>
      <c r="AM125"/>
      <c r="AN125"/>
    </row>
    <row r="126" spans="2:40" x14ac:dyDescent="0.25">
      <c r="B126" s="3">
        <v>1</v>
      </c>
      <c r="C126">
        <v>2</v>
      </c>
      <c r="D126">
        <v>7</v>
      </c>
      <c r="E126" s="29" t="s">
        <v>33</v>
      </c>
      <c r="F126" s="3">
        <v>1551</v>
      </c>
      <c r="G126" s="3">
        <v>1551</v>
      </c>
      <c r="H126" s="29" t="s">
        <v>51</v>
      </c>
      <c r="I126" s="3">
        <v>3</v>
      </c>
      <c r="J126" s="7">
        <v>0.36875000000000002</v>
      </c>
      <c r="K126" s="7">
        <v>0.36875000000000002</v>
      </c>
      <c r="L126" s="3">
        <f t="shared" si="3"/>
        <v>0</v>
      </c>
      <c r="M126" s="3">
        <f t="shared" si="4"/>
        <v>0</v>
      </c>
      <c r="N126" s="29">
        <f>_xlfn.MAXIFS($G$7:G125,$E$7:E125,detalhe_carro1[[#This Row],[Nó]],$B$7:B125,detalhe_carro1[[#This Row],[Numero Voltas]],$L$7:L125,1)</f>
        <v>1063</v>
      </c>
      <c r="O126" s="3" t="str">
        <f>IF(OR(detalhe_carro1[[#This Row],[Ultima Chegada]]=0,detalhe_carro1[[#This Row],[Chegada]]=0),"",detalhe_carro1[[#This Row],[Hora Inicio]]-detalhe_carro1[[#This Row],[Ultima Chegada]])</f>
        <v/>
      </c>
      <c r="P126" s="3">
        <f>IF(detalhe_carro1[[#This Row],[Tipo]]="Visitar Nó",((detalhe_carro1[[#This Row],[Hora Fim]]-detalhe_carro1[[#This Row],[Hora Inicio]])/60*velocidade_nos),0)</f>
        <v>0</v>
      </c>
      <c r="Q126" s="29">
        <f>detalhe_carro1[[#This Row],[Kms Nós]]+detalhe_carro1[[#This Row],[kms]]</f>
        <v>3</v>
      </c>
      <c r="S126" s="20">
        <v>2</v>
      </c>
      <c r="T126" s="20">
        <v>2</v>
      </c>
      <c r="U126" s="20">
        <v>5</v>
      </c>
      <c r="V126" s="20" t="s">
        <v>29</v>
      </c>
      <c r="W126">
        <v>1340</v>
      </c>
      <c r="X126">
        <v>1340</v>
      </c>
      <c r="Y126">
        <v>1316</v>
      </c>
      <c r="Z126" s="7">
        <v>0.22222222222222221</v>
      </c>
      <c r="AA126" s="7">
        <v>0.22222222222222221</v>
      </c>
      <c r="AB126" s="7">
        <v>0.20555555555555555</v>
      </c>
      <c r="AC1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</v>
      </c>
      <c r="AJ126" s="18"/>
      <c r="AM126"/>
      <c r="AN126"/>
    </row>
    <row r="127" spans="2:40" x14ac:dyDescent="0.25">
      <c r="B127" s="3">
        <v>2</v>
      </c>
      <c r="C127">
        <v>0</v>
      </c>
      <c r="D127">
        <v>7</v>
      </c>
      <c r="E127" s="29" t="s">
        <v>33</v>
      </c>
      <c r="F127" s="3">
        <v>30</v>
      </c>
      <c r="G127" s="3">
        <v>90</v>
      </c>
      <c r="H127" s="29" t="s">
        <v>54</v>
      </c>
      <c r="I127" s="3">
        <v>0</v>
      </c>
      <c r="J127" s="7">
        <v>0.3125</v>
      </c>
      <c r="K127" s="7">
        <v>0.35416666666666669</v>
      </c>
      <c r="L127" s="3">
        <f t="shared" si="3"/>
        <v>0</v>
      </c>
      <c r="M127" s="3">
        <f t="shared" si="4"/>
        <v>0</v>
      </c>
      <c r="N127" s="29">
        <f>_xlfn.MAXIFS($G$7:G126,$E$7:E126,detalhe_carro1[[#This Row],[Nó]],$B$7:B126,detalhe_carro1[[#This Row],[Numero Voltas]],$L$7:L126,1)</f>
        <v>0</v>
      </c>
      <c r="O127" s="3" t="str">
        <f>IF(OR(detalhe_carro1[[#This Row],[Ultima Chegada]]=0,detalhe_carro1[[#This Row],[Chegada]]=0),"",detalhe_carro1[[#This Row],[Hora Inicio]]-detalhe_carro1[[#This Row],[Ultima Chegada]])</f>
        <v/>
      </c>
      <c r="P127" s="3">
        <f>IF(detalhe_carro1[[#This Row],[Tipo]]="Visitar Nó",((detalhe_carro1[[#This Row],[Hora Fim]]-detalhe_carro1[[#This Row],[Hora Inicio]])/60*velocidade_nos),0)</f>
        <v>0</v>
      </c>
      <c r="Q127" s="29">
        <f>detalhe_carro1[[#This Row],[Kms Nós]]+detalhe_carro1[[#This Row],[kms]]</f>
        <v>0</v>
      </c>
      <c r="S127" s="20">
        <v>2</v>
      </c>
      <c r="T127" s="20">
        <v>2</v>
      </c>
      <c r="U127" s="20">
        <v>4</v>
      </c>
      <c r="V127" s="20" t="s">
        <v>27</v>
      </c>
      <c r="W127">
        <v>1343</v>
      </c>
      <c r="X127">
        <v>1343</v>
      </c>
      <c r="Y127">
        <v>1269</v>
      </c>
      <c r="Z127" s="7">
        <v>0.22430555555555556</v>
      </c>
      <c r="AA127" s="7">
        <v>0.22430555555555556</v>
      </c>
      <c r="AB127" s="7">
        <v>0.17291666666666666</v>
      </c>
      <c r="AC1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1.2333333333333334</v>
      </c>
      <c r="AJ127" s="18"/>
      <c r="AM127"/>
      <c r="AN127"/>
    </row>
    <row r="128" spans="2:40" x14ac:dyDescent="0.25">
      <c r="B128" s="3">
        <v>2</v>
      </c>
      <c r="C128">
        <v>0</v>
      </c>
      <c r="D128">
        <v>7</v>
      </c>
      <c r="E128" s="29" t="s">
        <v>33</v>
      </c>
      <c r="F128" s="3">
        <v>60</v>
      </c>
      <c r="G128" s="3">
        <v>90</v>
      </c>
      <c r="H128" s="29" t="s">
        <v>54</v>
      </c>
      <c r="I128" s="3">
        <v>0</v>
      </c>
      <c r="J128" s="7">
        <v>0.33333333333333331</v>
      </c>
      <c r="K128" s="7">
        <v>0.35416666666666669</v>
      </c>
      <c r="L128" s="3">
        <f t="shared" si="3"/>
        <v>0</v>
      </c>
      <c r="M128" s="3">
        <f t="shared" si="4"/>
        <v>0</v>
      </c>
      <c r="N128" s="29">
        <f>_xlfn.MAXIFS($G$7:G127,$E$7:E127,detalhe_carro1[[#This Row],[Nó]],$B$7:B127,detalhe_carro1[[#This Row],[Numero Voltas]],$L$7:L127,1)</f>
        <v>0</v>
      </c>
      <c r="O128" s="3" t="str">
        <f>IF(OR(detalhe_carro1[[#This Row],[Ultima Chegada]]=0,detalhe_carro1[[#This Row],[Chegada]]=0),"",detalhe_carro1[[#This Row],[Hora Inicio]]-detalhe_carro1[[#This Row],[Ultima Chegada]])</f>
        <v/>
      </c>
      <c r="P128" s="3">
        <f>IF(detalhe_carro1[[#This Row],[Tipo]]="Visitar Nó",((detalhe_carro1[[#This Row],[Hora Fim]]-detalhe_carro1[[#This Row],[Hora Inicio]])/60*velocidade_nos),0)</f>
        <v>0</v>
      </c>
      <c r="Q128" s="29">
        <f>detalhe_carro1[[#This Row],[Kms Nós]]+detalhe_carro1[[#This Row],[kms]]</f>
        <v>0</v>
      </c>
      <c r="S128" s="20">
        <v>2</v>
      </c>
      <c r="T128" s="20">
        <v>2</v>
      </c>
      <c r="U128" s="20">
        <v>3</v>
      </c>
      <c r="V128" s="20" t="s">
        <v>26</v>
      </c>
      <c r="W128">
        <v>1344</v>
      </c>
      <c r="X128">
        <v>1344</v>
      </c>
      <c r="Y128">
        <v>1254</v>
      </c>
      <c r="Z128" s="7">
        <v>0.22500000000000001</v>
      </c>
      <c r="AA128" s="7">
        <v>0.22500000000000001</v>
      </c>
      <c r="AB128" s="7">
        <v>0.16250000000000001</v>
      </c>
      <c r="AC1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</v>
      </c>
      <c r="AJ128" s="18"/>
      <c r="AM128"/>
      <c r="AN128"/>
    </row>
    <row r="129" spans="2:40" x14ac:dyDescent="0.25">
      <c r="B129" s="3">
        <v>2</v>
      </c>
      <c r="C129">
        <v>0</v>
      </c>
      <c r="D129">
        <v>7</v>
      </c>
      <c r="E129" s="29" t="s">
        <v>33</v>
      </c>
      <c r="F129" s="3">
        <v>90</v>
      </c>
      <c r="G129" s="3">
        <v>90</v>
      </c>
      <c r="H129" s="29" t="s">
        <v>49</v>
      </c>
      <c r="I129" s="3">
        <v>0</v>
      </c>
      <c r="J129" s="7">
        <v>0.35416666666666669</v>
      </c>
      <c r="K129" s="7">
        <v>0.35416666666666669</v>
      </c>
      <c r="L129" s="3">
        <f t="shared" si="3"/>
        <v>0</v>
      </c>
      <c r="M129" s="3">
        <f t="shared" si="4"/>
        <v>0</v>
      </c>
      <c r="N129" s="29">
        <f>_xlfn.MAXIFS($G$7:G128,$E$7:E128,detalhe_carro1[[#This Row],[Nó]],$B$7:B128,detalhe_carro1[[#This Row],[Numero Voltas]],$L$7:L128,1)</f>
        <v>0</v>
      </c>
      <c r="O129" s="3" t="str">
        <f>IF(OR(detalhe_carro1[[#This Row],[Ultima Chegada]]=0,detalhe_carro1[[#This Row],[Chegada]]=0),"",detalhe_carro1[[#This Row],[Hora Inicio]]-detalhe_carro1[[#This Row],[Ultima Chegada]])</f>
        <v/>
      </c>
      <c r="P129" s="3">
        <f>IF(detalhe_carro1[[#This Row],[Tipo]]="Visitar Nó",((detalhe_carro1[[#This Row],[Hora Fim]]-detalhe_carro1[[#This Row],[Hora Inicio]])/60*velocidade_nos),0)</f>
        <v>0</v>
      </c>
      <c r="Q129" s="29">
        <f>detalhe_carro1[[#This Row],[Kms Nós]]+detalhe_carro1[[#This Row],[kms]]</f>
        <v>0</v>
      </c>
      <c r="S129" s="20">
        <v>2</v>
      </c>
      <c r="T129" s="20">
        <v>2</v>
      </c>
      <c r="U129" s="20">
        <v>2</v>
      </c>
      <c r="V129" s="20" t="s">
        <v>24</v>
      </c>
      <c r="W129">
        <v>1345</v>
      </c>
      <c r="X129">
        <v>1345</v>
      </c>
      <c r="Y129">
        <v>1242</v>
      </c>
      <c r="Z129" s="7">
        <v>0.22569444444444445</v>
      </c>
      <c r="AA129" s="7">
        <v>0.22569444444444445</v>
      </c>
      <c r="AB129" s="7">
        <v>0.15416666666666667</v>
      </c>
      <c r="AC1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  <c r="AJ129" s="18"/>
      <c r="AM129"/>
      <c r="AN129"/>
    </row>
    <row r="130" spans="2:40" x14ac:dyDescent="0.25">
      <c r="B130" s="3">
        <v>2</v>
      </c>
      <c r="C130">
        <v>0</v>
      </c>
      <c r="D130">
        <v>7</v>
      </c>
      <c r="E130" s="29" t="s">
        <v>33</v>
      </c>
      <c r="F130" s="3">
        <v>90</v>
      </c>
      <c r="G130" s="3">
        <v>103</v>
      </c>
      <c r="H130" s="29" t="s">
        <v>50</v>
      </c>
      <c r="I130" s="3">
        <v>0</v>
      </c>
      <c r="J130" s="7">
        <v>0.35416666666666669</v>
      </c>
      <c r="K130" s="7">
        <v>0.36319444444444443</v>
      </c>
      <c r="L130" s="3">
        <f t="shared" si="3"/>
        <v>0</v>
      </c>
      <c r="M130" s="3">
        <f t="shared" si="4"/>
        <v>0</v>
      </c>
      <c r="N130" s="29">
        <f>_xlfn.MAXIFS($G$7:G129,$E$7:E129,detalhe_carro1[[#This Row],[Nó]],$B$7:B129,detalhe_carro1[[#This Row],[Numero Voltas]],$L$7:L129,1)</f>
        <v>0</v>
      </c>
      <c r="O130" s="3" t="str">
        <f>IF(OR(detalhe_carro1[[#This Row],[Ultima Chegada]]=0,detalhe_carro1[[#This Row],[Chegada]]=0),"",detalhe_carro1[[#This Row],[Hora Inicio]]-detalhe_carro1[[#This Row],[Ultima Chegada]])</f>
        <v/>
      </c>
      <c r="P130" s="3">
        <f>IF(detalhe_carro1[[#This Row],[Tipo]]="Visitar Nó",((detalhe_carro1[[#This Row],[Hora Fim]]-detalhe_carro1[[#This Row],[Hora Inicio]])/60*velocidade_nos),0)</f>
        <v>6.5</v>
      </c>
      <c r="Q130" s="29">
        <f>detalhe_carro1[[#This Row],[Kms Nós]]+detalhe_carro1[[#This Row],[kms]]</f>
        <v>6.5</v>
      </c>
      <c r="S130" s="20">
        <v>2</v>
      </c>
      <c r="T130" s="20">
        <v>2</v>
      </c>
      <c r="U130" s="20">
        <v>1</v>
      </c>
      <c r="V130" s="20" t="s">
        <v>22</v>
      </c>
      <c r="W130">
        <v>1352</v>
      </c>
      <c r="X130">
        <v>1352</v>
      </c>
      <c r="Y130">
        <v>1214</v>
      </c>
      <c r="Z130" s="7">
        <v>0.23055555555555557</v>
      </c>
      <c r="AA130" s="7">
        <v>0.23055555555555557</v>
      </c>
      <c r="AB130" s="7">
        <v>0.13472222222222222</v>
      </c>
      <c r="AC1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2.2999999999999998</v>
      </c>
      <c r="AJ130" s="18"/>
      <c r="AM130"/>
      <c r="AN130"/>
    </row>
    <row r="131" spans="2:40" x14ac:dyDescent="0.25">
      <c r="B131" s="3">
        <v>2</v>
      </c>
      <c r="C131">
        <v>0</v>
      </c>
      <c r="D131">
        <v>7</v>
      </c>
      <c r="E131" s="29" t="s">
        <v>33</v>
      </c>
      <c r="F131" s="3">
        <v>103</v>
      </c>
      <c r="G131" s="3">
        <v>103</v>
      </c>
      <c r="H131" s="29" t="s">
        <v>51</v>
      </c>
      <c r="I131" s="3">
        <v>0</v>
      </c>
      <c r="J131" s="7">
        <v>0.36319444444444443</v>
      </c>
      <c r="K131" s="7">
        <v>0.36319444444444443</v>
      </c>
      <c r="L131" s="3">
        <f t="shared" si="3"/>
        <v>1</v>
      </c>
      <c r="M131" s="3">
        <f t="shared" si="4"/>
        <v>0</v>
      </c>
      <c r="N131" s="29">
        <f>_xlfn.MAXIFS($G$7:G130,$E$7:E130,detalhe_carro1[[#This Row],[Nó]],$B$7:B130,detalhe_carro1[[#This Row],[Numero Voltas]],$L$7:L130,1)</f>
        <v>0</v>
      </c>
      <c r="O131" s="3" t="str">
        <f>IF(OR(detalhe_carro1[[#This Row],[Ultima Chegada]]=0,detalhe_carro1[[#This Row],[Chegada]]=0),"",detalhe_carro1[[#This Row],[Hora Inicio]]-detalhe_carro1[[#This Row],[Ultima Chegada]])</f>
        <v/>
      </c>
      <c r="P131" s="3">
        <f>IF(detalhe_carro1[[#This Row],[Tipo]]="Visitar Nó",((detalhe_carro1[[#This Row],[Hora Fim]]-detalhe_carro1[[#This Row],[Hora Inicio]])/60*velocidade_nos),0)</f>
        <v>0</v>
      </c>
      <c r="Q131" s="29">
        <f>detalhe_carro1[[#This Row],[Kms Nós]]+detalhe_carro1[[#This Row],[kms]]</f>
        <v>0</v>
      </c>
      <c r="S131" s="20">
        <v>2</v>
      </c>
      <c r="T131" s="20">
        <v>2</v>
      </c>
      <c r="U131" s="20">
        <v>0</v>
      </c>
      <c r="V131" s="20" t="s">
        <v>20</v>
      </c>
      <c r="W131">
        <v>1353</v>
      </c>
      <c r="X131">
        <v>1353</v>
      </c>
      <c r="Y131">
        <v>1207</v>
      </c>
      <c r="Z131" s="7">
        <v>0.23125000000000001</v>
      </c>
      <c r="AA131" s="7">
        <v>0.23125000000000001</v>
      </c>
      <c r="AB131" s="7">
        <v>0.12986111111111112</v>
      </c>
      <c r="AC1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2.4333333333333331</v>
      </c>
      <c r="AJ131" s="18"/>
      <c r="AM131"/>
      <c r="AN131"/>
    </row>
    <row r="132" spans="2:40" x14ac:dyDescent="0.25">
      <c r="B132" s="3">
        <v>2</v>
      </c>
      <c r="C132">
        <v>0</v>
      </c>
      <c r="D132">
        <v>6</v>
      </c>
      <c r="E132" s="29" t="s">
        <v>31</v>
      </c>
      <c r="F132" s="3">
        <v>116</v>
      </c>
      <c r="G132" s="3">
        <v>195</v>
      </c>
      <c r="H132" s="29" t="s">
        <v>52</v>
      </c>
      <c r="I132" s="3">
        <v>0</v>
      </c>
      <c r="J132" s="7">
        <v>0.37222222222222223</v>
      </c>
      <c r="K132" s="7">
        <v>0.42708333333333331</v>
      </c>
      <c r="L132" s="3">
        <f t="shared" si="3"/>
        <v>0</v>
      </c>
      <c r="M132" s="3">
        <f t="shared" si="4"/>
        <v>1</v>
      </c>
      <c r="N132" s="29">
        <f>_xlfn.MAXIFS($G$7:G131,$E$7:E131,detalhe_carro1[[#This Row],[Nó]],$B$7:B131,detalhe_carro1[[#This Row],[Numero Voltas]],$L$7:L131,1)</f>
        <v>0</v>
      </c>
      <c r="O132" s="3" t="str">
        <f>IF(OR(detalhe_carro1[[#This Row],[Ultima Chegada]]=0,detalhe_carro1[[#This Row],[Chegada]]=0),"",detalhe_carro1[[#This Row],[Hora Inicio]]-detalhe_carro1[[#This Row],[Ultima Chegada]])</f>
        <v/>
      </c>
      <c r="P132" s="3">
        <f>IF(detalhe_carro1[[#This Row],[Tipo]]="Visitar Nó",((detalhe_carro1[[#This Row],[Hora Fim]]-detalhe_carro1[[#This Row],[Hora Inicio]])/60*velocidade_nos),0)</f>
        <v>0</v>
      </c>
      <c r="Q132" s="29">
        <f>detalhe_carro1[[#This Row],[Kms Nós]]+detalhe_carro1[[#This Row],[kms]]</f>
        <v>0</v>
      </c>
      <c r="S132" s="20">
        <v>2</v>
      </c>
      <c r="T132" s="20">
        <v>2</v>
      </c>
      <c r="U132" s="20">
        <v>1</v>
      </c>
      <c r="V132" s="20" t="s">
        <v>22</v>
      </c>
      <c r="W132">
        <v>1354</v>
      </c>
      <c r="X132">
        <v>1434</v>
      </c>
      <c r="Y132">
        <v>1352</v>
      </c>
      <c r="Z132" s="7">
        <v>0.23194444444444445</v>
      </c>
      <c r="AA132" s="7">
        <v>0.28749999999999998</v>
      </c>
      <c r="AB132" s="7">
        <v>0.23055555555555557</v>
      </c>
      <c r="AC1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132" s="18"/>
      <c r="AM132"/>
      <c r="AN132"/>
    </row>
    <row r="133" spans="2:40" x14ac:dyDescent="0.25">
      <c r="B133" s="3">
        <v>2</v>
      </c>
      <c r="C133">
        <v>0</v>
      </c>
      <c r="D133">
        <v>6</v>
      </c>
      <c r="E133" s="29" t="s">
        <v>31</v>
      </c>
      <c r="F133" s="3">
        <v>198</v>
      </c>
      <c r="G133" s="3">
        <v>208</v>
      </c>
      <c r="H133" s="29" t="s">
        <v>297</v>
      </c>
      <c r="I133" s="3">
        <v>0</v>
      </c>
      <c r="J133" s="7">
        <v>0.42916666666666664</v>
      </c>
      <c r="K133" s="7">
        <v>0.43611111111111112</v>
      </c>
      <c r="L133" s="3">
        <f t="shared" si="3"/>
        <v>0</v>
      </c>
      <c r="M133" s="3">
        <f t="shared" si="4"/>
        <v>0</v>
      </c>
      <c r="N133" s="29">
        <f>_xlfn.MAXIFS($G$7:G132,$E$7:E132,detalhe_carro1[[#This Row],[Nó]],$B$7:B132,detalhe_carro1[[#This Row],[Numero Voltas]],$L$7:L132,1)</f>
        <v>0</v>
      </c>
      <c r="O133" s="3" t="str">
        <f>IF(OR(detalhe_carro1[[#This Row],[Ultima Chegada]]=0,detalhe_carro1[[#This Row],[Chegada]]=0),"",detalhe_carro1[[#This Row],[Hora Inicio]]-detalhe_carro1[[#This Row],[Ultima Chegada]])</f>
        <v/>
      </c>
      <c r="P133" s="3">
        <f>IF(detalhe_carro1[[#This Row],[Tipo]]="Visitar Nó",((detalhe_carro1[[#This Row],[Hora Fim]]-detalhe_carro1[[#This Row],[Hora Inicio]])/60*velocidade_nos),0)</f>
        <v>0</v>
      </c>
      <c r="Q133" s="29">
        <f>detalhe_carro1[[#This Row],[Kms Nós]]+detalhe_carro1[[#This Row],[kms]]</f>
        <v>0</v>
      </c>
      <c r="S133" s="20">
        <v>2</v>
      </c>
      <c r="T133" s="20">
        <v>2</v>
      </c>
      <c r="U133" s="20">
        <v>2</v>
      </c>
      <c r="V133" s="20" t="s">
        <v>24</v>
      </c>
      <c r="W133">
        <v>1441</v>
      </c>
      <c r="X133">
        <v>1441</v>
      </c>
      <c r="Y133">
        <v>1345</v>
      </c>
      <c r="Z133" s="7">
        <v>0.29236111111111113</v>
      </c>
      <c r="AA133" s="7">
        <v>0.29236111111111113</v>
      </c>
      <c r="AB133" s="7">
        <v>0.22569444444444445</v>
      </c>
      <c r="AC1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1.6</v>
      </c>
      <c r="AJ133" s="18"/>
      <c r="AM133"/>
      <c r="AN133"/>
    </row>
    <row r="134" spans="2:40" x14ac:dyDescent="0.25">
      <c r="B134" s="3">
        <v>2</v>
      </c>
      <c r="C134">
        <v>0</v>
      </c>
      <c r="D134">
        <v>6</v>
      </c>
      <c r="E134" s="29" t="s">
        <v>31</v>
      </c>
      <c r="F134" s="3">
        <v>211</v>
      </c>
      <c r="G134" s="3">
        <v>220</v>
      </c>
      <c r="H134" s="29" t="s">
        <v>50</v>
      </c>
      <c r="I134" s="3">
        <v>0</v>
      </c>
      <c r="J134" s="7">
        <v>0.43819444444444444</v>
      </c>
      <c r="K134" s="7">
        <v>0.44444444444444442</v>
      </c>
      <c r="L134" s="3">
        <f t="shared" si="3"/>
        <v>0</v>
      </c>
      <c r="M134" s="3">
        <f t="shared" si="4"/>
        <v>0</v>
      </c>
      <c r="N134" s="29">
        <f>_xlfn.MAXIFS($G$7:G133,$E$7:E133,detalhe_carro1[[#This Row],[Nó]],$B$7:B133,detalhe_carro1[[#This Row],[Numero Voltas]],$L$7:L133,1)</f>
        <v>0</v>
      </c>
      <c r="O134" s="3" t="str">
        <f>IF(OR(detalhe_carro1[[#This Row],[Ultima Chegada]]=0,detalhe_carro1[[#This Row],[Chegada]]=0),"",detalhe_carro1[[#This Row],[Hora Inicio]]-detalhe_carro1[[#This Row],[Ultima Chegada]])</f>
        <v/>
      </c>
      <c r="P134" s="3">
        <f>IF(detalhe_carro1[[#This Row],[Tipo]]="Visitar Nó",((detalhe_carro1[[#This Row],[Hora Fim]]-detalhe_carro1[[#This Row],[Hora Inicio]])/60*velocidade_nos),0)</f>
        <v>4.5</v>
      </c>
      <c r="Q134" s="29">
        <f>detalhe_carro1[[#This Row],[Kms Nós]]+detalhe_carro1[[#This Row],[kms]]</f>
        <v>4.5</v>
      </c>
      <c r="S134" s="20">
        <v>2</v>
      </c>
      <c r="T134" s="20">
        <v>2</v>
      </c>
      <c r="U134" s="20">
        <v>3</v>
      </c>
      <c r="V134" s="20" t="s">
        <v>26</v>
      </c>
      <c r="W134">
        <v>1442</v>
      </c>
      <c r="X134">
        <v>1442</v>
      </c>
      <c r="Y134">
        <v>1344</v>
      </c>
      <c r="Z134" s="7">
        <v>0.29305555555555557</v>
      </c>
      <c r="AA134" s="7">
        <v>0.29305555555555557</v>
      </c>
      <c r="AB134" s="7">
        <v>0.22500000000000001</v>
      </c>
      <c r="AC1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1.6333333333333333</v>
      </c>
      <c r="AJ134" s="18"/>
      <c r="AM134"/>
      <c r="AN134"/>
    </row>
    <row r="135" spans="2:40" x14ac:dyDescent="0.25">
      <c r="B135" s="3">
        <v>2</v>
      </c>
      <c r="C135">
        <v>0</v>
      </c>
      <c r="D135">
        <v>6</v>
      </c>
      <c r="E135" s="29" t="s">
        <v>31</v>
      </c>
      <c r="F135" s="3">
        <v>223</v>
      </c>
      <c r="G135" s="3">
        <v>223</v>
      </c>
      <c r="H135" s="29" t="s">
        <v>51</v>
      </c>
      <c r="I135" s="3">
        <v>3</v>
      </c>
      <c r="J135" s="7">
        <v>0.4465277777777778</v>
      </c>
      <c r="K135" s="7">
        <v>0.4465277777777778</v>
      </c>
      <c r="L135" s="3">
        <f t="shared" ref="L135:L198" si="5">IF(E135&lt;&gt;E136,1,0)</f>
        <v>1</v>
      </c>
      <c r="M135" s="3">
        <f t="shared" ref="M135:M198" si="6">IF(E135&lt;&gt;E134,1,0)</f>
        <v>0</v>
      </c>
      <c r="N135" s="29">
        <f>_xlfn.MAXIFS($G$7:G134,$E$7:E134,detalhe_carro1[[#This Row],[Nó]],$B$7:B134,detalhe_carro1[[#This Row],[Numero Voltas]],$L$7:L134,1)</f>
        <v>0</v>
      </c>
      <c r="O135" s="3" t="str">
        <f>IF(OR(detalhe_carro1[[#This Row],[Ultima Chegada]]=0,detalhe_carro1[[#This Row],[Chegada]]=0),"",detalhe_carro1[[#This Row],[Hora Inicio]]-detalhe_carro1[[#This Row],[Ultima Chegada]])</f>
        <v/>
      </c>
      <c r="P135" s="3">
        <f>IF(detalhe_carro1[[#This Row],[Tipo]]="Visitar Nó",((detalhe_carro1[[#This Row],[Hora Fim]]-detalhe_carro1[[#This Row],[Hora Inicio]])/60*velocidade_nos),0)</f>
        <v>0</v>
      </c>
      <c r="Q135" s="29">
        <f>detalhe_carro1[[#This Row],[Kms Nós]]+detalhe_carro1[[#This Row],[kms]]</f>
        <v>3</v>
      </c>
      <c r="S135" s="20">
        <v>2</v>
      </c>
      <c r="T135" s="20">
        <v>2</v>
      </c>
      <c r="U135" s="20">
        <v>4</v>
      </c>
      <c r="V135" s="20" t="s">
        <v>27</v>
      </c>
      <c r="W135">
        <v>1443</v>
      </c>
      <c r="X135">
        <v>1443</v>
      </c>
      <c r="Y135">
        <v>1343</v>
      </c>
      <c r="Z135" s="7">
        <v>0.29375000000000001</v>
      </c>
      <c r="AA135" s="7">
        <v>0.29375000000000001</v>
      </c>
      <c r="AB135" s="7">
        <v>0.22430555555555556</v>
      </c>
      <c r="AC1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1.6666666666666667</v>
      </c>
      <c r="AJ135" s="18"/>
      <c r="AM135"/>
      <c r="AN135"/>
    </row>
    <row r="136" spans="2:40" x14ac:dyDescent="0.25">
      <c r="B136" s="3">
        <v>2</v>
      </c>
      <c r="C136">
        <v>0</v>
      </c>
      <c r="D136">
        <v>5</v>
      </c>
      <c r="E136" s="29" t="s">
        <v>29</v>
      </c>
      <c r="F136" s="3">
        <v>226</v>
      </c>
      <c r="G136" s="3">
        <v>254</v>
      </c>
      <c r="H136" s="29" t="s">
        <v>50</v>
      </c>
      <c r="I136" s="3">
        <v>0</v>
      </c>
      <c r="J136" s="7">
        <v>0.44861111111111113</v>
      </c>
      <c r="K136" s="7">
        <v>0.46805555555555556</v>
      </c>
      <c r="L136" s="3">
        <f t="shared" si="5"/>
        <v>0</v>
      </c>
      <c r="M136" s="3">
        <f t="shared" si="6"/>
        <v>1</v>
      </c>
      <c r="N136" s="29">
        <f>_xlfn.MAXIFS($G$7:G135,$E$7:E135,detalhe_carro1[[#This Row],[Nó]],$B$7:B135,detalhe_carro1[[#This Row],[Numero Voltas]],$L$7:L135,1)</f>
        <v>0</v>
      </c>
      <c r="O136" s="3" t="str">
        <f>IF(OR(detalhe_carro1[[#This Row],[Ultima Chegada]]=0,detalhe_carro1[[#This Row],[Chegada]]=0),"",detalhe_carro1[[#This Row],[Hora Inicio]]-detalhe_carro1[[#This Row],[Ultima Chegada]])</f>
        <v/>
      </c>
      <c r="P136" s="3">
        <f>IF(detalhe_carro1[[#This Row],[Tipo]]="Visitar Nó",((detalhe_carro1[[#This Row],[Hora Fim]]-detalhe_carro1[[#This Row],[Hora Inicio]])/60*velocidade_nos),0)</f>
        <v>14</v>
      </c>
      <c r="Q136" s="29">
        <f>detalhe_carro1[[#This Row],[Kms Nós]]+detalhe_carro1[[#This Row],[kms]]</f>
        <v>14</v>
      </c>
      <c r="S136" s="20">
        <v>2</v>
      </c>
      <c r="T136" s="20">
        <v>2</v>
      </c>
      <c r="U136" s="20">
        <v>5</v>
      </c>
      <c r="V136" s="20" t="s">
        <v>29</v>
      </c>
      <c r="W136">
        <v>1446</v>
      </c>
      <c r="X136">
        <v>1446</v>
      </c>
      <c r="Y136">
        <v>1340</v>
      </c>
      <c r="Z136" s="7">
        <v>0.29583333333333334</v>
      </c>
      <c r="AA136" s="7">
        <v>0.29583333333333334</v>
      </c>
      <c r="AB136" s="7">
        <v>0.22222222222222221</v>
      </c>
      <c r="AC1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1.7666666666666666</v>
      </c>
      <c r="AJ136" s="18"/>
      <c r="AM136"/>
      <c r="AN136"/>
    </row>
    <row r="137" spans="2:40" x14ac:dyDescent="0.25">
      <c r="B137" s="3">
        <v>2</v>
      </c>
      <c r="C137">
        <v>0</v>
      </c>
      <c r="D137">
        <v>5</v>
      </c>
      <c r="E137" s="29" t="s">
        <v>29</v>
      </c>
      <c r="F137" s="3">
        <v>257</v>
      </c>
      <c r="G137" s="3">
        <v>257</v>
      </c>
      <c r="H137" s="29" t="s">
        <v>51</v>
      </c>
      <c r="I137" s="3">
        <v>3</v>
      </c>
      <c r="J137" s="7">
        <v>0.47013888888888888</v>
      </c>
      <c r="K137" s="7">
        <v>0.47013888888888888</v>
      </c>
      <c r="L137" s="3">
        <f t="shared" si="5"/>
        <v>1</v>
      </c>
      <c r="M137" s="3">
        <f t="shared" si="6"/>
        <v>0</v>
      </c>
      <c r="N137" s="29">
        <f>_xlfn.MAXIFS($G$7:G136,$E$7:E136,detalhe_carro1[[#This Row],[Nó]],$B$7:B136,detalhe_carro1[[#This Row],[Numero Voltas]],$L$7:L136,1)</f>
        <v>0</v>
      </c>
      <c r="O137" s="3" t="str">
        <f>IF(OR(detalhe_carro1[[#This Row],[Ultima Chegada]]=0,detalhe_carro1[[#This Row],[Chegada]]=0),"",detalhe_carro1[[#This Row],[Hora Inicio]]-detalhe_carro1[[#This Row],[Ultima Chegada]])</f>
        <v/>
      </c>
      <c r="P137" s="3">
        <f>IF(detalhe_carro1[[#This Row],[Tipo]]="Visitar Nó",((detalhe_carro1[[#This Row],[Hora Fim]]-detalhe_carro1[[#This Row],[Hora Inicio]])/60*velocidade_nos),0)</f>
        <v>0</v>
      </c>
      <c r="Q137" s="29">
        <f>detalhe_carro1[[#This Row],[Kms Nós]]+detalhe_carro1[[#This Row],[kms]]</f>
        <v>3</v>
      </c>
      <c r="S137" s="20">
        <v>2</v>
      </c>
      <c r="T137" s="20">
        <v>2</v>
      </c>
      <c r="U137" s="20">
        <v>6</v>
      </c>
      <c r="V137" s="20" t="s">
        <v>31</v>
      </c>
      <c r="W137">
        <v>1449</v>
      </c>
      <c r="X137">
        <v>1531</v>
      </c>
      <c r="Y137">
        <v>1337</v>
      </c>
      <c r="Z137" s="7">
        <v>0.29791666666666666</v>
      </c>
      <c r="AA137" s="7">
        <v>0.35486111111111113</v>
      </c>
      <c r="AB137" s="7">
        <v>0.22013888888888888</v>
      </c>
      <c r="AC1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1.8666666666666667</v>
      </c>
      <c r="AJ137" s="18"/>
      <c r="AM137"/>
      <c r="AN137"/>
    </row>
    <row r="138" spans="2:40" x14ac:dyDescent="0.25">
      <c r="B138" s="3">
        <v>2</v>
      </c>
      <c r="C138">
        <v>0</v>
      </c>
      <c r="D138">
        <v>4</v>
      </c>
      <c r="E138" s="29" t="s">
        <v>27</v>
      </c>
      <c r="F138" s="3">
        <v>260</v>
      </c>
      <c r="G138" s="3">
        <v>273</v>
      </c>
      <c r="H138" s="29" t="s">
        <v>50</v>
      </c>
      <c r="I138" s="3">
        <v>0</v>
      </c>
      <c r="J138" s="7">
        <v>0.47222222222222221</v>
      </c>
      <c r="K138" s="7">
        <v>0.48125000000000001</v>
      </c>
      <c r="L138" s="3">
        <f t="shared" si="5"/>
        <v>0</v>
      </c>
      <c r="M138" s="3">
        <f t="shared" si="6"/>
        <v>1</v>
      </c>
      <c r="N138" s="29">
        <f>_xlfn.MAXIFS($G$7:G137,$E$7:E137,detalhe_carro1[[#This Row],[Nó]],$B$7:B137,detalhe_carro1[[#This Row],[Numero Voltas]],$L$7:L137,1)</f>
        <v>0</v>
      </c>
      <c r="O138" s="3" t="str">
        <f>IF(OR(detalhe_carro1[[#This Row],[Ultima Chegada]]=0,detalhe_carro1[[#This Row],[Chegada]]=0),"",detalhe_carro1[[#This Row],[Hora Inicio]]-detalhe_carro1[[#This Row],[Ultima Chegada]])</f>
        <v/>
      </c>
      <c r="P138" s="3">
        <f>IF(detalhe_carro1[[#This Row],[Tipo]]="Visitar Nó",((detalhe_carro1[[#This Row],[Hora Fim]]-detalhe_carro1[[#This Row],[Hora Inicio]])/60*velocidade_nos),0)</f>
        <v>6.5</v>
      </c>
      <c r="Q138" s="29">
        <f>detalhe_carro1[[#This Row],[Kms Nós]]+detalhe_carro1[[#This Row],[kms]]</f>
        <v>6.5</v>
      </c>
      <c r="S138" s="20">
        <v>2</v>
      </c>
      <c r="T138" s="20">
        <v>2</v>
      </c>
      <c r="U138" s="20">
        <v>7</v>
      </c>
      <c r="V138" s="20" t="s">
        <v>33</v>
      </c>
      <c r="W138">
        <v>1534</v>
      </c>
      <c r="X138">
        <v>1534</v>
      </c>
      <c r="Y138">
        <v>1334</v>
      </c>
      <c r="Z138" s="7">
        <v>0.35694444444444445</v>
      </c>
      <c r="AA138" s="7">
        <v>0.35694444444444445</v>
      </c>
      <c r="AB138" s="7">
        <v>0.21805555555555556</v>
      </c>
      <c r="AC1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3.3333333333333335</v>
      </c>
      <c r="AJ138" s="18"/>
      <c r="AM138"/>
      <c r="AN138"/>
    </row>
    <row r="139" spans="2:40" x14ac:dyDescent="0.25">
      <c r="B139" s="3">
        <v>2</v>
      </c>
      <c r="C139">
        <v>0</v>
      </c>
      <c r="D139">
        <v>4</v>
      </c>
      <c r="E139" s="29" t="s">
        <v>27</v>
      </c>
      <c r="F139" s="3">
        <v>276</v>
      </c>
      <c r="G139" s="3">
        <v>276</v>
      </c>
      <c r="H139" s="29" t="s">
        <v>51</v>
      </c>
      <c r="I139" s="3">
        <v>3</v>
      </c>
      <c r="J139" s="7">
        <v>0.48333333333333334</v>
      </c>
      <c r="K139" s="7">
        <v>0.48333333333333334</v>
      </c>
      <c r="L139" s="3">
        <f t="shared" si="5"/>
        <v>1</v>
      </c>
      <c r="M139" s="3">
        <f t="shared" si="6"/>
        <v>0</v>
      </c>
      <c r="N139" s="29">
        <f>_xlfn.MAXIFS($G$7:G138,$E$7:E138,detalhe_carro1[[#This Row],[Nó]],$B$7:B138,detalhe_carro1[[#This Row],[Numero Voltas]],$L$7:L138,1)</f>
        <v>0</v>
      </c>
      <c r="O139" s="3" t="str">
        <f>IF(OR(detalhe_carro1[[#This Row],[Ultima Chegada]]=0,detalhe_carro1[[#This Row],[Chegada]]=0),"",detalhe_carro1[[#This Row],[Hora Inicio]]-detalhe_carro1[[#This Row],[Ultima Chegada]])</f>
        <v/>
      </c>
      <c r="P139" s="3">
        <f>IF(detalhe_carro1[[#This Row],[Tipo]]="Visitar Nó",((detalhe_carro1[[#This Row],[Hora Fim]]-detalhe_carro1[[#This Row],[Hora Inicio]])/60*velocidade_nos),0)</f>
        <v>0</v>
      </c>
      <c r="Q139" s="29">
        <f>detalhe_carro1[[#This Row],[Kms Nós]]+detalhe_carro1[[#This Row],[kms]]</f>
        <v>3</v>
      </c>
      <c r="S139" s="20">
        <v>3</v>
      </c>
      <c r="T139" s="20">
        <v>0</v>
      </c>
      <c r="U139" s="20">
        <v>7</v>
      </c>
      <c r="V139" s="20" t="s">
        <v>33</v>
      </c>
      <c r="W139">
        <v>30</v>
      </c>
      <c r="X139">
        <v>103</v>
      </c>
      <c r="Y139">
        <v>0</v>
      </c>
      <c r="Z139" s="7">
        <v>0.3125</v>
      </c>
      <c r="AA139" s="7">
        <v>0.36319444444444443</v>
      </c>
      <c r="AB139" s="7">
        <v>0.29166666666666669</v>
      </c>
      <c r="AC139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39" s="18"/>
      <c r="AM139"/>
      <c r="AN139"/>
    </row>
    <row r="140" spans="2:40" x14ac:dyDescent="0.25">
      <c r="B140" s="3">
        <v>2</v>
      </c>
      <c r="C140">
        <v>0</v>
      </c>
      <c r="D140">
        <v>3</v>
      </c>
      <c r="E140" s="29" t="s">
        <v>26</v>
      </c>
      <c r="F140" s="3">
        <v>277</v>
      </c>
      <c r="G140" s="3">
        <v>287</v>
      </c>
      <c r="H140" s="29" t="s">
        <v>50</v>
      </c>
      <c r="I140" s="3">
        <v>0</v>
      </c>
      <c r="J140" s="7">
        <v>0.48402777777777778</v>
      </c>
      <c r="K140" s="7">
        <v>0.4909722222222222</v>
      </c>
      <c r="L140" s="3">
        <f t="shared" si="5"/>
        <v>0</v>
      </c>
      <c r="M140" s="3">
        <f t="shared" si="6"/>
        <v>1</v>
      </c>
      <c r="N140" s="29">
        <f>_xlfn.MAXIFS($G$7:G139,$E$7:E139,detalhe_carro1[[#This Row],[Nó]],$B$7:B139,detalhe_carro1[[#This Row],[Numero Voltas]],$L$7:L139,1)</f>
        <v>0</v>
      </c>
      <c r="O140" s="3" t="str">
        <f>IF(OR(detalhe_carro1[[#This Row],[Ultima Chegada]]=0,detalhe_carro1[[#This Row],[Chegada]]=0),"",detalhe_carro1[[#This Row],[Hora Inicio]]-detalhe_carro1[[#This Row],[Ultima Chegada]])</f>
        <v/>
      </c>
      <c r="P140" s="3">
        <f>IF(detalhe_carro1[[#This Row],[Tipo]]="Visitar Nó",((detalhe_carro1[[#This Row],[Hora Fim]]-detalhe_carro1[[#This Row],[Hora Inicio]])/60*velocidade_nos),0)</f>
        <v>5</v>
      </c>
      <c r="Q140" s="29">
        <f>detalhe_carro1[[#This Row],[Kms Nós]]+detalhe_carro1[[#This Row],[kms]]</f>
        <v>5</v>
      </c>
      <c r="S140" s="20">
        <v>3</v>
      </c>
      <c r="T140" s="20">
        <v>0</v>
      </c>
      <c r="U140" s="20">
        <v>6</v>
      </c>
      <c r="V140" s="20" t="s">
        <v>31</v>
      </c>
      <c r="W140">
        <v>116</v>
      </c>
      <c r="X140">
        <v>204</v>
      </c>
      <c r="Y140">
        <v>0</v>
      </c>
      <c r="Z140" s="7">
        <v>0.37222222222222223</v>
      </c>
      <c r="AA140" s="7">
        <v>0.43333333333333335</v>
      </c>
      <c r="AB140" s="7">
        <v>0.29166666666666669</v>
      </c>
      <c r="AC140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0" s="18"/>
      <c r="AM140"/>
      <c r="AN140"/>
    </row>
    <row r="141" spans="2:40" x14ac:dyDescent="0.25">
      <c r="B141" s="3">
        <v>2</v>
      </c>
      <c r="C141">
        <v>0</v>
      </c>
      <c r="D141">
        <v>3</v>
      </c>
      <c r="E141" s="29" t="s">
        <v>26</v>
      </c>
      <c r="F141" s="3">
        <v>288</v>
      </c>
      <c r="G141" s="3">
        <v>288</v>
      </c>
      <c r="H141" s="29" t="s">
        <v>51</v>
      </c>
      <c r="I141" s="3">
        <v>1</v>
      </c>
      <c r="J141" s="7">
        <v>0.49166666666666664</v>
      </c>
      <c r="K141" s="7">
        <v>0.49166666666666664</v>
      </c>
      <c r="L141" s="3">
        <f t="shared" si="5"/>
        <v>1</v>
      </c>
      <c r="M141" s="3">
        <f t="shared" si="6"/>
        <v>0</v>
      </c>
      <c r="N141" s="29">
        <f>_xlfn.MAXIFS($G$7:G140,$E$7:E140,detalhe_carro1[[#This Row],[Nó]],$B$7:B140,detalhe_carro1[[#This Row],[Numero Voltas]],$L$7:L140,1)</f>
        <v>0</v>
      </c>
      <c r="O141" s="3" t="str">
        <f>IF(OR(detalhe_carro1[[#This Row],[Ultima Chegada]]=0,detalhe_carro1[[#This Row],[Chegada]]=0),"",detalhe_carro1[[#This Row],[Hora Inicio]]-detalhe_carro1[[#This Row],[Ultima Chegada]])</f>
        <v/>
      </c>
      <c r="P141" s="3">
        <f>IF(detalhe_carro1[[#This Row],[Tipo]]="Visitar Nó",((detalhe_carro1[[#This Row],[Hora Fim]]-detalhe_carro1[[#This Row],[Hora Inicio]])/60*velocidade_nos),0)</f>
        <v>0</v>
      </c>
      <c r="Q141" s="29">
        <f>detalhe_carro1[[#This Row],[Kms Nós]]+detalhe_carro1[[#This Row],[kms]]</f>
        <v>1</v>
      </c>
      <c r="S141" s="20">
        <v>3</v>
      </c>
      <c r="T141" s="20">
        <v>0</v>
      </c>
      <c r="U141" s="20">
        <v>5</v>
      </c>
      <c r="V141" s="20" t="s">
        <v>29</v>
      </c>
      <c r="W141">
        <v>207</v>
      </c>
      <c r="X141">
        <v>238</v>
      </c>
      <c r="Y141">
        <v>0</v>
      </c>
      <c r="Z141" s="7">
        <v>0.43541666666666667</v>
      </c>
      <c r="AA141" s="7">
        <v>0.45694444444444443</v>
      </c>
      <c r="AB141" s="7">
        <v>0.29166666666666669</v>
      </c>
      <c r="AC141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1" s="18"/>
      <c r="AM141"/>
      <c r="AN141"/>
    </row>
    <row r="142" spans="2:40" x14ac:dyDescent="0.25">
      <c r="B142" s="3">
        <v>2</v>
      </c>
      <c r="C142">
        <v>0</v>
      </c>
      <c r="D142">
        <v>2</v>
      </c>
      <c r="E142" s="29" t="s">
        <v>24</v>
      </c>
      <c r="F142" s="3">
        <v>289</v>
      </c>
      <c r="G142" s="3">
        <v>303</v>
      </c>
      <c r="H142" s="29" t="s">
        <v>50</v>
      </c>
      <c r="I142" s="3">
        <v>0</v>
      </c>
      <c r="J142" s="7">
        <v>0.49236111111111114</v>
      </c>
      <c r="K142" s="7">
        <v>0.50208333333333333</v>
      </c>
      <c r="L142" s="3">
        <f t="shared" si="5"/>
        <v>0</v>
      </c>
      <c r="M142" s="3">
        <f t="shared" si="6"/>
        <v>1</v>
      </c>
      <c r="N142" s="29">
        <f>_xlfn.MAXIFS($G$7:G141,$E$7:E141,detalhe_carro1[[#This Row],[Nó]],$B$7:B141,detalhe_carro1[[#This Row],[Numero Voltas]],$L$7:L141,1)</f>
        <v>0</v>
      </c>
      <c r="O142" s="3" t="str">
        <f>IF(OR(detalhe_carro1[[#This Row],[Ultima Chegada]]=0,detalhe_carro1[[#This Row],[Chegada]]=0),"",detalhe_carro1[[#This Row],[Hora Inicio]]-detalhe_carro1[[#This Row],[Ultima Chegada]])</f>
        <v/>
      </c>
      <c r="P142" s="3">
        <f>IF(detalhe_carro1[[#This Row],[Tipo]]="Visitar Nó",((detalhe_carro1[[#This Row],[Hora Fim]]-detalhe_carro1[[#This Row],[Hora Inicio]])/60*velocidade_nos),0)</f>
        <v>7</v>
      </c>
      <c r="Q142" s="29">
        <f>detalhe_carro1[[#This Row],[Kms Nós]]+detalhe_carro1[[#This Row],[kms]]</f>
        <v>7</v>
      </c>
      <c r="S142" s="20">
        <v>3</v>
      </c>
      <c r="T142" s="20">
        <v>0</v>
      </c>
      <c r="U142" s="20">
        <v>4</v>
      </c>
      <c r="V142" s="20" t="s">
        <v>27</v>
      </c>
      <c r="W142">
        <v>241</v>
      </c>
      <c r="X142">
        <v>257</v>
      </c>
      <c r="Y142">
        <v>0</v>
      </c>
      <c r="Z142" s="7">
        <v>0.45902777777777776</v>
      </c>
      <c r="AA142" s="7">
        <v>0.47013888888888888</v>
      </c>
      <c r="AB142" s="7">
        <v>0.29166666666666669</v>
      </c>
      <c r="AC142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2" s="18"/>
      <c r="AM142"/>
      <c r="AN142"/>
    </row>
    <row r="143" spans="2:40" x14ac:dyDescent="0.25">
      <c r="B143" s="3">
        <v>2</v>
      </c>
      <c r="C143">
        <v>0</v>
      </c>
      <c r="D143">
        <v>2</v>
      </c>
      <c r="E143" s="29" t="s">
        <v>24</v>
      </c>
      <c r="F143" s="3">
        <v>304</v>
      </c>
      <c r="G143" s="3">
        <v>304</v>
      </c>
      <c r="H143" s="29" t="s">
        <v>51</v>
      </c>
      <c r="I143" s="3">
        <v>1</v>
      </c>
      <c r="J143" s="7">
        <v>0.50277777777777777</v>
      </c>
      <c r="K143" s="7">
        <v>0.50277777777777777</v>
      </c>
      <c r="L143" s="3">
        <f t="shared" si="5"/>
        <v>1</v>
      </c>
      <c r="M143" s="3">
        <f t="shared" si="6"/>
        <v>0</v>
      </c>
      <c r="N143" s="29">
        <f>_xlfn.MAXIFS($G$7:G142,$E$7:E142,detalhe_carro1[[#This Row],[Nó]],$B$7:B142,detalhe_carro1[[#This Row],[Numero Voltas]],$L$7:L142,1)</f>
        <v>0</v>
      </c>
      <c r="O143" s="3" t="str">
        <f>IF(OR(detalhe_carro1[[#This Row],[Ultima Chegada]]=0,detalhe_carro1[[#This Row],[Chegada]]=0),"",detalhe_carro1[[#This Row],[Hora Inicio]]-detalhe_carro1[[#This Row],[Ultima Chegada]])</f>
        <v/>
      </c>
      <c r="P143" s="3">
        <f>IF(detalhe_carro1[[#This Row],[Tipo]]="Visitar Nó",((detalhe_carro1[[#This Row],[Hora Fim]]-detalhe_carro1[[#This Row],[Hora Inicio]])/60*velocidade_nos),0)</f>
        <v>0</v>
      </c>
      <c r="Q143" s="29">
        <f>detalhe_carro1[[#This Row],[Kms Nós]]+detalhe_carro1[[#This Row],[kms]]</f>
        <v>1</v>
      </c>
      <c r="S143" s="20">
        <v>3</v>
      </c>
      <c r="T143" s="20">
        <v>0</v>
      </c>
      <c r="U143" s="20">
        <v>3</v>
      </c>
      <c r="V143" s="20" t="s">
        <v>26</v>
      </c>
      <c r="W143">
        <v>258</v>
      </c>
      <c r="X143">
        <v>269</v>
      </c>
      <c r="Y143">
        <v>0</v>
      </c>
      <c r="Z143" s="7">
        <v>0.47083333333333333</v>
      </c>
      <c r="AA143" s="7">
        <v>0.47847222222222224</v>
      </c>
      <c r="AB143" s="7">
        <v>0.29166666666666669</v>
      </c>
      <c r="AC143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3" s="18"/>
      <c r="AM143"/>
      <c r="AN143"/>
    </row>
    <row r="144" spans="2:40" x14ac:dyDescent="0.25">
      <c r="B144" s="3">
        <v>2</v>
      </c>
      <c r="C144">
        <v>0</v>
      </c>
      <c r="D144">
        <v>1</v>
      </c>
      <c r="E144" s="29" t="s">
        <v>22</v>
      </c>
      <c r="F144" s="3">
        <v>316</v>
      </c>
      <c r="G144" s="3">
        <v>395</v>
      </c>
      <c r="H144" s="29" t="s">
        <v>52</v>
      </c>
      <c r="I144" s="3">
        <v>0</v>
      </c>
      <c r="J144" s="7">
        <v>0.51111111111111107</v>
      </c>
      <c r="K144" s="7">
        <v>0.56597222222222221</v>
      </c>
      <c r="L144" s="3">
        <f t="shared" si="5"/>
        <v>0</v>
      </c>
      <c r="M144" s="3">
        <f t="shared" si="6"/>
        <v>1</v>
      </c>
      <c r="N144" s="29">
        <f>_xlfn.MAXIFS($G$7:G143,$E$7:E143,detalhe_carro1[[#This Row],[Nó]],$B$7:B143,detalhe_carro1[[#This Row],[Numero Voltas]],$L$7:L143,1)</f>
        <v>0</v>
      </c>
      <c r="O144" s="3" t="str">
        <f>IF(OR(detalhe_carro1[[#This Row],[Ultima Chegada]]=0,detalhe_carro1[[#This Row],[Chegada]]=0),"",detalhe_carro1[[#This Row],[Hora Inicio]]-detalhe_carro1[[#This Row],[Ultima Chegada]])</f>
        <v/>
      </c>
      <c r="P144" s="3">
        <f>IF(detalhe_carro1[[#This Row],[Tipo]]="Visitar Nó",((detalhe_carro1[[#This Row],[Hora Fim]]-detalhe_carro1[[#This Row],[Hora Inicio]])/60*velocidade_nos),0)</f>
        <v>0</v>
      </c>
      <c r="Q144" s="29">
        <f>detalhe_carro1[[#This Row],[Kms Nós]]+detalhe_carro1[[#This Row],[kms]]</f>
        <v>0</v>
      </c>
      <c r="S144" s="20">
        <v>3</v>
      </c>
      <c r="T144" s="20">
        <v>0</v>
      </c>
      <c r="U144" s="20">
        <v>2</v>
      </c>
      <c r="V144" s="20" t="s">
        <v>24</v>
      </c>
      <c r="W144">
        <v>270</v>
      </c>
      <c r="X144">
        <v>285</v>
      </c>
      <c r="Y144">
        <v>0</v>
      </c>
      <c r="Z144" s="7">
        <v>0.47916666666666669</v>
      </c>
      <c r="AA144" s="7">
        <v>0.48958333333333331</v>
      </c>
      <c r="AB144" s="7">
        <v>0.29166666666666669</v>
      </c>
      <c r="AC144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4" s="18"/>
      <c r="AM144"/>
      <c r="AN144"/>
    </row>
    <row r="145" spans="2:40" x14ac:dyDescent="0.25">
      <c r="B145" s="3">
        <v>2</v>
      </c>
      <c r="C145">
        <v>0</v>
      </c>
      <c r="D145">
        <v>1</v>
      </c>
      <c r="E145" s="29" t="s">
        <v>22</v>
      </c>
      <c r="F145" s="3">
        <v>402</v>
      </c>
      <c r="G145" s="3">
        <v>407</v>
      </c>
      <c r="H145" s="29" t="s">
        <v>50</v>
      </c>
      <c r="I145" s="3">
        <v>0</v>
      </c>
      <c r="J145" s="7">
        <v>0.5708333333333333</v>
      </c>
      <c r="K145" s="7">
        <v>0.57430555555555551</v>
      </c>
      <c r="L145" s="3">
        <f t="shared" si="5"/>
        <v>0</v>
      </c>
      <c r="M145" s="3">
        <f t="shared" si="6"/>
        <v>0</v>
      </c>
      <c r="N145" s="29">
        <f>_xlfn.MAXIFS($G$7:G144,$E$7:E144,detalhe_carro1[[#This Row],[Nó]],$B$7:B144,detalhe_carro1[[#This Row],[Numero Voltas]],$L$7:L144,1)</f>
        <v>0</v>
      </c>
      <c r="O145" s="3" t="str">
        <f>IF(OR(detalhe_carro1[[#This Row],[Ultima Chegada]]=0,detalhe_carro1[[#This Row],[Chegada]]=0),"",detalhe_carro1[[#This Row],[Hora Inicio]]-detalhe_carro1[[#This Row],[Ultima Chegada]])</f>
        <v/>
      </c>
      <c r="P145" s="3">
        <f>IF(detalhe_carro1[[#This Row],[Tipo]]="Visitar Nó",((detalhe_carro1[[#This Row],[Hora Fim]]-detalhe_carro1[[#This Row],[Hora Inicio]])/60*velocidade_nos),0)</f>
        <v>2.5</v>
      </c>
      <c r="Q145" s="29">
        <f>detalhe_carro1[[#This Row],[Kms Nós]]+detalhe_carro1[[#This Row],[kms]]</f>
        <v>2.5</v>
      </c>
      <c r="S145" s="20">
        <v>3</v>
      </c>
      <c r="T145" s="20">
        <v>0</v>
      </c>
      <c r="U145" s="20">
        <v>1</v>
      </c>
      <c r="V145" s="20" t="s">
        <v>22</v>
      </c>
      <c r="W145">
        <v>297</v>
      </c>
      <c r="X145">
        <v>376</v>
      </c>
      <c r="Y145">
        <v>0</v>
      </c>
      <c r="Z145" s="7">
        <v>0.49791666666666667</v>
      </c>
      <c r="AA145" s="7">
        <v>0.55277777777777781</v>
      </c>
      <c r="AB145" s="7">
        <v>0.29166666666666669</v>
      </c>
      <c r="AC145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5" s="18"/>
      <c r="AM145"/>
      <c r="AN145"/>
    </row>
    <row r="146" spans="2:40" x14ac:dyDescent="0.25">
      <c r="B146" s="3">
        <v>2</v>
      </c>
      <c r="C146">
        <v>0</v>
      </c>
      <c r="D146">
        <v>1</v>
      </c>
      <c r="E146" s="29" t="s">
        <v>22</v>
      </c>
      <c r="F146" s="3">
        <v>414</v>
      </c>
      <c r="G146" s="3">
        <v>414</v>
      </c>
      <c r="H146" s="29" t="s">
        <v>51</v>
      </c>
      <c r="I146" s="3">
        <v>7</v>
      </c>
      <c r="J146" s="7">
        <v>0.57916666666666672</v>
      </c>
      <c r="K146" s="7">
        <v>0.57916666666666672</v>
      </c>
      <c r="L146" s="3">
        <f t="shared" si="5"/>
        <v>1</v>
      </c>
      <c r="M146" s="3">
        <f t="shared" si="6"/>
        <v>0</v>
      </c>
      <c r="N146" s="29">
        <f>_xlfn.MAXIFS($G$7:G145,$E$7:E145,detalhe_carro1[[#This Row],[Nó]],$B$7:B145,detalhe_carro1[[#This Row],[Numero Voltas]],$L$7:L145,1)</f>
        <v>0</v>
      </c>
      <c r="O146" s="3" t="str">
        <f>IF(OR(detalhe_carro1[[#This Row],[Ultima Chegada]]=0,detalhe_carro1[[#This Row],[Chegada]]=0),"",detalhe_carro1[[#This Row],[Hora Inicio]]-detalhe_carro1[[#This Row],[Ultima Chegada]])</f>
        <v/>
      </c>
      <c r="P146" s="3">
        <f>IF(detalhe_carro1[[#This Row],[Tipo]]="Visitar Nó",((detalhe_carro1[[#This Row],[Hora Fim]]-detalhe_carro1[[#This Row],[Hora Inicio]])/60*velocidade_nos),0)</f>
        <v>0</v>
      </c>
      <c r="Q146" s="29">
        <f>detalhe_carro1[[#This Row],[Kms Nós]]+detalhe_carro1[[#This Row],[kms]]</f>
        <v>7</v>
      </c>
      <c r="S146" s="20">
        <v>3</v>
      </c>
      <c r="T146" s="20">
        <v>0</v>
      </c>
      <c r="U146" s="20">
        <v>0</v>
      </c>
      <c r="V146" s="20" t="s">
        <v>20</v>
      </c>
      <c r="W146">
        <v>377</v>
      </c>
      <c r="X146">
        <v>392</v>
      </c>
      <c r="Y146">
        <v>0</v>
      </c>
      <c r="Z146" s="7">
        <v>0.55347222222222225</v>
      </c>
      <c r="AA146" s="7">
        <v>0.56388888888888888</v>
      </c>
      <c r="AB146" s="7">
        <v>0.29166666666666669</v>
      </c>
      <c r="AC146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6" s="18"/>
      <c r="AM146"/>
      <c r="AN146"/>
    </row>
    <row r="147" spans="2:40" x14ac:dyDescent="0.25">
      <c r="B147" s="3">
        <v>2</v>
      </c>
      <c r="C147">
        <v>0</v>
      </c>
      <c r="D147">
        <v>0</v>
      </c>
      <c r="E147" s="29" t="s">
        <v>20</v>
      </c>
      <c r="F147" s="3">
        <v>415</v>
      </c>
      <c r="G147" s="3">
        <v>415</v>
      </c>
      <c r="H147" s="29" t="s">
        <v>51</v>
      </c>
      <c r="I147" s="3">
        <v>1</v>
      </c>
      <c r="J147" s="7">
        <v>0.57986111111111116</v>
      </c>
      <c r="K147" s="7">
        <v>0.57986111111111116</v>
      </c>
      <c r="L147" s="3">
        <f t="shared" si="5"/>
        <v>0</v>
      </c>
      <c r="M147" s="3">
        <f t="shared" si="6"/>
        <v>1</v>
      </c>
      <c r="N147" s="29">
        <f>_xlfn.MAXIFS($G$7:G146,$E$7:E146,detalhe_carro1[[#This Row],[Nó]],$B$7:B146,detalhe_carro1[[#This Row],[Numero Voltas]],$L$7:L146,1)</f>
        <v>0</v>
      </c>
      <c r="O147" s="3" t="str">
        <f>IF(OR(detalhe_carro1[[#This Row],[Ultima Chegada]]=0,detalhe_carro1[[#This Row],[Chegada]]=0),"",detalhe_carro1[[#This Row],[Hora Inicio]]-detalhe_carro1[[#This Row],[Ultima Chegada]])</f>
        <v/>
      </c>
      <c r="P147" s="3">
        <f>IF(detalhe_carro1[[#This Row],[Tipo]]="Visitar Nó",((detalhe_carro1[[#This Row],[Hora Fim]]-detalhe_carro1[[#This Row],[Hora Inicio]])/60*velocidade_nos),0)</f>
        <v>0</v>
      </c>
      <c r="Q147" s="29">
        <f>detalhe_carro1[[#This Row],[Kms Nós]]+detalhe_carro1[[#This Row],[kms]]</f>
        <v>1</v>
      </c>
      <c r="S147" s="20">
        <v>3</v>
      </c>
      <c r="T147" s="20">
        <v>0</v>
      </c>
      <c r="U147" s="20">
        <v>1</v>
      </c>
      <c r="V147" s="20" t="s">
        <v>22</v>
      </c>
      <c r="W147">
        <v>393</v>
      </c>
      <c r="X147">
        <v>399</v>
      </c>
      <c r="Y147">
        <v>376</v>
      </c>
      <c r="Z147" s="7">
        <v>0.56458333333333333</v>
      </c>
      <c r="AA147" s="7">
        <v>0.56874999999999998</v>
      </c>
      <c r="AB147" s="7">
        <v>0.55277777777777781</v>
      </c>
      <c r="AC14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J147" s="18"/>
      <c r="AM147"/>
      <c r="AN147"/>
    </row>
    <row r="148" spans="2:40" x14ac:dyDescent="0.25">
      <c r="B148" s="3">
        <v>2</v>
      </c>
      <c r="C148">
        <v>0</v>
      </c>
      <c r="D148">
        <v>0</v>
      </c>
      <c r="E148" s="29" t="s">
        <v>20</v>
      </c>
      <c r="F148" s="3">
        <v>415</v>
      </c>
      <c r="G148" s="3">
        <v>430</v>
      </c>
      <c r="H148" s="29" t="s">
        <v>50</v>
      </c>
      <c r="I148" s="3">
        <v>0</v>
      </c>
      <c r="J148" s="7">
        <v>0.57986111111111116</v>
      </c>
      <c r="K148" s="7">
        <v>0.59027777777777779</v>
      </c>
      <c r="L148" s="3">
        <f t="shared" si="5"/>
        <v>0</v>
      </c>
      <c r="M148" s="3">
        <f t="shared" si="6"/>
        <v>0</v>
      </c>
      <c r="N148" s="29">
        <f>_xlfn.MAXIFS($G$7:G147,$E$7:E147,detalhe_carro1[[#This Row],[Nó]],$B$7:B147,detalhe_carro1[[#This Row],[Numero Voltas]],$L$7:L147,1)</f>
        <v>0</v>
      </c>
      <c r="O148" s="3" t="str">
        <f>IF(OR(detalhe_carro1[[#This Row],[Ultima Chegada]]=0,detalhe_carro1[[#This Row],[Chegada]]=0),"",detalhe_carro1[[#This Row],[Hora Inicio]]-detalhe_carro1[[#This Row],[Ultima Chegada]])</f>
        <v/>
      </c>
      <c r="P148" s="3">
        <f>IF(detalhe_carro1[[#This Row],[Tipo]]="Visitar Nó",((detalhe_carro1[[#This Row],[Hora Fim]]-detalhe_carro1[[#This Row],[Hora Inicio]])/60*velocidade_nos),0)</f>
        <v>7.5</v>
      </c>
      <c r="Q148" s="29">
        <f>detalhe_carro1[[#This Row],[Kms Nós]]+detalhe_carro1[[#This Row],[kms]]</f>
        <v>7.5</v>
      </c>
      <c r="S148" s="20">
        <v>3</v>
      </c>
      <c r="T148" s="20">
        <v>0</v>
      </c>
      <c r="U148" s="20">
        <v>2</v>
      </c>
      <c r="V148" s="20" t="s">
        <v>24</v>
      </c>
      <c r="W148">
        <v>406</v>
      </c>
      <c r="X148">
        <v>427</v>
      </c>
      <c r="Y148">
        <v>285</v>
      </c>
      <c r="Z148" s="7">
        <v>0.57361111111111107</v>
      </c>
      <c r="AA148" s="7">
        <v>0.58819444444444446</v>
      </c>
      <c r="AB148" s="7">
        <v>0.48958333333333331</v>
      </c>
      <c r="AC14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2.0166666666666666</v>
      </c>
      <c r="AJ148" s="18"/>
      <c r="AM148"/>
      <c r="AN148"/>
    </row>
    <row r="149" spans="2:40" x14ac:dyDescent="0.25">
      <c r="B149" s="3">
        <v>2</v>
      </c>
      <c r="C149">
        <v>0</v>
      </c>
      <c r="D149">
        <v>0</v>
      </c>
      <c r="E149" s="29" t="s">
        <v>20</v>
      </c>
      <c r="F149" s="3">
        <v>430</v>
      </c>
      <c r="G149" s="3">
        <v>430</v>
      </c>
      <c r="H149" s="29" t="s">
        <v>51</v>
      </c>
      <c r="I149" s="3">
        <v>1</v>
      </c>
      <c r="J149" s="7">
        <v>0.59027777777777779</v>
      </c>
      <c r="K149" s="7">
        <v>0.59027777777777779</v>
      </c>
      <c r="L149" s="3">
        <f t="shared" si="5"/>
        <v>1</v>
      </c>
      <c r="M149" s="3">
        <f t="shared" si="6"/>
        <v>0</v>
      </c>
      <c r="N149" s="29">
        <f>_xlfn.MAXIFS($G$7:G148,$E$7:E148,detalhe_carro1[[#This Row],[Nó]],$B$7:B148,detalhe_carro1[[#This Row],[Numero Voltas]],$L$7:L148,1)</f>
        <v>0</v>
      </c>
      <c r="O149" s="3" t="str">
        <f>IF(OR(detalhe_carro1[[#This Row],[Ultima Chegada]]=0,detalhe_carro1[[#This Row],[Chegada]]=0),"",detalhe_carro1[[#This Row],[Hora Inicio]]-detalhe_carro1[[#This Row],[Ultima Chegada]])</f>
        <v/>
      </c>
      <c r="P149" s="3">
        <f>IF(detalhe_carro1[[#This Row],[Tipo]]="Visitar Nó",((detalhe_carro1[[#This Row],[Hora Fim]]-detalhe_carro1[[#This Row],[Hora Inicio]])/60*velocidade_nos),0)</f>
        <v>0</v>
      </c>
      <c r="Q149" s="29">
        <f>detalhe_carro1[[#This Row],[Kms Nós]]+detalhe_carro1[[#This Row],[kms]]</f>
        <v>1</v>
      </c>
      <c r="S149" s="20">
        <v>3</v>
      </c>
      <c r="T149" s="20">
        <v>0</v>
      </c>
      <c r="U149" s="20">
        <v>3</v>
      </c>
      <c r="V149" s="20" t="s">
        <v>26</v>
      </c>
      <c r="W149">
        <v>428</v>
      </c>
      <c r="X149">
        <v>439</v>
      </c>
      <c r="Y149">
        <v>269</v>
      </c>
      <c r="Z149" s="7">
        <v>0.58888888888888891</v>
      </c>
      <c r="AA149" s="7">
        <v>0.59652777777777777</v>
      </c>
      <c r="AB149" s="7">
        <v>0.47847222222222224</v>
      </c>
      <c r="AC14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2.65</v>
      </c>
      <c r="AJ149" s="18"/>
      <c r="AM149"/>
      <c r="AN149"/>
    </row>
    <row r="150" spans="2:40" x14ac:dyDescent="0.25">
      <c r="B150" s="3">
        <v>2</v>
      </c>
      <c r="C150">
        <v>0</v>
      </c>
      <c r="D150">
        <v>1</v>
      </c>
      <c r="E150" s="29" t="s">
        <v>22</v>
      </c>
      <c r="F150" s="3">
        <v>431</v>
      </c>
      <c r="G150" s="3">
        <v>436</v>
      </c>
      <c r="H150" s="29" t="s">
        <v>50</v>
      </c>
      <c r="I150" s="3">
        <v>0</v>
      </c>
      <c r="J150" s="7">
        <v>0.59097222222222223</v>
      </c>
      <c r="K150" s="7">
        <v>0.59444444444444444</v>
      </c>
      <c r="L150" s="3">
        <f t="shared" si="5"/>
        <v>0</v>
      </c>
      <c r="M150" s="3">
        <f t="shared" si="6"/>
        <v>1</v>
      </c>
      <c r="N150" s="29">
        <f>_xlfn.MAXIFS($G$7:G149,$E$7:E149,detalhe_carro1[[#This Row],[Nó]],$B$7:B149,detalhe_carro1[[#This Row],[Numero Voltas]],$L$7:L149,1)</f>
        <v>414</v>
      </c>
      <c r="O150" s="3">
        <f>IF(OR(detalhe_carro1[[#This Row],[Ultima Chegada]]=0,detalhe_carro1[[#This Row],[Chegada]]=0),"",detalhe_carro1[[#This Row],[Hora Inicio]]-detalhe_carro1[[#This Row],[Ultima Chegada]])</f>
        <v>17</v>
      </c>
      <c r="P150" s="3">
        <f>IF(detalhe_carro1[[#This Row],[Tipo]]="Visitar Nó",((detalhe_carro1[[#This Row],[Hora Fim]]-detalhe_carro1[[#This Row],[Hora Inicio]])/60*velocidade_nos),0)</f>
        <v>2.5</v>
      </c>
      <c r="Q150" s="29">
        <f>detalhe_carro1[[#This Row],[Kms Nós]]+detalhe_carro1[[#This Row],[kms]]</f>
        <v>2.5</v>
      </c>
      <c r="S150" s="20">
        <v>3</v>
      </c>
      <c r="T150" s="20">
        <v>0</v>
      </c>
      <c r="U150" s="20">
        <v>4</v>
      </c>
      <c r="V150" s="20" t="s">
        <v>27</v>
      </c>
      <c r="W150">
        <v>440</v>
      </c>
      <c r="X150">
        <v>454</v>
      </c>
      <c r="Y150">
        <v>257</v>
      </c>
      <c r="Z150" s="7">
        <v>0.59722222222222221</v>
      </c>
      <c r="AA150" s="7">
        <v>0.6069444444444444</v>
      </c>
      <c r="AB150" s="7">
        <v>0.47013888888888888</v>
      </c>
      <c r="AC15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3.05</v>
      </c>
      <c r="AJ150" s="18"/>
      <c r="AM150"/>
      <c r="AN150"/>
    </row>
    <row r="151" spans="2:40" x14ac:dyDescent="0.25">
      <c r="B151" s="3">
        <v>2</v>
      </c>
      <c r="C151">
        <v>0</v>
      </c>
      <c r="D151">
        <v>1</v>
      </c>
      <c r="E151" s="29" t="s">
        <v>22</v>
      </c>
      <c r="F151" s="3">
        <v>437</v>
      </c>
      <c r="G151" s="3">
        <v>437</v>
      </c>
      <c r="H151" s="29" t="s">
        <v>51</v>
      </c>
      <c r="I151" s="3">
        <v>1</v>
      </c>
      <c r="J151" s="7">
        <v>0.59513888888888888</v>
      </c>
      <c r="K151" s="7">
        <v>0.59513888888888888</v>
      </c>
      <c r="L151" s="3">
        <f t="shared" si="5"/>
        <v>1</v>
      </c>
      <c r="M151" s="3">
        <f t="shared" si="6"/>
        <v>0</v>
      </c>
      <c r="N151" s="29">
        <f>_xlfn.MAXIFS($G$7:G150,$E$7:E150,detalhe_carro1[[#This Row],[Nó]],$B$7:B150,detalhe_carro1[[#This Row],[Numero Voltas]],$L$7:L150,1)</f>
        <v>414</v>
      </c>
      <c r="O151" s="3" t="str">
        <f>IF(OR(detalhe_carro1[[#This Row],[Ultima Chegada]]=0,detalhe_carro1[[#This Row],[Chegada]]=0),"",detalhe_carro1[[#This Row],[Hora Inicio]]-detalhe_carro1[[#This Row],[Ultima Chegada]])</f>
        <v/>
      </c>
      <c r="P151" s="3">
        <f>IF(detalhe_carro1[[#This Row],[Tipo]]="Visitar Nó",((detalhe_carro1[[#This Row],[Hora Fim]]-detalhe_carro1[[#This Row],[Hora Inicio]])/60*velocidade_nos),0)</f>
        <v>0</v>
      </c>
      <c r="Q151" s="29">
        <f>detalhe_carro1[[#This Row],[Kms Nós]]+detalhe_carro1[[#This Row],[kms]]</f>
        <v>1</v>
      </c>
      <c r="S151" s="20">
        <v>3</v>
      </c>
      <c r="T151" s="20">
        <v>0</v>
      </c>
      <c r="U151" s="20">
        <v>5</v>
      </c>
      <c r="V151" s="20" t="s">
        <v>29</v>
      </c>
      <c r="W151">
        <v>457</v>
      </c>
      <c r="X151">
        <v>501</v>
      </c>
      <c r="Y151">
        <v>238</v>
      </c>
      <c r="Z151" s="7">
        <v>0.60902777777777772</v>
      </c>
      <c r="AA151" s="7">
        <v>0.63958333333333328</v>
      </c>
      <c r="AB151" s="7">
        <v>0.45694444444444443</v>
      </c>
      <c r="AC15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3.65</v>
      </c>
      <c r="AJ151" s="18"/>
      <c r="AM151"/>
      <c r="AN151"/>
    </row>
    <row r="152" spans="2:40" x14ac:dyDescent="0.25">
      <c r="B152" s="3">
        <v>2</v>
      </c>
      <c r="C152">
        <v>0</v>
      </c>
      <c r="D152">
        <v>2</v>
      </c>
      <c r="E152" s="29" t="s">
        <v>24</v>
      </c>
      <c r="F152" s="3">
        <v>444</v>
      </c>
      <c r="G152" s="3">
        <v>458</v>
      </c>
      <c r="H152" s="29" t="s">
        <v>50</v>
      </c>
      <c r="I152" s="3">
        <v>0</v>
      </c>
      <c r="J152" s="7">
        <v>0.6</v>
      </c>
      <c r="K152" s="7">
        <v>0.60972222222222228</v>
      </c>
      <c r="L152" s="3">
        <f t="shared" si="5"/>
        <v>0</v>
      </c>
      <c r="M152" s="3">
        <f t="shared" si="6"/>
        <v>1</v>
      </c>
      <c r="N152" s="29">
        <f>_xlfn.MAXIFS($G$7:G151,$E$7:E151,detalhe_carro1[[#This Row],[Nó]],$B$7:B151,detalhe_carro1[[#This Row],[Numero Voltas]],$L$7:L151,1)</f>
        <v>304</v>
      </c>
      <c r="O152" s="3">
        <f>IF(OR(detalhe_carro1[[#This Row],[Ultima Chegada]]=0,detalhe_carro1[[#This Row],[Chegada]]=0),"",detalhe_carro1[[#This Row],[Hora Inicio]]-detalhe_carro1[[#This Row],[Ultima Chegada]])</f>
        <v>140</v>
      </c>
      <c r="P152" s="3">
        <f>IF(detalhe_carro1[[#This Row],[Tipo]]="Visitar Nó",((detalhe_carro1[[#This Row],[Hora Fim]]-detalhe_carro1[[#This Row],[Hora Inicio]])/60*velocidade_nos),0)</f>
        <v>7</v>
      </c>
      <c r="Q152" s="29">
        <f>detalhe_carro1[[#This Row],[Kms Nós]]+detalhe_carro1[[#This Row],[kms]]</f>
        <v>7</v>
      </c>
      <c r="S152" s="20">
        <v>3</v>
      </c>
      <c r="T152" s="20">
        <v>0</v>
      </c>
      <c r="U152" s="20">
        <v>6</v>
      </c>
      <c r="V152" s="20" t="s">
        <v>31</v>
      </c>
      <c r="W152">
        <v>504</v>
      </c>
      <c r="X152">
        <v>516</v>
      </c>
      <c r="Y152">
        <v>204</v>
      </c>
      <c r="Z152" s="7">
        <v>0.64166666666666672</v>
      </c>
      <c r="AA152" s="7">
        <v>0.65</v>
      </c>
      <c r="AB152" s="7">
        <v>0.43333333333333335</v>
      </c>
      <c r="AC15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</v>
      </c>
      <c r="AJ152" s="18"/>
      <c r="AM152"/>
      <c r="AN152"/>
    </row>
    <row r="153" spans="2:40" x14ac:dyDescent="0.25">
      <c r="B153" s="3">
        <v>2</v>
      </c>
      <c r="C153">
        <v>0</v>
      </c>
      <c r="D153">
        <v>2</v>
      </c>
      <c r="E153" s="29" t="s">
        <v>24</v>
      </c>
      <c r="F153" s="3">
        <v>465</v>
      </c>
      <c r="G153" s="3">
        <v>465</v>
      </c>
      <c r="H153" s="29" t="s">
        <v>51</v>
      </c>
      <c r="I153" s="3">
        <v>7</v>
      </c>
      <c r="J153" s="7">
        <v>0.61458333333333337</v>
      </c>
      <c r="K153" s="7">
        <v>0.61458333333333337</v>
      </c>
      <c r="L153" s="3">
        <f t="shared" si="5"/>
        <v>1</v>
      </c>
      <c r="M153" s="3">
        <f t="shared" si="6"/>
        <v>0</v>
      </c>
      <c r="N153" s="29">
        <f>_xlfn.MAXIFS($G$7:G152,$E$7:E152,detalhe_carro1[[#This Row],[Nó]],$B$7:B152,detalhe_carro1[[#This Row],[Numero Voltas]],$L$7:L152,1)</f>
        <v>304</v>
      </c>
      <c r="O153" s="3" t="str">
        <f>IF(OR(detalhe_carro1[[#This Row],[Ultima Chegada]]=0,detalhe_carro1[[#This Row],[Chegada]]=0),"",detalhe_carro1[[#This Row],[Hora Inicio]]-detalhe_carro1[[#This Row],[Ultima Chegada]])</f>
        <v/>
      </c>
      <c r="P153" s="3">
        <f>IF(detalhe_carro1[[#This Row],[Tipo]]="Visitar Nó",((detalhe_carro1[[#This Row],[Hora Fim]]-detalhe_carro1[[#This Row],[Hora Inicio]])/60*velocidade_nos),0)</f>
        <v>0</v>
      </c>
      <c r="Q153" s="29">
        <f>detalhe_carro1[[#This Row],[Kms Nós]]+detalhe_carro1[[#This Row],[kms]]</f>
        <v>7</v>
      </c>
      <c r="S153" s="20">
        <v>3</v>
      </c>
      <c r="T153" s="20">
        <v>0</v>
      </c>
      <c r="U153" s="20">
        <v>7</v>
      </c>
      <c r="V153" s="20" t="s">
        <v>33</v>
      </c>
      <c r="W153">
        <v>519</v>
      </c>
      <c r="X153">
        <v>519</v>
      </c>
      <c r="Y153">
        <v>103</v>
      </c>
      <c r="Z153" s="7">
        <v>0.65208333333333335</v>
      </c>
      <c r="AA153" s="7">
        <v>0.65208333333333335</v>
      </c>
      <c r="AB153" s="7">
        <v>0.36319444444444443</v>
      </c>
      <c r="AC15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6.9333333333333336</v>
      </c>
      <c r="AJ153" s="18"/>
      <c r="AM153"/>
      <c r="AN153"/>
    </row>
    <row r="154" spans="2:40" x14ac:dyDescent="0.25">
      <c r="B154" s="3">
        <v>2</v>
      </c>
      <c r="C154">
        <v>0</v>
      </c>
      <c r="D154">
        <v>3</v>
      </c>
      <c r="E154" s="29" t="s">
        <v>26</v>
      </c>
      <c r="F154" s="3">
        <v>466</v>
      </c>
      <c r="G154" s="3">
        <v>476</v>
      </c>
      <c r="H154" s="29" t="s">
        <v>50</v>
      </c>
      <c r="I154" s="3">
        <v>0</v>
      </c>
      <c r="J154" s="7">
        <v>0.61527777777777781</v>
      </c>
      <c r="K154" s="7">
        <v>0.62222222222222223</v>
      </c>
      <c r="L154" s="3">
        <f t="shared" si="5"/>
        <v>0</v>
      </c>
      <c r="M154" s="3">
        <f t="shared" si="6"/>
        <v>1</v>
      </c>
      <c r="N154" s="29">
        <f>_xlfn.MAXIFS($G$7:G153,$E$7:E153,detalhe_carro1[[#This Row],[Nó]],$B$7:B153,detalhe_carro1[[#This Row],[Numero Voltas]],$L$7:L153,1)</f>
        <v>288</v>
      </c>
      <c r="O154" s="3">
        <f>IF(OR(detalhe_carro1[[#This Row],[Ultima Chegada]]=0,detalhe_carro1[[#This Row],[Chegada]]=0),"",detalhe_carro1[[#This Row],[Hora Inicio]]-detalhe_carro1[[#This Row],[Ultima Chegada]])</f>
        <v>178</v>
      </c>
      <c r="P154" s="3">
        <f>IF(detalhe_carro1[[#This Row],[Tipo]]="Visitar Nó",((detalhe_carro1[[#This Row],[Hora Fim]]-detalhe_carro1[[#This Row],[Hora Inicio]])/60*velocidade_nos),0)</f>
        <v>5</v>
      </c>
      <c r="Q154" s="29">
        <f>detalhe_carro1[[#This Row],[Kms Nós]]+detalhe_carro1[[#This Row],[kms]]</f>
        <v>5</v>
      </c>
      <c r="S154" s="20">
        <v>3</v>
      </c>
      <c r="T154" s="20">
        <v>0</v>
      </c>
      <c r="U154" s="20">
        <v>6</v>
      </c>
      <c r="V154" s="20" t="s">
        <v>31</v>
      </c>
      <c r="W154">
        <v>522</v>
      </c>
      <c r="X154">
        <v>522</v>
      </c>
      <c r="Y154">
        <v>516</v>
      </c>
      <c r="Z154" s="7">
        <v>0.65416666666666667</v>
      </c>
      <c r="AA154" s="7">
        <v>0.65416666666666667</v>
      </c>
      <c r="AB154" s="7">
        <v>0.65</v>
      </c>
      <c r="AC15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  <c r="AJ154" s="18"/>
      <c r="AM154"/>
      <c r="AN154"/>
    </row>
    <row r="155" spans="2:40" x14ac:dyDescent="0.25">
      <c r="B155" s="3">
        <v>2</v>
      </c>
      <c r="C155">
        <v>0</v>
      </c>
      <c r="D155">
        <v>3</v>
      </c>
      <c r="E155" s="29" t="s">
        <v>26</v>
      </c>
      <c r="F155" s="3">
        <v>477</v>
      </c>
      <c r="G155" s="3">
        <v>477</v>
      </c>
      <c r="H155" s="29" t="s">
        <v>51</v>
      </c>
      <c r="I155" s="3">
        <v>1</v>
      </c>
      <c r="J155" s="7">
        <v>0.62291666666666667</v>
      </c>
      <c r="K155" s="7">
        <v>0.62291666666666667</v>
      </c>
      <c r="L155" s="3">
        <f t="shared" si="5"/>
        <v>1</v>
      </c>
      <c r="M155" s="3">
        <f t="shared" si="6"/>
        <v>0</v>
      </c>
      <c r="N155" s="29">
        <f>_xlfn.MAXIFS($G$7:G154,$E$7:E154,detalhe_carro1[[#This Row],[Nó]],$B$7:B154,detalhe_carro1[[#This Row],[Numero Voltas]],$L$7:L154,1)</f>
        <v>288</v>
      </c>
      <c r="O155" s="3" t="str">
        <f>IF(OR(detalhe_carro1[[#This Row],[Ultima Chegada]]=0,detalhe_carro1[[#This Row],[Chegada]]=0),"",detalhe_carro1[[#This Row],[Hora Inicio]]-detalhe_carro1[[#This Row],[Ultima Chegada]])</f>
        <v/>
      </c>
      <c r="P155" s="3">
        <f>IF(detalhe_carro1[[#This Row],[Tipo]]="Visitar Nó",((detalhe_carro1[[#This Row],[Hora Fim]]-detalhe_carro1[[#This Row],[Hora Inicio]])/60*velocidade_nos),0)</f>
        <v>0</v>
      </c>
      <c r="Q155" s="29">
        <f>detalhe_carro1[[#This Row],[Kms Nós]]+detalhe_carro1[[#This Row],[kms]]</f>
        <v>1</v>
      </c>
      <c r="S155" s="20">
        <v>3</v>
      </c>
      <c r="T155" s="20">
        <v>0</v>
      </c>
      <c r="U155" s="20">
        <v>5</v>
      </c>
      <c r="V155" s="20" t="s">
        <v>29</v>
      </c>
      <c r="W155">
        <v>525</v>
      </c>
      <c r="X155">
        <v>525</v>
      </c>
      <c r="Y155">
        <v>501</v>
      </c>
      <c r="Z155" s="7">
        <v>0.65625</v>
      </c>
      <c r="AA155" s="7">
        <v>0.65625</v>
      </c>
      <c r="AB155" s="7">
        <v>0.63958333333333328</v>
      </c>
      <c r="AC15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</v>
      </c>
      <c r="AJ155" s="18"/>
      <c r="AM155"/>
      <c r="AN155"/>
    </row>
    <row r="156" spans="2:40" x14ac:dyDescent="0.25">
      <c r="B156" s="3">
        <v>2</v>
      </c>
      <c r="C156">
        <v>0</v>
      </c>
      <c r="D156">
        <v>4</v>
      </c>
      <c r="E156" s="29" t="s">
        <v>27</v>
      </c>
      <c r="F156" s="3">
        <v>478</v>
      </c>
      <c r="G156" s="3">
        <v>491</v>
      </c>
      <c r="H156" s="29" t="s">
        <v>50</v>
      </c>
      <c r="I156" s="3">
        <v>0</v>
      </c>
      <c r="J156" s="7">
        <v>0.62361111111111112</v>
      </c>
      <c r="K156" s="7">
        <v>0.63263888888888886</v>
      </c>
      <c r="L156" s="3">
        <f t="shared" si="5"/>
        <v>0</v>
      </c>
      <c r="M156" s="3">
        <f t="shared" si="6"/>
        <v>1</v>
      </c>
      <c r="N156" s="29">
        <f>_xlfn.MAXIFS($G$7:G155,$E$7:E155,detalhe_carro1[[#This Row],[Nó]],$B$7:B155,detalhe_carro1[[#This Row],[Numero Voltas]],$L$7:L155,1)</f>
        <v>276</v>
      </c>
      <c r="O156" s="3">
        <f>IF(OR(detalhe_carro1[[#This Row],[Ultima Chegada]]=0,detalhe_carro1[[#This Row],[Chegada]]=0),"",detalhe_carro1[[#This Row],[Hora Inicio]]-detalhe_carro1[[#This Row],[Ultima Chegada]])</f>
        <v>202</v>
      </c>
      <c r="P156" s="3">
        <f>IF(detalhe_carro1[[#This Row],[Tipo]]="Visitar Nó",((detalhe_carro1[[#This Row],[Hora Fim]]-detalhe_carro1[[#This Row],[Hora Inicio]])/60*velocidade_nos),0)</f>
        <v>6.5</v>
      </c>
      <c r="Q156" s="29">
        <f>detalhe_carro1[[#This Row],[Kms Nós]]+detalhe_carro1[[#This Row],[kms]]</f>
        <v>6.5</v>
      </c>
      <c r="S156" s="20">
        <v>3</v>
      </c>
      <c r="T156" s="20">
        <v>0</v>
      </c>
      <c r="U156" s="20">
        <v>4</v>
      </c>
      <c r="V156" s="20" t="s">
        <v>27</v>
      </c>
      <c r="W156">
        <v>528</v>
      </c>
      <c r="X156">
        <v>528</v>
      </c>
      <c r="Y156">
        <v>454</v>
      </c>
      <c r="Z156" s="7">
        <v>0.65833333333333333</v>
      </c>
      <c r="AA156" s="7">
        <v>0.65833333333333333</v>
      </c>
      <c r="AB156" s="7">
        <v>0.6069444444444444</v>
      </c>
      <c r="AC15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1.2333333333333334</v>
      </c>
      <c r="AJ156" s="18"/>
      <c r="AM156"/>
      <c r="AN156"/>
    </row>
    <row r="157" spans="2:40" x14ac:dyDescent="0.25">
      <c r="B157" s="3">
        <v>2</v>
      </c>
      <c r="C157">
        <v>0</v>
      </c>
      <c r="D157">
        <v>4</v>
      </c>
      <c r="E157" s="29" t="s">
        <v>27</v>
      </c>
      <c r="F157" s="3">
        <v>492</v>
      </c>
      <c r="G157" s="3">
        <v>492</v>
      </c>
      <c r="H157" s="29" t="s">
        <v>51</v>
      </c>
      <c r="I157" s="3">
        <v>1</v>
      </c>
      <c r="J157" s="7">
        <v>0.6333333333333333</v>
      </c>
      <c r="K157" s="7">
        <v>0.6333333333333333</v>
      </c>
      <c r="L157" s="3">
        <f t="shared" si="5"/>
        <v>1</v>
      </c>
      <c r="M157" s="3">
        <f t="shared" si="6"/>
        <v>0</v>
      </c>
      <c r="N157" s="29">
        <f>_xlfn.MAXIFS($G$7:G156,$E$7:E156,detalhe_carro1[[#This Row],[Nó]],$B$7:B156,detalhe_carro1[[#This Row],[Numero Voltas]],$L$7:L156,1)</f>
        <v>276</v>
      </c>
      <c r="O157" s="3" t="str">
        <f>IF(OR(detalhe_carro1[[#This Row],[Ultima Chegada]]=0,detalhe_carro1[[#This Row],[Chegada]]=0),"",detalhe_carro1[[#This Row],[Hora Inicio]]-detalhe_carro1[[#This Row],[Ultima Chegada]])</f>
        <v/>
      </c>
      <c r="P157" s="3">
        <f>IF(detalhe_carro1[[#This Row],[Tipo]]="Visitar Nó",((detalhe_carro1[[#This Row],[Hora Fim]]-detalhe_carro1[[#This Row],[Hora Inicio]])/60*velocidade_nos),0)</f>
        <v>0</v>
      </c>
      <c r="Q157" s="29">
        <f>detalhe_carro1[[#This Row],[Kms Nós]]+detalhe_carro1[[#This Row],[kms]]</f>
        <v>1</v>
      </c>
      <c r="S157" s="20">
        <v>3</v>
      </c>
      <c r="T157" s="20">
        <v>0</v>
      </c>
      <c r="U157" s="20">
        <v>3</v>
      </c>
      <c r="V157" s="20" t="s">
        <v>26</v>
      </c>
      <c r="W157">
        <v>529</v>
      </c>
      <c r="X157">
        <v>529</v>
      </c>
      <c r="Y157">
        <v>439</v>
      </c>
      <c r="Z157" s="7">
        <v>0.65902777777777777</v>
      </c>
      <c r="AA157" s="7">
        <v>0.65902777777777777</v>
      </c>
      <c r="AB157" s="7">
        <v>0.59652777777777777</v>
      </c>
      <c r="AC15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</v>
      </c>
      <c r="AJ157" s="18"/>
      <c r="AM157"/>
      <c r="AN157"/>
    </row>
    <row r="158" spans="2:40" x14ac:dyDescent="0.25">
      <c r="B158" s="3">
        <v>2</v>
      </c>
      <c r="C158">
        <v>0</v>
      </c>
      <c r="D158">
        <v>5</v>
      </c>
      <c r="E158" s="29" t="s">
        <v>29</v>
      </c>
      <c r="F158" s="3">
        <v>495</v>
      </c>
      <c r="G158" s="3">
        <v>505</v>
      </c>
      <c r="H158" s="29" t="s">
        <v>297</v>
      </c>
      <c r="I158" s="3">
        <v>0</v>
      </c>
      <c r="J158" s="7">
        <v>0.63541666666666663</v>
      </c>
      <c r="K158" s="7">
        <v>0.64236111111111116</v>
      </c>
      <c r="L158" s="3">
        <f t="shared" si="5"/>
        <v>0</v>
      </c>
      <c r="M158" s="3">
        <f t="shared" si="6"/>
        <v>1</v>
      </c>
      <c r="N158" s="29">
        <f>_xlfn.MAXIFS($G$7:G157,$E$7:E157,detalhe_carro1[[#This Row],[Nó]],$B$7:B157,detalhe_carro1[[#This Row],[Numero Voltas]],$L$7:L157,1)</f>
        <v>257</v>
      </c>
      <c r="O158" s="3">
        <f>IF(OR(detalhe_carro1[[#This Row],[Ultima Chegada]]=0,detalhe_carro1[[#This Row],[Chegada]]=0),"",detalhe_carro1[[#This Row],[Hora Inicio]]-detalhe_carro1[[#This Row],[Ultima Chegada]])</f>
        <v>238</v>
      </c>
      <c r="P158" s="3">
        <f>IF(detalhe_carro1[[#This Row],[Tipo]]="Visitar Nó",((detalhe_carro1[[#This Row],[Hora Fim]]-detalhe_carro1[[#This Row],[Hora Inicio]])/60*velocidade_nos),0)</f>
        <v>0</v>
      </c>
      <c r="Q158" s="29">
        <f>detalhe_carro1[[#This Row],[Kms Nós]]+detalhe_carro1[[#This Row],[kms]]</f>
        <v>0</v>
      </c>
      <c r="S158" s="20">
        <v>3</v>
      </c>
      <c r="T158" s="20">
        <v>0</v>
      </c>
      <c r="U158" s="20">
        <v>2</v>
      </c>
      <c r="V158" s="20" t="s">
        <v>24</v>
      </c>
      <c r="W158">
        <v>530</v>
      </c>
      <c r="X158">
        <v>530</v>
      </c>
      <c r="Y158">
        <v>427</v>
      </c>
      <c r="Z158" s="7">
        <v>0.65972222222222221</v>
      </c>
      <c r="AA158" s="7">
        <v>0.65972222222222221</v>
      </c>
      <c r="AB158" s="7">
        <v>0.58819444444444446</v>
      </c>
      <c r="AC15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  <c r="AJ158" s="18"/>
      <c r="AM158"/>
      <c r="AN158"/>
    </row>
    <row r="159" spans="2:40" x14ac:dyDescent="0.25">
      <c r="B159" s="3">
        <v>2</v>
      </c>
      <c r="C159">
        <v>0</v>
      </c>
      <c r="D159">
        <v>5</v>
      </c>
      <c r="E159" s="29" t="s">
        <v>29</v>
      </c>
      <c r="F159" s="3">
        <v>508</v>
      </c>
      <c r="G159" s="3">
        <v>536</v>
      </c>
      <c r="H159" s="29" t="s">
        <v>50</v>
      </c>
      <c r="I159" s="3">
        <v>0</v>
      </c>
      <c r="J159" s="7">
        <v>0.64444444444444449</v>
      </c>
      <c r="K159" s="7">
        <v>0.66388888888888886</v>
      </c>
      <c r="L159" s="3">
        <f t="shared" si="5"/>
        <v>0</v>
      </c>
      <c r="M159" s="3">
        <f t="shared" si="6"/>
        <v>0</v>
      </c>
      <c r="N159" s="29">
        <f>_xlfn.MAXIFS($G$7:G158,$E$7:E158,detalhe_carro1[[#This Row],[Nó]],$B$7:B158,detalhe_carro1[[#This Row],[Numero Voltas]],$L$7:L158,1)</f>
        <v>257</v>
      </c>
      <c r="O159" s="3" t="str">
        <f>IF(OR(detalhe_carro1[[#This Row],[Ultima Chegada]]=0,detalhe_carro1[[#This Row],[Chegada]]=0),"",detalhe_carro1[[#This Row],[Hora Inicio]]-detalhe_carro1[[#This Row],[Ultima Chegada]])</f>
        <v/>
      </c>
      <c r="P159" s="3">
        <f>IF(detalhe_carro1[[#This Row],[Tipo]]="Visitar Nó",((detalhe_carro1[[#This Row],[Hora Fim]]-detalhe_carro1[[#This Row],[Hora Inicio]])/60*velocidade_nos),0)</f>
        <v>14</v>
      </c>
      <c r="Q159" s="29">
        <f>detalhe_carro1[[#This Row],[Kms Nós]]+detalhe_carro1[[#This Row],[kms]]</f>
        <v>14</v>
      </c>
      <c r="S159" s="20">
        <v>3</v>
      </c>
      <c r="T159" s="20">
        <v>0</v>
      </c>
      <c r="U159" s="20">
        <v>1</v>
      </c>
      <c r="V159" s="20" t="s">
        <v>22</v>
      </c>
      <c r="W159">
        <v>537</v>
      </c>
      <c r="X159">
        <v>537</v>
      </c>
      <c r="Y159">
        <v>399</v>
      </c>
      <c r="Z159" s="7">
        <v>0.6645833333333333</v>
      </c>
      <c r="AA159" s="7">
        <v>0.6645833333333333</v>
      </c>
      <c r="AB159" s="7">
        <v>0.56874999999999998</v>
      </c>
      <c r="AC15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2.2999999999999998</v>
      </c>
      <c r="AJ159" s="18"/>
      <c r="AM159"/>
      <c r="AN159"/>
    </row>
    <row r="160" spans="2:40" x14ac:dyDescent="0.25">
      <c r="B160" s="3">
        <v>2</v>
      </c>
      <c r="C160">
        <v>0</v>
      </c>
      <c r="D160">
        <v>5</v>
      </c>
      <c r="E160" s="29" t="s">
        <v>29</v>
      </c>
      <c r="F160" s="3">
        <v>539</v>
      </c>
      <c r="G160" s="3">
        <v>539</v>
      </c>
      <c r="H160" s="29" t="s">
        <v>51</v>
      </c>
      <c r="I160" s="3">
        <v>3</v>
      </c>
      <c r="J160" s="7">
        <v>0.66597222222222219</v>
      </c>
      <c r="K160" s="7">
        <v>0.66597222222222219</v>
      </c>
      <c r="L160" s="3">
        <f t="shared" si="5"/>
        <v>1</v>
      </c>
      <c r="M160" s="3">
        <f t="shared" si="6"/>
        <v>0</v>
      </c>
      <c r="N160" s="29">
        <f>_xlfn.MAXIFS($G$7:G159,$E$7:E159,detalhe_carro1[[#This Row],[Nó]],$B$7:B159,detalhe_carro1[[#This Row],[Numero Voltas]],$L$7:L159,1)</f>
        <v>257</v>
      </c>
      <c r="O160" s="3" t="str">
        <f>IF(OR(detalhe_carro1[[#This Row],[Ultima Chegada]]=0,detalhe_carro1[[#This Row],[Chegada]]=0),"",detalhe_carro1[[#This Row],[Hora Inicio]]-detalhe_carro1[[#This Row],[Ultima Chegada]])</f>
        <v/>
      </c>
      <c r="P160" s="3">
        <f>IF(detalhe_carro1[[#This Row],[Tipo]]="Visitar Nó",((detalhe_carro1[[#This Row],[Hora Fim]]-detalhe_carro1[[#This Row],[Hora Inicio]])/60*velocidade_nos),0)</f>
        <v>0</v>
      </c>
      <c r="Q160" s="29">
        <f>detalhe_carro1[[#This Row],[Kms Nós]]+detalhe_carro1[[#This Row],[kms]]</f>
        <v>3</v>
      </c>
      <c r="S160" s="20">
        <v>3</v>
      </c>
      <c r="T160" s="20">
        <v>0</v>
      </c>
      <c r="U160" s="20">
        <v>0</v>
      </c>
      <c r="V160" s="20" t="s">
        <v>20</v>
      </c>
      <c r="W160">
        <v>538</v>
      </c>
      <c r="X160">
        <v>538</v>
      </c>
      <c r="Y160">
        <v>392</v>
      </c>
      <c r="Z160" s="7">
        <v>0.66527777777777775</v>
      </c>
      <c r="AA160" s="7">
        <v>0.66527777777777775</v>
      </c>
      <c r="AB160" s="7">
        <v>0.56388888888888888</v>
      </c>
      <c r="AC16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2.4333333333333331</v>
      </c>
      <c r="AJ160" s="18"/>
      <c r="AM160"/>
      <c r="AN160"/>
    </row>
    <row r="161" spans="2:40" x14ac:dyDescent="0.25">
      <c r="B161" s="3">
        <v>2</v>
      </c>
      <c r="C161">
        <v>0</v>
      </c>
      <c r="D161">
        <v>6</v>
      </c>
      <c r="E161" s="29" t="s">
        <v>31</v>
      </c>
      <c r="F161" s="3">
        <v>542</v>
      </c>
      <c r="G161" s="3">
        <v>551</v>
      </c>
      <c r="H161" s="29" t="s">
        <v>50</v>
      </c>
      <c r="I161" s="3">
        <v>0</v>
      </c>
      <c r="J161" s="7">
        <v>0.66805555555555551</v>
      </c>
      <c r="K161" s="7">
        <v>0.6743055555555556</v>
      </c>
      <c r="L161" s="3">
        <f t="shared" si="5"/>
        <v>0</v>
      </c>
      <c r="M161" s="3">
        <f t="shared" si="6"/>
        <v>1</v>
      </c>
      <c r="N161" s="29">
        <f>_xlfn.MAXIFS($G$7:G160,$E$7:E160,detalhe_carro1[[#This Row],[Nó]],$B$7:B160,detalhe_carro1[[#This Row],[Numero Voltas]],$L$7:L160,1)</f>
        <v>223</v>
      </c>
      <c r="O161" s="3">
        <f>IF(OR(detalhe_carro1[[#This Row],[Ultima Chegada]]=0,detalhe_carro1[[#This Row],[Chegada]]=0),"",detalhe_carro1[[#This Row],[Hora Inicio]]-detalhe_carro1[[#This Row],[Ultima Chegada]])</f>
        <v>319</v>
      </c>
      <c r="P161" s="3">
        <f>IF(detalhe_carro1[[#This Row],[Tipo]]="Visitar Nó",((detalhe_carro1[[#This Row],[Hora Fim]]-detalhe_carro1[[#This Row],[Hora Inicio]])/60*velocidade_nos),0)</f>
        <v>4.5</v>
      </c>
      <c r="Q161" s="29">
        <f>detalhe_carro1[[#This Row],[Kms Nós]]+detalhe_carro1[[#This Row],[kms]]</f>
        <v>4.5</v>
      </c>
      <c r="S161" s="20">
        <v>3</v>
      </c>
      <c r="T161" s="20">
        <v>0</v>
      </c>
      <c r="U161" s="20">
        <v>1</v>
      </c>
      <c r="V161" s="20" t="s">
        <v>22</v>
      </c>
      <c r="W161">
        <v>539</v>
      </c>
      <c r="X161">
        <v>539</v>
      </c>
      <c r="Y161">
        <v>537</v>
      </c>
      <c r="Z161" s="7">
        <v>0.66597222222222219</v>
      </c>
      <c r="AA161" s="7">
        <v>0.66597222222222219</v>
      </c>
      <c r="AB161" s="7">
        <v>0.6645833333333333</v>
      </c>
      <c r="AC16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161" s="18"/>
      <c r="AM161"/>
      <c r="AN161"/>
    </row>
    <row r="162" spans="2:40" x14ac:dyDescent="0.25">
      <c r="B162" s="3">
        <v>2</v>
      </c>
      <c r="C162">
        <v>0</v>
      </c>
      <c r="D162">
        <v>6</v>
      </c>
      <c r="E162" s="29" t="s">
        <v>31</v>
      </c>
      <c r="F162" s="3">
        <v>554</v>
      </c>
      <c r="G162" s="3">
        <v>554</v>
      </c>
      <c r="H162" s="29" t="s">
        <v>51</v>
      </c>
      <c r="I162" s="3">
        <v>3</v>
      </c>
      <c r="J162" s="7">
        <v>0.67638888888888893</v>
      </c>
      <c r="K162" s="7">
        <v>0.67638888888888893</v>
      </c>
      <c r="L162" s="3">
        <f t="shared" si="5"/>
        <v>1</v>
      </c>
      <c r="M162" s="3">
        <f t="shared" si="6"/>
        <v>0</v>
      </c>
      <c r="N162" s="29">
        <f>_xlfn.MAXIFS($G$7:G161,$E$7:E161,detalhe_carro1[[#This Row],[Nó]],$B$7:B161,detalhe_carro1[[#This Row],[Numero Voltas]],$L$7:L161,1)</f>
        <v>223</v>
      </c>
      <c r="O162" s="3" t="str">
        <f>IF(OR(detalhe_carro1[[#This Row],[Ultima Chegada]]=0,detalhe_carro1[[#This Row],[Chegada]]=0),"",detalhe_carro1[[#This Row],[Hora Inicio]]-detalhe_carro1[[#This Row],[Ultima Chegada]])</f>
        <v/>
      </c>
      <c r="P162" s="3">
        <f>IF(detalhe_carro1[[#This Row],[Tipo]]="Visitar Nó",((detalhe_carro1[[#This Row],[Hora Fim]]-detalhe_carro1[[#This Row],[Hora Inicio]])/60*velocidade_nos),0)</f>
        <v>0</v>
      </c>
      <c r="Q162" s="29">
        <f>detalhe_carro1[[#This Row],[Kms Nós]]+detalhe_carro1[[#This Row],[kms]]</f>
        <v>3</v>
      </c>
      <c r="S162" s="20">
        <v>3</v>
      </c>
      <c r="T162" s="20">
        <v>0</v>
      </c>
      <c r="U162" s="20">
        <v>2</v>
      </c>
      <c r="V162" s="20" t="s">
        <v>24</v>
      </c>
      <c r="W162">
        <v>546</v>
      </c>
      <c r="X162">
        <v>546</v>
      </c>
      <c r="Y162">
        <v>530</v>
      </c>
      <c r="Z162" s="7">
        <v>0.67083333333333328</v>
      </c>
      <c r="AA162" s="7">
        <v>0.67083333333333328</v>
      </c>
      <c r="AB162" s="7">
        <v>0.65972222222222221</v>
      </c>
      <c r="AC16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162" s="18"/>
      <c r="AM162"/>
      <c r="AN162"/>
    </row>
    <row r="163" spans="2:40" x14ac:dyDescent="0.25">
      <c r="B163" s="3">
        <v>2</v>
      </c>
      <c r="C163">
        <v>0</v>
      </c>
      <c r="D163">
        <v>7</v>
      </c>
      <c r="E163" s="29" t="s">
        <v>33</v>
      </c>
      <c r="F163" s="3">
        <v>557</v>
      </c>
      <c r="G163" s="3">
        <v>557</v>
      </c>
      <c r="H163" s="29" t="s">
        <v>51</v>
      </c>
      <c r="I163" s="3">
        <v>3</v>
      </c>
      <c r="J163" s="7">
        <v>0.67847222222222225</v>
      </c>
      <c r="K163" s="7">
        <v>0.67847222222222225</v>
      </c>
      <c r="L163" s="3">
        <f t="shared" si="5"/>
        <v>0</v>
      </c>
      <c r="M163" s="3">
        <f t="shared" si="6"/>
        <v>1</v>
      </c>
      <c r="N163" s="29">
        <f>_xlfn.MAXIFS($G$7:G162,$E$7:E162,detalhe_carro1[[#This Row],[Nó]],$B$7:B162,detalhe_carro1[[#This Row],[Numero Voltas]],$L$7:L162,1)</f>
        <v>103</v>
      </c>
      <c r="O163" s="3">
        <f>IF(OR(detalhe_carro1[[#This Row],[Ultima Chegada]]=0,detalhe_carro1[[#This Row],[Chegada]]=0),"",detalhe_carro1[[#This Row],[Hora Inicio]]-detalhe_carro1[[#This Row],[Ultima Chegada]])</f>
        <v>454</v>
      </c>
      <c r="P163" s="3">
        <f>IF(detalhe_carro1[[#This Row],[Tipo]]="Visitar Nó",((detalhe_carro1[[#This Row],[Hora Fim]]-detalhe_carro1[[#This Row],[Hora Inicio]])/60*velocidade_nos),0)</f>
        <v>0</v>
      </c>
      <c r="Q163" s="29">
        <f>detalhe_carro1[[#This Row],[Kms Nós]]+detalhe_carro1[[#This Row],[kms]]</f>
        <v>3</v>
      </c>
      <c r="S163" s="20">
        <v>3</v>
      </c>
      <c r="T163" s="20">
        <v>0</v>
      </c>
      <c r="U163" s="20">
        <v>3</v>
      </c>
      <c r="V163" s="20" t="s">
        <v>26</v>
      </c>
      <c r="W163">
        <v>547</v>
      </c>
      <c r="X163">
        <v>547</v>
      </c>
      <c r="Y163">
        <v>529</v>
      </c>
      <c r="Z163" s="7">
        <v>0.67152777777777772</v>
      </c>
      <c r="AA163" s="7">
        <v>0.67152777777777772</v>
      </c>
      <c r="AB163" s="7">
        <v>0.65902777777777777</v>
      </c>
      <c r="AC16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63" s="18"/>
      <c r="AM163"/>
      <c r="AN163"/>
    </row>
    <row r="164" spans="2:40" x14ac:dyDescent="0.25">
      <c r="B164" s="3">
        <v>2</v>
      </c>
      <c r="C164">
        <v>0</v>
      </c>
      <c r="D164">
        <v>7</v>
      </c>
      <c r="E164" s="29" t="s">
        <v>33</v>
      </c>
      <c r="F164" s="3">
        <v>557</v>
      </c>
      <c r="G164" s="3">
        <v>557</v>
      </c>
      <c r="H164" s="29" t="s">
        <v>51</v>
      </c>
      <c r="I164" s="3">
        <v>3</v>
      </c>
      <c r="J164" s="7">
        <v>0.67847222222222225</v>
      </c>
      <c r="K164" s="7">
        <v>0.67847222222222225</v>
      </c>
      <c r="L164" s="3">
        <f t="shared" si="5"/>
        <v>1</v>
      </c>
      <c r="M164" s="3">
        <f t="shared" si="6"/>
        <v>0</v>
      </c>
      <c r="N164" s="29">
        <f>_xlfn.MAXIFS($G$7:G163,$E$7:E163,detalhe_carro1[[#This Row],[Nó]],$B$7:B163,detalhe_carro1[[#This Row],[Numero Voltas]],$L$7:L163,1)</f>
        <v>103</v>
      </c>
      <c r="O164" s="3" t="str">
        <f>IF(OR(detalhe_carro1[[#This Row],[Ultima Chegada]]=0,detalhe_carro1[[#This Row],[Chegada]]=0),"",detalhe_carro1[[#This Row],[Hora Inicio]]-detalhe_carro1[[#This Row],[Ultima Chegada]])</f>
        <v/>
      </c>
      <c r="P164" s="3">
        <f>IF(detalhe_carro1[[#This Row],[Tipo]]="Visitar Nó",((detalhe_carro1[[#This Row],[Hora Fim]]-detalhe_carro1[[#This Row],[Hora Inicio]])/60*velocidade_nos),0)</f>
        <v>0</v>
      </c>
      <c r="Q164" s="29">
        <f>detalhe_carro1[[#This Row],[Kms Nós]]+detalhe_carro1[[#This Row],[kms]]</f>
        <v>3</v>
      </c>
      <c r="S164" s="20">
        <v>3</v>
      </c>
      <c r="T164" s="20">
        <v>0</v>
      </c>
      <c r="U164" s="20">
        <v>4</v>
      </c>
      <c r="V164" s="20" t="s">
        <v>27</v>
      </c>
      <c r="W164">
        <v>548</v>
      </c>
      <c r="X164">
        <v>548</v>
      </c>
      <c r="Y164">
        <v>528</v>
      </c>
      <c r="Z164" s="7">
        <v>0.67222222222222228</v>
      </c>
      <c r="AA164" s="7">
        <v>0.67222222222222228</v>
      </c>
      <c r="AB164" s="7">
        <v>0.65833333333333333</v>
      </c>
      <c r="AC16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64" s="18"/>
      <c r="AM164"/>
      <c r="AN164"/>
    </row>
    <row r="165" spans="2:40" x14ac:dyDescent="0.25">
      <c r="B165" s="3">
        <v>2</v>
      </c>
      <c r="C165">
        <v>0</v>
      </c>
      <c r="D165">
        <v>6</v>
      </c>
      <c r="E165" s="29" t="s">
        <v>31</v>
      </c>
      <c r="F165" s="3">
        <v>560</v>
      </c>
      <c r="G165" s="3">
        <v>560</v>
      </c>
      <c r="H165" s="29" t="s">
        <v>51</v>
      </c>
      <c r="I165" s="3">
        <v>3</v>
      </c>
      <c r="J165" s="7">
        <v>0.68055555555555558</v>
      </c>
      <c r="K165" s="7">
        <v>0.68055555555555558</v>
      </c>
      <c r="L165" s="3">
        <f t="shared" si="5"/>
        <v>1</v>
      </c>
      <c r="M165" s="3">
        <f t="shared" si="6"/>
        <v>1</v>
      </c>
      <c r="N165" s="29">
        <f>_xlfn.MAXIFS($G$7:G164,$E$7:E164,detalhe_carro1[[#This Row],[Nó]],$B$7:B164,detalhe_carro1[[#This Row],[Numero Voltas]],$L$7:L164,1)</f>
        <v>554</v>
      </c>
      <c r="O165" s="3">
        <f>IF(OR(detalhe_carro1[[#This Row],[Ultima Chegada]]=0,detalhe_carro1[[#This Row],[Chegada]]=0),"",detalhe_carro1[[#This Row],[Hora Inicio]]-detalhe_carro1[[#This Row],[Ultima Chegada]])</f>
        <v>6</v>
      </c>
      <c r="P165" s="3">
        <f>IF(detalhe_carro1[[#This Row],[Tipo]]="Visitar Nó",((detalhe_carro1[[#This Row],[Hora Fim]]-detalhe_carro1[[#This Row],[Hora Inicio]])/60*velocidade_nos),0)</f>
        <v>0</v>
      </c>
      <c r="Q165" s="29">
        <f>detalhe_carro1[[#This Row],[Kms Nós]]+detalhe_carro1[[#This Row],[kms]]</f>
        <v>3</v>
      </c>
      <c r="S165" s="20">
        <v>3</v>
      </c>
      <c r="T165" s="20">
        <v>0</v>
      </c>
      <c r="U165" s="20">
        <v>5</v>
      </c>
      <c r="V165" s="20" t="s">
        <v>29</v>
      </c>
      <c r="W165">
        <v>551</v>
      </c>
      <c r="X165">
        <v>551</v>
      </c>
      <c r="Y165">
        <v>525</v>
      </c>
      <c r="Z165" s="7">
        <v>0.6743055555555556</v>
      </c>
      <c r="AA165" s="7">
        <v>0.6743055555555556</v>
      </c>
      <c r="AB165" s="7">
        <v>0.65625</v>
      </c>
      <c r="AC16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165" s="18"/>
      <c r="AM165"/>
      <c r="AN165"/>
    </row>
    <row r="166" spans="2:40" x14ac:dyDescent="0.25">
      <c r="B166" s="3">
        <v>2</v>
      </c>
      <c r="C166">
        <v>0</v>
      </c>
      <c r="D166">
        <v>5</v>
      </c>
      <c r="E166" s="29" t="s">
        <v>29</v>
      </c>
      <c r="F166" s="3">
        <v>563</v>
      </c>
      <c r="G166" s="3">
        <v>563</v>
      </c>
      <c r="H166" s="29" t="s">
        <v>51</v>
      </c>
      <c r="I166" s="3">
        <v>3</v>
      </c>
      <c r="J166" s="7">
        <v>0.68263888888888891</v>
      </c>
      <c r="K166" s="7">
        <v>0.68263888888888891</v>
      </c>
      <c r="L166" s="3">
        <f t="shared" si="5"/>
        <v>1</v>
      </c>
      <c r="M166" s="3">
        <f t="shared" si="6"/>
        <v>1</v>
      </c>
      <c r="N166" s="29">
        <f>_xlfn.MAXIFS($G$7:G165,$E$7:E165,detalhe_carro1[[#This Row],[Nó]],$B$7:B165,detalhe_carro1[[#This Row],[Numero Voltas]],$L$7:L165,1)</f>
        <v>539</v>
      </c>
      <c r="O166" s="3">
        <f>IF(OR(detalhe_carro1[[#This Row],[Ultima Chegada]]=0,detalhe_carro1[[#This Row],[Chegada]]=0),"",detalhe_carro1[[#This Row],[Hora Inicio]]-detalhe_carro1[[#This Row],[Ultima Chegada]])</f>
        <v>24</v>
      </c>
      <c r="P166" s="3">
        <f>IF(detalhe_carro1[[#This Row],[Tipo]]="Visitar Nó",((detalhe_carro1[[#This Row],[Hora Fim]]-detalhe_carro1[[#This Row],[Hora Inicio]])/60*velocidade_nos),0)</f>
        <v>0</v>
      </c>
      <c r="Q166" s="29">
        <f>detalhe_carro1[[#This Row],[Kms Nós]]+detalhe_carro1[[#This Row],[kms]]</f>
        <v>3</v>
      </c>
      <c r="S166" s="20">
        <v>3</v>
      </c>
      <c r="T166" s="20">
        <v>0</v>
      </c>
      <c r="U166" s="20">
        <v>6</v>
      </c>
      <c r="V166" s="20" t="s">
        <v>31</v>
      </c>
      <c r="W166">
        <v>554</v>
      </c>
      <c r="X166">
        <v>554</v>
      </c>
      <c r="Y166">
        <v>522</v>
      </c>
      <c r="Z166" s="7">
        <v>0.67638888888888893</v>
      </c>
      <c r="AA166" s="7">
        <v>0.67638888888888893</v>
      </c>
      <c r="AB166" s="7">
        <v>0.65416666666666667</v>
      </c>
      <c r="AC16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166" s="18"/>
      <c r="AM166"/>
      <c r="AN166"/>
    </row>
    <row r="167" spans="2:40" x14ac:dyDescent="0.25">
      <c r="B167" s="3">
        <v>2</v>
      </c>
      <c r="C167">
        <v>0</v>
      </c>
      <c r="D167">
        <v>4</v>
      </c>
      <c r="E167" s="29" t="s">
        <v>27</v>
      </c>
      <c r="F167" s="3">
        <v>566</v>
      </c>
      <c r="G167" s="3">
        <v>566</v>
      </c>
      <c r="H167" s="29" t="s">
        <v>51</v>
      </c>
      <c r="I167" s="3">
        <v>3</v>
      </c>
      <c r="J167" s="7">
        <v>0.68472222222222223</v>
      </c>
      <c r="K167" s="7">
        <v>0.68472222222222223</v>
      </c>
      <c r="L167" s="3">
        <f t="shared" si="5"/>
        <v>1</v>
      </c>
      <c r="M167" s="3">
        <f t="shared" si="6"/>
        <v>1</v>
      </c>
      <c r="N167" s="29">
        <f>_xlfn.MAXIFS($G$7:G166,$E$7:E166,detalhe_carro1[[#This Row],[Nó]],$B$7:B166,detalhe_carro1[[#This Row],[Numero Voltas]],$L$7:L166,1)</f>
        <v>492</v>
      </c>
      <c r="O167" s="3">
        <f>IF(OR(detalhe_carro1[[#This Row],[Ultima Chegada]]=0,detalhe_carro1[[#This Row],[Chegada]]=0),"",detalhe_carro1[[#This Row],[Hora Inicio]]-detalhe_carro1[[#This Row],[Ultima Chegada]])</f>
        <v>74</v>
      </c>
      <c r="P167" s="3">
        <f>IF(detalhe_carro1[[#This Row],[Tipo]]="Visitar Nó",((detalhe_carro1[[#This Row],[Hora Fim]]-detalhe_carro1[[#This Row],[Hora Inicio]])/60*velocidade_nos),0)</f>
        <v>0</v>
      </c>
      <c r="Q167" s="29">
        <f>detalhe_carro1[[#This Row],[Kms Nós]]+detalhe_carro1[[#This Row],[kms]]</f>
        <v>3</v>
      </c>
      <c r="S167" s="20">
        <v>3</v>
      </c>
      <c r="T167" s="20">
        <v>0</v>
      </c>
      <c r="U167" s="20">
        <v>7</v>
      </c>
      <c r="V167" s="20" t="s">
        <v>33</v>
      </c>
      <c r="W167">
        <v>557</v>
      </c>
      <c r="X167">
        <v>557</v>
      </c>
      <c r="Y167">
        <v>519</v>
      </c>
      <c r="Z167" s="7">
        <v>0.67847222222222225</v>
      </c>
      <c r="AA167" s="7">
        <v>0.67847222222222225</v>
      </c>
      <c r="AB167" s="7">
        <v>0.65208333333333335</v>
      </c>
      <c r="AC16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67" s="18"/>
      <c r="AM167"/>
      <c r="AN167"/>
    </row>
    <row r="168" spans="2:40" x14ac:dyDescent="0.25">
      <c r="B168" s="3">
        <v>2</v>
      </c>
      <c r="C168">
        <v>0</v>
      </c>
      <c r="D168">
        <v>3</v>
      </c>
      <c r="E168" s="29" t="s">
        <v>26</v>
      </c>
      <c r="F168" s="3">
        <v>567</v>
      </c>
      <c r="G168" s="3">
        <v>567</v>
      </c>
      <c r="H168" s="29" t="s">
        <v>51</v>
      </c>
      <c r="I168" s="3">
        <v>1</v>
      </c>
      <c r="J168" s="7">
        <v>0.68541666666666667</v>
      </c>
      <c r="K168" s="7">
        <v>0.68541666666666667</v>
      </c>
      <c r="L168" s="3">
        <f t="shared" si="5"/>
        <v>1</v>
      </c>
      <c r="M168" s="3">
        <f t="shared" si="6"/>
        <v>1</v>
      </c>
      <c r="N168" s="29">
        <f>_xlfn.MAXIFS($G$7:G167,$E$7:E167,detalhe_carro1[[#This Row],[Nó]],$B$7:B167,detalhe_carro1[[#This Row],[Numero Voltas]],$L$7:L167,1)</f>
        <v>477</v>
      </c>
      <c r="O168" s="3">
        <f>IF(OR(detalhe_carro1[[#This Row],[Ultima Chegada]]=0,detalhe_carro1[[#This Row],[Chegada]]=0),"",detalhe_carro1[[#This Row],[Hora Inicio]]-detalhe_carro1[[#This Row],[Ultima Chegada]])</f>
        <v>90</v>
      </c>
      <c r="P168" s="3">
        <f>IF(detalhe_carro1[[#This Row],[Tipo]]="Visitar Nó",((detalhe_carro1[[#This Row],[Hora Fim]]-detalhe_carro1[[#This Row],[Hora Inicio]])/60*velocidade_nos),0)</f>
        <v>0</v>
      </c>
      <c r="Q168" s="29">
        <f>detalhe_carro1[[#This Row],[Kms Nós]]+detalhe_carro1[[#This Row],[kms]]</f>
        <v>1</v>
      </c>
      <c r="S168" s="20">
        <v>3</v>
      </c>
      <c r="T168" s="20">
        <v>0</v>
      </c>
      <c r="U168" s="20">
        <v>6</v>
      </c>
      <c r="V168" s="20" t="s">
        <v>31</v>
      </c>
      <c r="W168">
        <v>560</v>
      </c>
      <c r="X168">
        <v>560</v>
      </c>
      <c r="Y168">
        <v>554</v>
      </c>
      <c r="Z168" s="7">
        <v>0.68055555555555558</v>
      </c>
      <c r="AA168" s="7">
        <v>0.68055555555555558</v>
      </c>
      <c r="AB168" s="7">
        <v>0.67638888888888893</v>
      </c>
      <c r="AC16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  <c r="AJ168" s="18"/>
      <c r="AM168"/>
      <c r="AN168"/>
    </row>
    <row r="169" spans="2:40" x14ac:dyDescent="0.25">
      <c r="B169" s="3">
        <v>2</v>
      </c>
      <c r="C169">
        <v>0</v>
      </c>
      <c r="D169">
        <v>2</v>
      </c>
      <c r="E169" s="29" t="s">
        <v>24</v>
      </c>
      <c r="F169" s="3">
        <v>568</v>
      </c>
      <c r="G169" s="3">
        <v>568</v>
      </c>
      <c r="H169" s="29" t="s">
        <v>51</v>
      </c>
      <c r="I169" s="3">
        <v>1</v>
      </c>
      <c r="J169" s="7">
        <v>0.68611111111111112</v>
      </c>
      <c r="K169" s="7">
        <v>0.68611111111111112</v>
      </c>
      <c r="L169" s="3">
        <f t="shared" si="5"/>
        <v>1</v>
      </c>
      <c r="M169" s="3">
        <f t="shared" si="6"/>
        <v>1</v>
      </c>
      <c r="N169" s="29">
        <f>_xlfn.MAXIFS($G$7:G168,$E$7:E168,detalhe_carro1[[#This Row],[Nó]],$B$7:B168,detalhe_carro1[[#This Row],[Numero Voltas]],$L$7:L168,1)</f>
        <v>465</v>
      </c>
      <c r="O169" s="3">
        <f>IF(OR(detalhe_carro1[[#This Row],[Ultima Chegada]]=0,detalhe_carro1[[#This Row],[Chegada]]=0),"",detalhe_carro1[[#This Row],[Hora Inicio]]-detalhe_carro1[[#This Row],[Ultima Chegada]])</f>
        <v>103</v>
      </c>
      <c r="P169" s="3">
        <f>IF(detalhe_carro1[[#This Row],[Tipo]]="Visitar Nó",((detalhe_carro1[[#This Row],[Hora Fim]]-detalhe_carro1[[#This Row],[Hora Inicio]])/60*velocidade_nos),0)</f>
        <v>0</v>
      </c>
      <c r="Q169" s="29">
        <f>detalhe_carro1[[#This Row],[Kms Nós]]+detalhe_carro1[[#This Row],[kms]]</f>
        <v>1</v>
      </c>
      <c r="S169" s="20">
        <v>3</v>
      </c>
      <c r="T169" s="20">
        <v>0</v>
      </c>
      <c r="U169" s="20">
        <v>5</v>
      </c>
      <c r="V169" s="20" t="s">
        <v>29</v>
      </c>
      <c r="W169">
        <v>563</v>
      </c>
      <c r="X169">
        <v>563</v>
      </c>
      <c r="Y169">
        <v>551</v>
      </c>
      <c r="Z169" s="7">
        <v>0.68263888888888891</v>
      </c>
      <c r="AA169" s="7">
        <v>0.68263888888888891</v>
      </c>
      <c r="AB169" s="7">
        <v>0.6743055555555556</v>
      </c>
      <c r="AC16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  <c r="AJ169" s="18"/>
      <c r="AM169"/>
      <c r="AN169"/>
    </row>
    <row r="170" spans="2:40" x14ac:dyDescent="0.25">
      <c r="B170" s="3">
        <v>2</v>
      </c>
      <c r="C170">
        <v>0</v>
      </c>
      <c r="D170">
        <v>1</v>
      </c>
      <c r="E170" s="29" t="s">
        <v>22</v>
      </c>
      <c r="F170" s="3">
        <v>575</v>
      </c>
      <c r="G170" s="3">
        <v>575</v>
      </c>
      <c r="H170" s="29" t="s">
        <v>51</v>
      </c>
      <c r="I170" s="3">
        <v>7</v>
      </c>
      <c r="J170" s="7">
        <v>0.69097222222222221</v>
      </c>
      <c r="K170" s="7">
        <v>0.69097222222222221</v>
      </c>
      <c r="L170" s="3">
        <f t="shared" si="5"/>
        <v>1</v>
      </c>
      <c r="M170" s="3">
        <f t="shared" si="6"/>
        <v>1</v>
      </c>
      <c r="N170" s="29">
        <f>_xlfn.MAXIFS($G$7:G169,$E$7:E169,detalhe_carro1[[#This Row],[Nó]],$B$7:B169,detalhe_carro1[[#This Row],[Numero Voltas]],$L$7:L169,1)</f>
        <v>437</v>
      </c>
      <c r="O170" s="3">
        <f>IF(OR(detalhe_carro1[[#This Row],[Ultima Chegada]]=0,detalhe_carro1[[#This Row],[Chegada]]=0),"",detalhe_carro1[[#This Row],[Hora Inicio]]-detalhe_carro1[[#This Row],[Ultima Chegada]])</f>
        <v>138</v>
      </c>
      <c r="P170" s="3">
        <f>IF(detalhe_carro1[[#This Row],[Tipo]]="Visitar Nó",((detalhe_carro1[[#This Row],[Hora Fim]]-detalhe_carro1[[#This Row],[Hora Inicio]])/60*velocidade_nos),0)</f>
        <v>0</v>
      </c>
      <c r="Q170" s="29">
        <f>detalhe_carro1[[#This Row],[Kms Nós]]+detalhe_carro1[[#This Row],[kms]]</f>
        <v>7</v>
      </c>
      <c r="S170" s="20">
        <v>3</v>
      </c>
      <c r="T170" s="20">
        <v>0</v>
      </c>
      <c r="U170" s="20">
        <v>4</v>
      </c>
      <c r="V170" s="20" t="s">
        <v>27</v>
      </c>
      <c r="W170">
        <v>566</v>
      </c>
      <c r="X170">
        <v>566</v>
      </c>
      <c r="Y170">
        <v>548</v>
      </c>
      <c r="Z170" s="7">
        <v>0.68472222222222223</v>
      </c>
      <c r="AA170" s="7">
        <v>0.68472222222222223</v>
      </c>
      <c r="AB170" s="7">
        <v>0.67222222222222228</v>
      </c>
      <c r="AC17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70" s="18"/>
      <c r="AM170"/>
      <c r="AN170"/>
    </row>
    <row r="171" spans="2:40" x14ac:dyDescent="0.25">
      <c r="B171" s="3">
        <v>2</v>
      </c>
      <c r="C171">
        <v>0</v>
      </c>
      <c r="D171">
        <v>0</v>
      </c>
      <c r="E171" s="29" t="s">
        <v>20</v>
      </c>
      <c r="F171" s="3">
        <v>576</v>
      </c>
      <c r="G171" s="3">
        <v>576</v>
      </c>
      <c r="H171" s="29" t="s">
        <v>51</v>
      </c>
      <c r="I171" s="3">
        <v>1</v>
      </c>
      <c r="J171" s="7">
        <v>0.69166666666666665</v>
      </c>
      <c r="K171" s="7">
        <v>0.69166666666666665</v>
      </c>
      <c r="L171" s="3">
        <f t="shared" si="5"/>
        <v>0</v>
      </c>
      <c r="M171" s="3">
        <f t="shared" si="6"/>
        <v>1</v>
      </c>
      <c r="N171" s="29">
        <f>_xlfn.MAXIFS($G$7:G170,$E$7:E170,detalhe_carro1[[#This Row],[Nó]],$B$7:B170,detalhe_carro1[[#This Row],[Numero Voltas]],$L$7:L170,1)</f>
        <v>430</v>
      </c>
      <c r="O171" s="3">
        <f>IF(OR(detalhe_carro1[[#This Row],[Ultima Chegada]]=0,detalhe_carro1[[#This Row],[Chegada]]=0),"",detalhe_carro1[[#This Row],[Hora Inicio]]-detalhe_carro1[[#This Row],[Ultima Chegada]])</f>
        <v>146</v>
      </c>
      <c r="P171" s="3">
        <f>IF(detalhe_carro1[[#This Row],[Tipo]]="Visitar Nó",((detalhe_carro1[[#This Row],[Hora Fim]]-detalhe_carro1[[#This Row],[Hora Inicio]])/60*velocidade_nos),0)</f>
        <v>0</v>
      </c>
      <c r="Q171" s="29">
        <f>detalhe_carro1[[#This Row],[Kms Nós]]+detalhe_carro1[[#This Row],[kms]]</f>
        <v>1</v>
      </c>
      <c r="S171" s="20">
        <v>3</v>
      </c>
      <c r="T171" s="20">
        <v>0</v>
      </c>
      <c r="U171" s="20">
        <v>3</v>
      </c>
      <c r="V171" s="20" t="s">
        <v>26</v>
      </c>
      <c r="W171">
        <v>567</v>
      </c>
      <c r="X171">
        <v>567</v>
      </c>
      <c r="Y171">
        <v>547</v>
      </c>
      <c r="Z171" s="7">
        <v>0.68541666666666667</v>
      </c>
      <c r="AA171" s="7">
        <v>0.68541666666666667</v>
      </c>
      <c r="AB171" s="7">
        <v>0.67152777777777772</v>
      </c>
      <c r="AC17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71" s="18"/>
      <c r="AM171"/>
      <c r="AN171"/>
    </row>
    <row r="172" spans="2:40" x14ac:dyDescent="0.25">
      <c r="B172" s="3">
        <v>2</v>
      </c>
      <c r="C172">
        <v>0</v>
      </c>
      <c r="D172">
        <v>0</v>
      </c>
      <c r="E172" s="29" t="s">
        <v>20</v>
      </c>
      <c r="F172" s="3">
        <v>576</v>
      </c>
      <c r="G172" s="3">
        <v>576</v>
      </c>
      <c r="H172" s="29" t="s">
        <v>51</v>
      </c>
      <c r="I172" s="3">
        <v>1</v>
      </c>
      <c r="J172" s="7">
        <v>0.69166666666666665</v>
      </c>
      <c r="K172" s="7">
        <v>0.69166666666666665</v>
      </c>
      <c r="L172" s="3">
        <f t="shared" si="5"/>
        <v>1</v>
      </c>
      <c r="M172" s="3">
        <f t="shared" si="6"/>
        <v>0</v>
      </c>
      <c r="N172" s="29">
        <f>_xlfn.MAXIFS($G$7:G171,$E$7:E171,detalhe_carro1[[#This Row],[Nó]],$B$7:B171,detalhe_carro1[[#This Row],[Numero Voltas]],$L$7:L171,1)</f>
        <v>430</v>
      </c>
      <c r="O172" s="3" t="str">
        <f>IF(OR(detalhe_carro1[[#This Row],[Ultima Chegada]]=0,detalhe_carro1[[#This Row],[Chegada]]=0),"",detalhe_carro1[[#This Row],[Hora Inicio]]-detalhe_carro1[[#This Row],[Ultima Chegada]])</f>
        <v/>
      </c>
      <c r="P172" s="3">
        <f>IF(detalhe_carro1[[#This Row],[Tipo]]="Visitar Nó",((detalhe_carro1[[#This Row],[Hora Fim]]-detalhe_carro1[[#This Row],[Hora Inicio]])/60*velocidade_nos),0)</f>
        <v>0</v>
      </c>
      <c r="Q172" s="29">
        <f>detalhe_carro1[[#This Row],[Kms Nós]]+detalhe_carro1[[#This Row],[kms]]</f>
        <v>1</v>
      </c>
      <c r="S172" s="20">
        <v>3</v>
      </c>
      <c r="T172" s="20">
        <v>0</v>
      </c>
      <c r="U172" s="20">
        <v>2</v>
      </c>
      <c r="V172" s="20" t="s">
        <v>24</v>
      </c>
      <c r="W172">
        <v>568</v>
      </c>
      <c r="X172">
        <v>568</v>
      </c>
      <c r="Y172">
        <v>546</v>
      </c>
      <c r="Z172" s="7">
        <v>0.68611111111111112</v>
      </c>
      <c r="AA172" s="7">
        <v>0.68611111111111112</v>
      </c>
      <c r="AB172" s="7">
        <v>0.67083333333333328</v>
      </c>
      <c r="AC17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  <c r="AJ172" s="18"/>
      <c r="AM172"/>
      <c r="AN172"/>
    </row>
    <row r="173" spans="2:40" x14ac:dyDescent="0.25">
      <c r="B173" s="3">
        <v>2</v>
      </c>
      <c r="C173">
        <v>0</v>
      </c>
      <c r="D173">
        <v>1</v>
      </c>
      <c r="E173" s="29" t="s">
        <v>22</v>
      </c>
      <c r="F173" s="3">
        <v>577</v>
      </c>
      <c r="G173" s="3">
        <v>577</v>
      </c>
      <c r="H173" s="29" t="s">
        <v>51</v>
      </c>
      <c r="I173" s="3">
        <v>1</v>
      </c>
      <c r="J173" s="7">
        <v>0.69236111111111109</v>
      </c>
      <c r="K173" s="7">
        <v>0.69236111111111109</v>
      </c>
      <c r="L173" s="3">
        <f t="shared" si="5"/>
        <v>1</v>
      </c>
      <c r="M173" s="3">
        <f t="shared" si="6"/>
        <v>1</v>
      </c>
      <c r="N173" s="29">
        <f>_xlfn.MAXIFS($G$7:G172,$E$7:E172,detalhe_carro1[[#This Row],[Nó]],$B$7:B172,detalhe_carro1[[#This Row],[Numero Voltas]],$L$7:L172,1)</f>
        <v>575</v>
      </c>
      <c r="O173" s="3">
        <f>IF(OR(detalhe_carro1[[#This Row],[Ultima Chegada]]=0,detalhe_carro1[[#This Row],[Chegada]]=0),"",detalhe_carro1[[#This Row],[Hora Inicio]]-detalhe_carro1[[#This Row],[Ultima Chegada]])</f>
        <v>2</v>
      </c>
      <c r="P173" s="3">
        <f>IF(detalhe_carro1[[#This Row],[Tipo]]="Visitar Nó",((detalhe_carro1[[#This Row],[Hora Fim]]-detalhe_carro1[[#This Row],[Hora Inicio]])/60*velocidade_nos),0)</f>
        <v>0</v>
      </c>
      <c r="Q173" s="29">
        <f>detalhe_carro1[[#This Row],[Kms Nós]]+detalhe_carro1[[#This Row],[kms]]</f>
        <v>1</v>
      </c>
      <c r="S173" s="20">
        <v>3</v>
      </c>
      <c r="T173" s="20">
        <v>0</v>
      </c>
      <c r="U173" s="20">
        <v>1</v>
      </c>
      <c r="V173" s="20" t="s">
        <v>22</v>
      </c>
      <c r="W173">
        <v>575</v>
      </c>
      <c r="X173">
        <v>575</v>
      </c>
      <c r="Y173">
        <v>539</v>
      </c>
      <c r="Z173" s="7">
        <v>0.69097222222222221</v>
      </c>
      <c r="AA173" s="7">
        <v>0.69097222222222221</v>
      </c>
      <c r="AB173" s="7">
        <v>0.66597222222222219</v>
      </c>
      <c r="AC17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  <c r="AJ173" s="18"/>
      <c r="AM173"/>
      <c r="AN173"/>
    </row>
    <row r="174" spans="2:40" x14ac:dyDescent="0.25">
      <c r="B174" s="3">
        <v>2</v>
      </c>
      <c r="C174">
        <v>0</v>
      </c>
      <c r="D174">
        <v>2</v>
      </c>
      <c r="E174" s="29" t="s">
        <v>24</v>
      </c>
      <c r="F174" s="3">
        <v>584</v>
      </c>
      <c r="G174" s="3">
        <v>584</v>
      </c>
      <c r="H174" s="29" t="s">
        <v>51</v>
      </c>
      <c r="I174" s="3">
        <v>7</v>
      </c>
      <c r="J174" s="7">
        <v>0.69722222222222219</v>
      </c>
      <c r="K174" s="7">
        <v>0.69722222222222219</v>
      </c>
      <c r="L174" s="3">
        <f t="shared" si="5"/>
        <v>1</v>
      </c>
      <c r="M174" s="3">
        <f t="shared" si="6"/>
        <v>1</v>
      </c>
      <c r="N174" s="29">
        <f>_xlfn.MAXIFS($G$7:G173,$E$7:E173,detalhe_carro1[[#This Row],[Nó]],$B$7:B173,detalhe_carro1[[#This Row],[Numero Voltas]],$L$7:L173,1)</f>
        <v>568</v>
      </c>
      <c r="O174" s="3">
        <f>IF(OR(detalhe_carro1[[#This Row],[Ultima Chegada]]=0,detalhe_carro1[[#This Row],[Chegada]]=0),"",detalhe_carro1[[#This Row],[Hora Inicio]]-detalhe_carro1[[#This Row],[Ultima Chegada]])</f>
        <v>16</v>
      </c>
      <c r="P174" s="3">
        <f>IF(detalhe_carro1[[#This Row],[Tipo]]="Visitar Nó",((detalhe_carro1[[#This Row],[Hora Fim]]-detalhe_carro1[[#This Row],[Hora Inicio]])/60*velocidade_nos),0)</f>
        <v>0</v>
      </c>
      <c r="Q174" s="29">
        <f>detalhe_carro1[[#This Row],[Kms Nós]]+detalhe_carro1[[#This Row],[kms]]</f>
        <v>7</v>
      </c>
      <c r="S174" s="20">
        <v>3</v>
      </c>
      <c r="T174" s="20">
        <v>0</v>
      </c>
      <c r="U174" s="20">
        <v>0</v>
      </c>
      <c r="V174" s="20" t="s">
        <v>20</v>
      </c>
      <c r="W174">
        <v>576</v>
      </c>
      <c r="X174">
        <v>576</v>
      </c>
      <c r="Y174">
        <v>538</v>
      </c>
      <c r="Z174" s="7">
        <v>0.69166666666666665</v>
      </c>
      <c r="AA174" s="7">
        <v>0.69166666666666665</v>
      </c>
      <c r="AB174" s="7">
        <v>0.66527777777777775</v>
      </c>
      <c r="AC17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74" s="18"/>
      <c r="AM174"/>
      <c r="AN174"/>
    </row>
    <row r="175" spans="2:40" x14ac:dyDescent="0.25">
      <c r="B175" s="3">
        <v>2</v>
      </c>
      <c r="C175">
        <v>0</v>
      </c>
      <c r="D175">
        <v>3</v>
      </c>
      <c r="E175" s="29" t="s">
        <v>26</v>
      </c>
      <c r="F175" s="3">
        <v>585</v>
      </c>
      <c r="G175" s="3">
        <v>585</v>
      </c>
      <c r="H175" s="29" t="s">
        <v>51</v>
      </c>
      <c r="I175" s="3">
        <v>1</v>
      </c>
      <c r="J175" s="7">
        <v>0.69791666666666663</v>
      </c>
      <c r="K175" s="7">
        <v>0.69791666666666663</v>
      </c>
      <c r="L175" s="3">
        <f t="shared" si="5"/>
        <v>1</v>
      </c>
      <c r="M175" s="3">
        <f t="shared" si="6"/>
        <v>1</v>
      </c>
      <c r="N175" s="29">
        <f>_xlfn.MAXIFS($G$7:G174,$E$7:E174,detalhe_carro1[[#This Row],[Nó]],$B$7:B174,detalhe_carro1[[#This Row],[Numero Voltas]],$L$7:L174,1)</f>
        <v>567</v>
      </c>
      <c r="O175" s="3">
        <f>IF(OR(detalhe_carro1[[#This Row],[Ultima Chegada]]=0,detalhe_carro1[[#This Row],[Chegada]]=0),"",detalhe_carro1[[#This Row],[Hora Inicio]]-detalhe_carro1[[#This Row],[Ultima Chegada]])</f>
        <v>18</v>
      </c>
      <c r="P175" s="3">
        <f>IF(detalhe_carro1[[#This Row],[Tipo]]="Visitar Nó",((detalhe_carro1[[#This Row],[Hora Fim]]-detalhe_carro1[[#This Row],[Hora Inicio]])/60*velocidade_nos),0)</f>
        <v>0</v>
      </c>
      <c r="Q175" s="29">
        <f>detalhe_carro1[[#This Row],[Kms Nós]]+detalhe_carro1[[#This Row],[kms]]</f>
        <v>1</v>
      </c>
      <c r="S175" s="20">
        <v>3</v>
      </c>
      <c r="T175" s="20">
        <v>0</v>
      </c>
      <c r="U175" s="20">
        <v>1</v>
      </c>
      <c r="V175" s="20" t="s">
        <v>22</v>
      </c>
      <c r="W175">
        <v>577</v>
      </c>
      <c r="X175">
        <v>577</v>
      </c>
      <c r="Y175">
        <v>575</v>
      </c>
      <c r="Z175" s="7">
        <v>0.69236111111111109</v>
      </c>
      <c r="AA175" s="7">
        <v>0.69236111111111109</v>
      </c>
      <c r="AB175" s="7">
        <v>0.69097222222222221</v>
      </c>
      <c r="AC17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175" s="18"/>
      <c r="AM175"/>
      <c r="AN175"/>
    </row>
    <row r="176" spans="2:40" x14ac:dyDescent="0.25">
      <c r="B176" s="3">
        <v>2</v>
      </c>
      <c r="C176">
        <v>0</v>
      </c>
      <c r="D176">
        <v>4</v>
      </c>
      <c r="E176" s="29" t="s">
        <v>27</v>
      </c>
      <c r="F176" s="3">
        <v>586</v>
      </c>
      <c r="G176" s="3">
        <v>586</v>
      </c>
      <c r="H176" s="29" t="s">
        <v>51</v>
      </c>
      <c r="I176" s="3">
        <v>1</v>
      </c>
      <c r="J176" s="7">
        <v>0.69861111111111107</v>
      </c>
      <c r="K176" s="7">
        <v>0.69861111111111107</v>
      </c>
      <c r="L176" s="3">
        <f t="shared" si="5"/>
        <v>1</v>
      </c>
      <c r="M176" s="3">
        <f t="shared" si="6"/>
        <v>1</v>
      </c>
      <c r="N176" s="29">
        <f>_xlfn.MAXIFS($G$7:G175,$E$7:E175,detalhe_carro1[[#This Row],[Nó]],$B$7:B175,detalhe_carro1[[#This Row],[Numero Voltas]],$L$7:L175,1)</f>
        <v>566</v>
      </c>
      <c r="O176" s="3">
        <f>IF(OR(detalhe_carro1[[#This Row],[Ultima Chegada]]=0,detalhe_carro1[[#This Row],[Chegada]]=0),"",detalhe_carro1[[#This Row],[Hora Inicio]]-detalhe_carro1[[#This Row],[Ultima Chegada]])</f>
        <v>20</v>
      </c>
      <c r="P176" s="3">
        <f>IF(detalhe_carro1[[#This Row],[Tipo]]="Visitar Nó",((detalhe_carro1[[#This Row],[Hora Fim]]-detalhe_carro1[[#This Row],[Hora Inicio]])/60*velocidade_nos),0)</f>
        <v>0</v>
      </c>
      <c r="Q176" s="29">
        <f>detalhe_carro1[[#This Row],[Kms Nós]]+detalhe_carro1[[#This Row],[kms]]</f>
        <v>1</v>
      </c>
      <c r="S176" s="20">
        <v>3</v>
      </c>
      <c r="T176" s="20">
        <v>0</v>
      </c>
      <c r="U176" s="20">
        <v>2</v>
      </c>
      <c r="V176" s="20" t="s">
        <v>24</v>
      </c>
      <c r="W176">
        <v>584</v>
      </c>
      <c r="X176">
        <v>584</v>
      </c>
      <c r="Y176">
        <v>568</v>
      </c>
      <c r="Z176" s="7">
        <v>0.69722222222222219</v>
      </c>
      <c r="AA176" s="7">
        <v>0.69722222222222219</v>
      </c>
      <c r="AB176" s="7">
        <v>0.68611111111111112</v>
      </c>
      <c r="AC17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176" s="18"/>
      <c r="AM176"/>
      <c r="AN176"/>
    </row>
    <row r="177" spans="2:40" x14ac:dyDescent="0.25">
      <c r="B177" s="3">
        <v>2</v>
      </c>
      <c r="C177">
        <v>0</v>
      </c>
      <c r="D177">
        <v>5</v>
      </c>
      <c r="E177" s="29" t="s">
        <v>29</v>
      </c>
      <c r="F177" s="3">
        <v>589</v>
      </c>
      <c r="G177" s="3">
        <v>589</v>
      </c>
      <c r="H177" s="29" t="s">
        <v>51</v>
      </c>
      <c r="I177" s="3">
        <v>3</v>
      </c>
      <c r="J177" s="7">
        <v>0.7006944444444444</v>
      </c>
      <c r="K177" s="7">
        <v>0.7006944444444444</v>
      </c>
      <c r="L177" s="3">
        <f t="shared" si="5"/>
        <v>1</v>
      </c>
      <c r="M177" s="3">
        <f t="shared" si="6"/>
        <v>1</v>
      </c>
      <c r="N177" s="29">
        <f>_xlfn.MAXIFS($G$7:G176,$E$7:E176,detalhe_carro1[[#This Row],[Nó]],$B$7:B176,detalhe_carro1[[#This Row],[Numero Voltas]],$L$7:L176,1)</f>
        <v>563</v>
      </c>
      <c r="O177" s="3">
        <f>IF(OR(detalhe_carro1[[#This Row],[Ultima Chegada]]=0,detalhe_carro1[[#This Row],[Chegada]]=0),"",detalhe_carro1[[#This Row],[Hora Inicio]]-detalhe_carro1[[#This Row],[Ultima Chegada]])</f>
        <v>26</v>
      </c>
      <c r="P177" s="3">
        <f>IF(detalhe_carro1[[#This Row],[Tipo]]="Visitar Nó",((detalhe_carro1[[#This Row],[Hora Fim]]-detalhe_carro1[[#This Row],[Hora Inicio]])/60*velocidade_nos),0)</f>
        <v>0</v>
      </c>
      <c r="Q177" s="29">
        <f>detalhe_carro1[[#This Row],[Kms Nós]]+detalhe_carro1[[#This Row],[kms]]</f>
        <v>3</v>
      </c>
      <c r="S177" s="20">
        <v>3</v>
      </c>
      <c r="T177" s="20">
        <v>0</v>
      </c>
      <c r="U177" s="20">
        <v>3</v>
      </c>
      <c r="V177" s="20" t="s">
        <v>26</v>
      </c>
      <c r="W177">
        <v>585</v>
      </c>
      <c r="X177">
        <v>585</v>
      </c>
      <c r="Y177">
        <v>567</v>
      </c>
      <c r="Z177" s="7">
        <v>0.69791666666666663</v>
      </c>
      <c r="AA177" s="7">
        <v>0.69791666666666663</v>
      </c>
      <c r="AB177" s="7">
        <v>0.68541666666666667</v>
      </c>
      <c r="AC17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77" s="18"/>
      <c r="AM177"/>
      <c r="AN177"/>
    </row>
    <row r="178" spans="2:40" x14ac:dyDescent="0.25">
      <c r="B178" s="3">
        <v>2</v>
      </c>
      <c r="C178">
        <v>0</v>
      </c>
      <c r="D178">
        <v>6</v>
      </c>
      <c r="E178" s="29" t="s">
        <v>31</v>
      </c>
      <c r="F178" s="3">
        <v>592</v>
      </c>
      <c r="G178" s="3">
        <v>592</v>
      </c>
      <c r="H178" s="29" t="s">
        <v>51</v>
      </c>
      <c r="I178" s="3">
        <v>3</v>
      </c>
      <c r="J178" s="7">
        <v>0.70277777777777772</v>
      </c>
      <c r="K178" s="7">
        <v>0.70277777777777772</v>
      </c>
      <c r="L178" s="3">
        <f t="shared" si="5"/>
        <v>1</v>
      </c>
      <c r="M178" s="3">
        <f t="shared" si="6"/>
        <v>1</v>
      </c>
      <c r="N178" s="29">
        <f>_xlfn.MAXIFS($G$7:G177,$E$7:E177,detalhe_carro1[[#This Row],[Nó]],$B$7:B177,detalhe_carro1[[#This Row],[Numero Voltas]],$L$7:L177,1)</f>
        <v>560</v>
      </c>
      <c r="O178" s="3">
        <f>IF(OR(detalhe_carro1[[#This Row],[Ultima Chegada]]=0,detalhe_carro1[[#This Row],[Chegada]]=0),"",detalhe_carro1[[#This Row],[Hora Inicio]]-detalhe_carro1[[#This Row],[Ultima Chegada]])</f>
        <v>32</v>
      </c>
      <c r="P178" s="3">
        <f>IF(detalhe_carro1[[#This Row],[Tipo]]="Visitar Nó",((detalhe_carro1[[#This Row],[Hora Fim]]-detalhe_carro1[[#This Row],[Hora Inicio]])/60*velocidade_nos),0)</f>
        <v>0</v>
      </c>
      <c r="Q178" s="29">
        <f>detalhe_carro1[[#This Row],[Kms Nós]]+detalhe_carro1[[#This Row],[kms]]</f>
        <v>3</v>
      </c>
      <c r="S178" s="20">
        <v>3</v>
      </c>
      <c r="T178" s="20">
        <v>0</v>
      </c>
      <c r="U178" s="20">
        <v>4</v>
      </c>
      <c r="V178" s="20" t="s">
        <v>27</v>
      </c>
      <c r="W178">
        <v>586</v>
      </c>
      <c r="X178">
        <v>586</v>
      </c>
      <c r="Y178">
        <v>566</v>
      </c>
      <c r="Z178" s="7">
        <v>0.69861111111111107</v>
      </c>
      <c r="AA178" s="7">
        <v>0.69861111111111107</v>
      </c>
      <c r="AB178" s="7">
        <v>0.68472222222222223</v>
      </c>
      <c r="AC17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78" s="18"/>
      <c r="AM178"/>
      <c r="AN178"/>
    </row>
    <row r="179" spans="2:40" x14ac:dyDescent="0.25">
      <c r="B179" s="3">
        <v>2</v>
      </c>
      <c r="C179">
        <v>0</v>
      </c>
      <c r="D179">
        <v>7</v>
      </c>
      <c r="E179" s="29" t="s">
        <v>33</v>
      </c>
      <c r="F179" s="3">
        <v>595</v>
      </c>
      <c r="G179" s="3">
        <v>595</v>
      </c>
      <c r="H179" s="29" t="s">
        <v>51</v>
      </c>
      <c r="I179" s="3">
        <v>3</v>
      </c>
      <c r="J179" s="7">
        <v>0.70486111111111116</v>
      </c>
      <c r="K179" s="7">
        <v>0.70486111111111116</v>
      </c>
      <c r="L179" s="3">
        <f t="shared" si="5"/>
        <v>0</v>
      </c>
      <c r="M179" s="3">
        <f t="shared" si="6"/>
        <v>1</v>
      </c>
      <c r="N179" s="29">
        <f>_xlfn.MAXIFS($G$7:G178,$E$7:E178,detalhe_carro1[[#This Row],[Nó]],$B$7:B178,detalhe_carro1[[#This Row],[Numero Voltas]],$L$7:L178,1)</f>
        <v>557</v>
      </c>
      <c r="O179" s="3">
        <f>IF(OR(detalhe_carro1[[#This Row],[Ultima Chegada]]=0,detalhe_carro1[[#This Row],[Chegada]]=0),"",detalhe_carro1[[#This Row],[Hora Inicio]]-detalhe_carro1[[#This Row],[Ultima Chegada]])</f>
        <v>38</v>
      </c>
      <c r="P179" s="3">
        <f>IF(detalhe_carro1[[#This Row],[Tipo]]="Visitar Nó",((detalhe_carro1[[#This Row],[Hora Fim]]-detalhe_carro1[[#This Row],[Hora Inicio]])/60*velocidade_nos),0)</f>
        <v>0</v>
      </c>
      <c r="Q179" s="29">
        <f>detalhe_carro1[[#This Row],[Kms Nós]]+detalhe_carro1[[#This Row],[kms]]</f>
        <v>3</v>
      </c>
      <c r="S179" s="20">
        <v>3</v>
      </c>
      <c r="T179" s="20">
        <v>0</v>
      </c>
      <c r="U179" s="20">
        <v>5</v>
      </c>
      <c r="V179" s="20" t="s">
        <v>29</v>
      </c>
      <c r="W179">
        <v>589</v>
      </c>
      <c r="X179">
        <v>589</v>
      </c>
      <c r="Y179">
        <v>563</v>
      </c>
      <c r="Z179" s="7">
        <v>0.7006944444444444</v>
      </c>
      <c r="AA179" s="7">
        <v>0.7006944444444444</v>
      </c>
      <c r="AB179" s="7">
        <v>0.68263888888888891</v>
      </c>
      <c r="AC17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179" s="18"/>
      <c r="AM179"/>
      <c r="AN179"/>
    </row>
    <row r="180" spans="2:40" x14ac:dyDescent="0.25">
      <c r="B180" s="3">
        <v>2</v>
      </c>
      <c r="C180">
        <v>0</v>
      </c>
      <c r="D180">
        <v>7</v>
      </c>
      <c r="E180" s="29" t="s">
        <v>33</v>
      </c>
      <c r="F180" s="3">
        <v>595</v>
      </c>
      <c r="G180" s="3">
        <v>595</v>
      </c>
      <c r="H180" s="29" t="s">
        <v>51</v>
      </c>
      <c r="I180" s="3">
        <v>3</v>
      </c>
      <c r="J180" s="7">
        <v>0.70486111111111116</v>
      </c>
      <c r="K180" s="7">
        <v>0.70486111111111116</v>
      </c>
      <c r="L180" s="3">
        <f t="shared" si="5"/>
        <v>0</v>
      </c>
      <c r="M180" s="3">
        <f t="shared" si="6"/>
        <v>0</v>
      </c>
      <c r="N180" s="29">
        <f>_xlfn.MAXIFS($G$7:G179,$E$7:E179,detalhe_carro1[[#This Row],[Nó]],$B$7:B179,detalhe_carro1[[#This Row],[Numero Voltas]],$L$7:L179,1)</f>
        <v>557</v>
      </c>
      <c r="O180" s="3" t="str">
        <f>IF(OR(detalhe_carro1[[#This Row],[Ultima Chegada]]=0,detalhe_carro1[[#This Row],[Chegada]]=0),"",detalhe_carro1[[#This Row],[Hora Inicio]]-detalhe_carro1[[#This Row],[Ultima Chegada]])</f>
        <v/>
      </c>
      <c r="P180" s="3">
        <f>IF(detalhe_carro1[[#This Row],[Tipo]]="Visitar Nó",((detalhe_carro1[[#This Row],[Hora Fim]]-detalhe_carro1[[#This Row],[Hora Inicio]])/60*velocidade_nos),0)</f>
        <v>0</v>
      </c>
      <c r="Q180" s="29">
        <f>detalhe_carro1[[#This Row],[Kms Nós]]+detalhe_carro1[[#This Row],[kms]]</f>
        <v>3</v>
      </c>
      <c r="S180" s="20">
        <v>3</v>
      </c>
      <c r="T180" s="20">
        <v>0</v>
      </c>
      <c r="U180" s="20">
        <v>6</v>
      </c>
      <c r="V180" s="20" t="s">
        <v>31</v>
      </c>
      <c r="W180">
        <v>592</v>
      </c>
      <c r="X180">
        <v>592</v>
      </c>
      <c r="Y180">
        <v>560</v>
      </c>
      <c r="Z180" s="7">
        <v>0.70277777777777772</v>
      </c>
      <c r="AA180" s="7">
        <v>0.70277777777777772</v>
      </c>
      <c r="AB180" s="7">
        <v>0.68055555555555558</v>
      </c>
      <c r="AC18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180" s="18"/>
      <c r="AM180"/>
      <c r="AN180"/>
    </row>
    <row r="181" spans="2:40" x14ac:dyDescent="0.25">
      <c r="B181" s="3">
        <v>2</v>
      </c>
      <c r="C181">
        <v>0</v>
      </c>
      <c r="D181">
        <v>7</v>
      </c>
      <c r="E181" s="29" t="s">
        <v>33</v>
      </c>
      <c r="F181" s="3">
        <v>595</v>
      </c>
      <c r="G181" s="3">
        <v>595</v>
      </c>
      <c r="H181" s="29" t="s">
        <v>51</v>
      </c>
      <c r="I181" s="3">
        <v>3</v>
      </c>
      <c r="J181" s="7">
        <v>0.70486111111111116</v>
      </c>
      <c r="K181" s="7">
        <v>0.70486111111111116</v>
      </c>
      <c r="L181" s="3">
        <f t="shared" si="5"/>
        <v>0</v>
      </c>
      <c r="M181" s="3">
        <f t="shared" si="6"/>
        <v>0</v>
      </c>
      <c r="N181" s="29">
        <f>_xlfn.MAXIFS($G$7:G180,$E$7:E180,detalhe_carro1[[#This Row],[Nó]],$B$7:B180,detalhe_carro1[[#This Row],[Numero Voltas]],$L$7:L180,1)</f>
        <v>557</v>
      </c>
      <c r="O181" s="3" t="str">
        <f>IF(OR(detalhe_carro1[[#This Row],[Ultima Chegada]]=0,detalhe_carro1[[#This Row],[Chegada]]=0),"",detalhe_carro1[[#This Row],[Hora Inicio]]-detalhe_carro1[[#This Row],[Ultima Chegada]])</f>
        <v/>
      </c>
      <c r="P181" s="3">
        <f>IF(detalhe_carro1[[#This Row],[Tipo]]="Visitar Nó",((detalhe_carro1[[#This Row],[Hora Fim]]-detalhe_carro1[[#This Row],[Hora Inicio]])/60*velocidade_nos),0)</f>
        <v>0</v>
      </c>
      <c r="Q181" s="29">
        <f>detalhe_carro1[[#This Row],[Kms Nós]]+detalhe_carro1[[#This Row],[kms]]</f>
        <v>3</v>
      </c>
      <c r="S181" s="20">
        <v>3</v>
      </c>
      <c r="T181" s="20">
        <v>0</v>
      </c>
      <c r="U181" s="20">
        <v>7</v>
      </c>
      <c r="V181" s="20" t="s">
        <v>33</v>
      </c>
      <c r="W181">
        <v>595</v>
      </c>
      <c r="X181">
        <v>595</v>
      </c>
      <c r="Y181">
        <v>557</v>
      </c>
      <c r="Z181" s="7">
        <v>0.70486111111111116</v>
      </c>
      <c r="AA181" s="7">
        <v>0.70486111111111116</v>
      </c>
      <c r="AB181" s="7">
        <v>0.67847222222222225</v>
      </c>
      <c r="AC18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81" s="18"/>
      <c r="AM181"/>
      <c r="AN181"/>
    </row>
    <row r="182" spans="2:40" x14ac:dyDescent="0.25">
      <c r="B182" s="3">
        <v>2</v>
      </c>
      <c r="C182">
        <v>1</v>
      </c>
      <c r="D182">
        <v>7</v>
      </c>
      <c r="E182" s="29" t="s">
        <v>33</v>
      </c>
      <c r="F182" s="3">
        <v>510</v>
      </c>
      <c r="G182" s="3">
        <v>570</v>
      </c>
      <c r="H182" s="29" t="s">
        <v>54</v>
      </c>
      <c r="I182" s="3">
        <v>0</v>
      </c>
      <c r="J182" s="7">
        <v>0.64583333333333337</v>
      </c>
      <c r="K182" s="7">
        <v>0.6875</v>
      </c>
      <c r="L182" s="3">
        <f t="shared" si="5"/>
        <v>0</v>
      </c>
      <c r="M182" s="3">
        <f t="shared" si="6"/>
        <v>0</v>
      </c>
      <c r="N182" s="29">
        <f>_xlfn.MAXIFS($G$7:G181,$E$7:E181,detalhe_carro1[[#This Row],[Nó]],$B$7:B181,detalhe_carro1[[#This Row],[Numero Voltas]],$L$7:L181,1)</f>
        <v>557</v>
      </c>
      <c r="O182" s="3" t="str">
        <f>IF(OR(detalhe_carro1[[#This Row],[Ultima Chegada]]=0,detalhe_carro1[[#This Row],[Chegada]]=0),"",detalhe_carro1[[#This Row],[Hora Inicio]]-detalhe_carro1[[#This Row],[Ultima Chegada]])</f>
        <v/>
      </c>
      <c r="P182" s="3">
        <f>IF(detalhe_carro1[[#This Row],[Tipo]]="Visitar Nó",((detalhe_carro1[[#This Row],[Hora Fim]]-detalhe_carro1[[#This Row],[Hora Inicio]])/60*velocidade_nos),0)</f>
        <v>0</v>
      </c>
      <c r="Q182" s="29">
        <f>detalhe_carro1[[#This Row],[Kms Nós]]+detalhe_carro1[[#This Row],[kms]]</f>
        <v>0</v>
      </c>
      <c r="S182" s="20">
        <v>3</v>
      </c>
      <c r="T182" s="20">
        <v>1</v>
      </c>
      <c r="U182" s="20">
        <v>7</v>
      </c>
      <c r="V182" s="20" t="s">
        <v>33</v>
      </c>
      <c r="W182">
        <v>570</v>
      </c>
      <c r="X182">
        <v>643</v>
      </c>
      <c r="Y182">
        <v>595</v>
      </c>
      <c r="Z182" s="7">
        <v>0.6875</v>
      </c>
      <c r="AA182" s="7">
        <v>0.73819444444444449</v>
      </c>
      <c r="AB182" s="7">
        <v>0.70486111111111116</v>
      </c>
      <c r="AC18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-0.41666666666666669</v>
      </c>
      <c r="AJ182" s="18"/>
      <c r="AM182"/>
      <c r="AN182"/>
    </row>
    <row r="183" spans="2:40" x14ac:dyDescent="0.25">
      <c r="B183" s="3">
        <v>2</v>
      </c>
      <c r="C183">
        <v>1</v>
      </c>
      <c r="D183">
        <v>7</v>
      </c>
      <c r="E183" s="29" t="s">
        <v>33</v>
      </c>
      <c r="F183" s="3">
        <v>540</v>
      </c>
      <c r="G183" s="3">
        <v>570</v>
      </c>
      <c r="H183" s="29" t="s">
        <v>54</v>
      </c>
      <c r="I183" s="3">
        <v>0</v>
      </c>
      <c r="J183" s="7">
        <v>0.66666666666666663</v>
      </c>
      <c r="K183" s="7">
        <v>0.6875</v>
      </c>
      <c r="L183" s="3">
        <f t="shared" si="5"/>
        <v>0</v>
      </c>
      <c r="M183" s="3">
        <f t="shared" si="6"/>
        <v>0</v>
      </c>
      <c r="N183" s="29">
        <f>_xlfn.MAXIFS($G$7:G182,$E$7:E182,detalhe_carro1[[#This Row],[Nó]],$B$7:B182,detalhe_carro1[[#This Row],[Numero Voltas]],$L$7:L182,1)</f>
        <v>557</v>
      </c>
      <c r="O183" s="3" t="str">
        <f>IF(OR(detalhe_carro1[[#This Row],[Ultima Chegada]]=0,detalhe_carro1[[#This Row],[Chegada]]=0),"",detalhe_carro1[[#This Row],[Hora Inicio]]-detalhe_carro1[[#This Row],[Ultima Chegada]])</f>
        <v/>
      </c>
      <c r="P183" s="3">
        <f>IF(detalhe_carro1[[#This Row],[Tipo]]="Visitar Nó",((detalhe_carro1[[#This Row],[Hora Fim]]-detalhe_carro1[[#This Row],[Hora Inicio]])/60*velocidade_nos),0)</f>
        <v>0</v>
      </c>
      <c r="Q183" s="29">
        <f>detalhe_carro1[[#This Row],[Kms Nós]]+detalhe_carro1[[#This Row],[kms]]</f>
        <v>0</v>
      </c>
      <c r="S183" s="20">
        <v>3</v>
      </c>
      <c r="T183" s="20">
        <v>1</v>
      </c>
      <c r="U183" s="20">
        <v>6</v>
      </c>
      <c r="V183" s="20" t="s">
        <v>31</v>
      </c>
      <c r="W183">
        <v>646</v>
      </c>
      <c r="X183">
        <v>671</v>
      </c>
      <c r="Y183">
        <v>592</v>
      </c>
      <c r="Z183" s="7">
        <v>0.74027777777777781</v>
      </c>
      <c r="AA183" s="7">
        <v>0.75763888888888886</v>
      </c>
      <c r="AB183" s="7">
        <v>0.70277777777777772</v>
      </c>
      <c r="AC18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0.9</v>
      </c>
      <c r="AJ183" s="18"/>
      <c r="AM183"/>
      <c r="AN183"/>
    </row>
    <row r="184" spans="2:40" x14ac:dyDescent="0.25">
      <c r="B184" s="3">
        <v>2</v>
      </c>
      <c r="C184">
        <v>1</v>
      </c>
      <c r="D184">
        <v>7</v>
      </c>
      <c r="E184" s="29" t="s">
        <v>33</v>
      </c>
      <c r="F184" s="3">
        <v>570</v>
      </c>
      <c r="G184" s="3">
        <v>570</v>
      </c>
      <c r="H184" s="29" t="s">
        <v>49</v>
      </c>
      <c r="I184" s="3">
        <v>0</v>
      </c>
      <c r="J184" s="7">
        <v>0.6875</v>
      </c>
      <c r="K184" s="7">
        <v>0.6875</v>
      </c>
      <c r="L184" s="3">
        <f t="shared" si="5"/>
        <v>0</v>
      </c>
      <c r="M184" s="3">
        <f t="shared" si="6"/>
        <v>0</v>
      </c>
      <c r="N184" s="29">
        <f>_xlfn.MAXIFS($G$7:G183,$E$7:E183,detalhe_carro1[[#This Row],[Nó]],$B$7:B183,detalhe_carro1[[#This Row],[Numero Voltas]],$L$7:L183,1)</f>
        <v>557</v>
      </c>
      <c r="O184" s="3" t="str">
        <f>IF(OR(detalhe_carro1[[#This Row],[Ultima Chegada]]=0,detalhe_carro1[[#This Row],[Chegada]]=0),"",detalhe_carro1[[#This Row],[Hora Inicio]]-detalhe_carro1[[#This Row],[Ultima Chegada]])</f>
        <v/>
      </c>
      <c r="P184" s="3">
        <f>IF(detalhe_carro1[[#This Row],[Tipo]]="Visitar Nó",((detalhe_carro1[[#This Row],[Hora Fim]]-detalhe_carro1[[#This Row],[Hora Inicio]])/60*velocidade_nos),0)</f>
        <v>0</v>
      </c>
      <c r="Q184" s="29">
        <f>detalhe_carro1[[#This Row],[Kms Nós]]+detalhe_carro1[[#This Row],[kms]]</f>
        <v>0</v>
      </c>
      <c r="S184" s="20">
        <v>3</v>
      </c>
      <c r="T184" s="20">
        <v>1</v>
      </c>
      <c r="U184" s="20">
        <v>5</v>
      </c>
      <c r="V184" s="20" t="s">
        <v>29</v>
      </c>
      <c r="W184">
        <v>674</v>
      </c>
      <c r="X184">
        <v>705</v>
      </c>
      <c r="Y184">
        <v>589</v>
      </c>
      <c r="Z184" s="7">
        <v>0.75972222222222219</v>
      </c>
      <c r="AA184" s="7">
        <v>0.78125</v>
      </c>
      <c r="AB184" s="7">
        <v>0.7006944444444444</v>
      </c>
      <c r="AC18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1.4166666666666667</v>
      </c>
      <c r="AJ184" s="18"/>
      <c r="AM184"/>
      <c r="AN184"/>
    </row>
    <row r="185" spans="2:40" x14ac:dyDescent="0.25">
      <c r="B185" s="3">
        <v>2</v>
      </c>
      <c r="C185">
        <v>1</v>
      </c>
      <c r="D185">
        <v>7</v>
      </c>
      <c r="E185" s="29" t="s">
        <v>33</v>
      </c>
      <c r="F185" s="3">
        <v>570</v>
      </c>
      <c r="G185" s="3">
        <v>583</v>
      </c>
      <c r="H185" s="29" t="s">
        <v>50</v>
      </c>
      <c r="I185" s="3">
        <v>0</v>
      </c>
      <c r="J185" s="7">
        <v>0.6875</v>
      </c>
      <c r="K185" s="7">
        <v>0.69652777777777775</v>
      </c>
      <c r="L185" s="3">
        <f t="shared" si="5"/>
        <v>0</v>
      </c>
      <c r="M185" s="3">
        <f t="shared" si="6"/>
        <v>0</v>
      </c>
      <c r="N185" s="29">
        <f>_xlfn.MAXIFS($G$7:G184,$E$7:E184,detalhe_carro1[[#This Row],[Nó]],$B$7:B184,detalhe_carro1[[#This Row],[Numero Voltas]],$L$7:L184,1)</f>
        <v>557</v>
      </c>
      <c r="O185" s="3" t="str">
        <f>IF(OR(detalhe_carro1[[#This Row],[Ultima Chegada]]=0,detalhe_carro1[[#This Row],[Chegada]]=0),"",detalhe_carro1[[#This Row],[Hora Inicio]]-detalhe_carro1[[#This Row],[Ultima Chegada]])</f>
        <v/>
      </c>
      <c r="P185" s="3">
        <f>IF(detalhe_carro1[[#This Row],[Tipo]]="Visitar Nó",((detalhe_carro1[[#This Row],[Hora Fim]]-detalhe_carro1[[#This Row],[Hora Inicio]])/60*velocidade_nos),0)</f>
        <v>6.5</v>
      </c>
      <c r="Q185" s="29">
        <f>detalhe_carro1[[#This Row],[Kms Nós]]+detalhe_carro1[[#This Row],[kms]]</f>
        <v>6.5</v>
      </c>
      <c r="S185" s="20">
        <v>3</v>
      </c>
      <c r="T185" s="20">
        <v>1</v>
      </c>
      <c r="U185" s="20">
        <v>4</v>
      </c>
      <c r="V185" s="20" t="s">
        <v>27</v>
      </c>
      <c r="W185">
        <v>708</v>
      </c>
      <c r="X185">
        <v>724</v>
      </c>
      <c r="Y185">
        <v>586</v>
      </c>
      <c r="Z185" s="7">
        <v>0.78333333333333333</v>
      </c>
      <c r="AA185" s="7">
        <v>0.7944444444444444</v>
      </c>
      <c r="AB185" s="7">
        <v>0.69861111111111107</v>
      </c>
      <c r="AC18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2.0333333333333332</v>
      </c>
      <c r="AJ185" s="18"/>
      <c r="AM185"/>
      <c r="AN185"/>
    </row>
    <row r="186" spans="2:40" x14ac:dyDescent="0.25">
      <c r="B186" s="3">
        <v>2</v>
      </c>
      <c r="C186">
        <v>1</v>
      </c>
      <c r="D186">
        <v>7</v>
      </c>
      <c r="E186" s="29" t="s">
        <v>33</v>
      </c>
      <c r="F186" s="3">
        <v>583</v>
      </c>
      <c r="G186" s="3">
        <v>583</v>
      </c>
      <c r="H186" s="29" t="s">
        <v>51</v>
      </c>
      <c r="I186" s="3">
        <v>0</v>
      </c>
      <c r="J186" s="7">
        <v>0.69652777777777775</v>
      </c>
      <c r="K186" s="7">
        <v>0.69652777777777775</v>
      </c>
      <c r="L186" s="3">
        <f t="shared" si="5"/>
        <v>1</v>
      </c>
      <c r="M186" s="3">
        <f t="shared" si="6"/>
        <v>0</v>
      </c>
      <c r="N186" s="29">
        <f>_xlfn.MAXIFS($G$7:G185,$E$7:E185,detalhe_carro1[[#This Row],[Nó]],$B$7:B185,detalhe_carro1[[#This Row],[Numero Voltas]],$L$7:L185,1)</f>
        <v>557</v>
      </c>
      <c r="O186" s="3" t="str">
        <f>IF(OR(detalhe_carro1[[#This Row],[Ultima Chegada]]=0,detalhe_carro1[[#This Row],[Chegada]]=0),"",detalhe_carro1[[#This Row],[Hora Inicio]]-detalhe_carro1[[#This Row],[Ultima Chegada]])</f>
        <v/>
      </c>
      <c r="P186" s="3">
        <f>IF(detalhe_carro1[[#This Row],[Tipo]]="Visitar Nó",((detalhe_carro1[[#This Row],[Hora Fim]]-detalhe_carro1[[#This Row],[Hora Inicio]])/60*velocidade_nos),0)</f>
        <v>0</v>
      </c>
      <c r="Q186" s="29">
        <f>detalhe_carro1[[#This Row],[Kms Nós]]+detalhe_carro1[[#This Row],[kms]]</f>
        <v>0</v>
      </c>
      <c r="S186" s="20">
        <v>3</v>
      </c>
      <c r="T186" s="20">
        <v>1</v>
      </c>
      <c r="U186" s="20">
        <v>3</v>
      </c>
      <c r="V186" s="20" t="s">
        <v>26</v>
      </c>
      <c r="W186">
        <v>725</v>
      </c>
      <c r="X186">
        <v>736</v>
      </c>
      <c r="Y186">
        <v>585</v>
      </c>
      <c r="Z186" s="7">
        <v>0.79513888888888884</v>
      </c>
      <c r="AA186" s="7">
        <v>0.80277777777777781</v>
      </c>
      <c r="AB186" s="7">
        <v>0.69791666666666663</v>
      </c>
      <c r="AC18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2.3333333333333335</v>
      </c>
      <c r="AJ186" s="18"/>
      <c r="AM186"/>
      <c r="AN186"/>
    </row>
    <row r="187" spans="2:40" x14ac:dyDescent="0.25">
      <c r="B187" s="3">
        <v>2</v>
      </c>
      <c r="C187">
        <v>1</v>
      </c>
      <c r="D187">
        <v>6</v>
      </c>
      <c r="E187" s="29" t="s">
        <v>31</v>
      </c>
      <c r="F187" s="3">
        <v>586</v>
      </c>
      <c r="G187" s="3">
        <v>596</v>
      </c>
      <c r="H187" s="29" t="s">
        <v>297</v>
      </c>
      <c r="I187" s="3">
        <v>0</v>
      </c>
      <c r="J187" s="7">
        <v>0.69861111111111107</v>
      </c>
      <c r="K187" s="7">
        <v>0.7055555555555556</v>
      </c>
      <c r="L187" s="3">
        <f t="shared" si="5"/>
        <v>0</v>
      </c>
      <c r="M187" s="3">
        <f t="shared" si="6"/>
        <v>1</v>
      </c>
      <c r="N187" s="29">
        <f>_xlfn.MAXIFS($G$7:G186,$E$7:E186,detalhe_carro1[[#This Row],[Nó]],$B$7:B186,detalhe_carro1[[#This Row],[Numero Voltas]],$L$7:L186,1)</f>
        <v>592</v>
      </c>
      <c r="O187" s="3">
        <f>IF(OR(detalhe_carro1[[#This Row],[Ultima Chegada]]=0,detalhe_carro1[[#This Row],[Chegada]]=0),"",detalhe_carro1[[#This Row],[Hora Inicio]]-detalhe_carro1[[#This Row],[Ultima Chegada]])</f>
        <v>-6</v>
      </c>
      <c r="P187" s="3">
        <f>IF(detalhe_carro1[[#This Row],[Tipo]]="Visitar Nó",((detalhe_carro1[[#This Row],[Hora Fim]]-detalhe_carro1[[#This Row],[Hora Inicio]])/60*velocidade_nos),0)</f>
        <v>0</v>
      </c>
      <c r="Q187" s="29">
        <f>detalhe_carro1[[#This Row],[Kms Nós]]+detalhe_carro1[[#This Row],[kms]]</f>
        <v>0</v>
      </c>
      <c r="S187" s="20">
        <v>3</v>
      </c>
      <c r="T187" s="20">
        <v>1</v>
      </c>
      <c r="U187" s="20">
        <v>2</v>
      </c>
      <c r="V187" s="20" t="s">
        <v>24</v>
      </c>
      <c r="W187">
        <v>737</v>
      </c>
      <c r="X187">
        <v>752</v>
      </c>
      <c r="Y187">
        <v>584</v>
      </c>
      <c r="Z187" s="7">
        <v>0.80347222222222225</v>
      </c>
      <c r="AA187" s="7">
        <v>0.81388888888888888</v>
      </c>
      <c r="AB187" s="7">
        <v>0.69722222222222219</v>
      </c>
      <c r="AC18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188" spans="2:40" x14ac:dyDescent="0.25">
      <c r="B188" s="3">
        <v>2</v>
      </c>
      <c r="C188">
        <v>1</v>
      </c>
      <c r="D188">
        <v>6</v>
      </c>
      <c r="E188" s="29" t="s">
        <v>31</v>
      </c>
      <c r="F188" s="3">
        <v>599</v>
      </c>
      <c r="G188" s="3">
        <v>608</v>
      </c>
      <c r="H188" s="29" t="s">
        <v>50</v>
      </c>
      <c r="I188" s="3">
        <v>0</v>
      </c>
      <c r="J188" s="7">
        <v>0.70763888888888893</v>
      </c>
      <c r="K188" s="7">
        <v>0.71388888888888891</v>
      </c>
      <c r="L188" s="3">
        <f t="shared" si="5"/>
        <v>0</v>
      </c>
      <c r="M188" s="3">
        <f t="shared" si="6"/>
        <v>0</v>
      </c>
      <c r="N188" s="29">
        <f>_xlfn.MAXIFS($G$7:G187,$E$7:E187,detalhe_carro1[[#This Row],[Nó]],$B$7:B187,detalhe_carro1[[#This Row],[Numero Voltas]],$L$7:L187,1)</f>
        <v>592</v>
      </c>
      <c r="O188" s="3" t="str">
        <f>IF(OR(detalhe_carro1[[#This Row],[Ultima Chegada]]=0,detalhe_carro1[[#This Row],[Chegada]]=0),"",detalhe_carro1[[#This Row],[Hora Inicio]]-detalhe_carro1[[#This Row],[Ultima Chegada]])</f>
        <v/>
      </c>
      <c r="P188" s="3">
        <f>IF(detalhe_carro1[[#This Row],[Tipo]]="Visitar Nó",((detalhe_carro1[[#This Row],[Hora Fim]]-detalhe_carro1[[#This Row],[Hora Inicio]])/60*velocidade_nos),0)</f>
        <v>4.5</v>
      </c>
      <c r="Q188" s="29">
        <f>detalhe_carro1[[#This Row],[Kms Nós]]+detalhe_carro1[[#This Row],[kms]]</f>
        <v>4.5</v>
      </c>
      <c r="S188" s="20">
        <v>3</v>
      </c>
      <c r="T188" s="20">
        <v>1</v>
      </c>
      <c r="U188" s="20">
        <v>1</v>
      </c>
      <c r="V188" s="20" t="s">
        <v>22</v>
      </c>
      <c r="W188">
        <v>759</v>
      </c>
      <c r="X188">
        <v>771</v>
      </c>
      <c r="Y188">
        <v>577</v>
      </c>
      <c r="Z188" s="7">
        <v>0.81874999999999998</v>
      </c>
      <c r="AA188" s="7">
        <v>0.82708333333333328</v>
      </c>
      <c r="AB188" s="7">
        <v>0.69236111111111109</v>
      </c>
      <c r="AC18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3.0333333333333332</v>
      </c>
    </row>
    <row r="189" spans="2:40" x14ac:dyDescent="0.25">
      <c r="B189" s="3">
        <v>2</v>
      </c>
      <c r="C189">
        <v>1</v>
      </c>
      <c r="D189">
        <v>6</v>
      </c>
      <c r="E189" s="29" t="s">
        <v>31</v>
      </c>
      <c r="F189" s="3">
        <v>611</v>
      </c>
      <c r="G189" s="3">
        <v>611</v>
      </c>
      <c r="H189" s="29" t="s">
        <v>51</v>
      </c>
      <c r="I189" s="3">
        <v>3</v>
      </c>
      <c r="J189" s="7">
        <v>0.71597222222222223</v>
      </c>
      <c r="K189" s="7">
        <v>0.71597222222222223</v>
      </c>
      <c r="L189" s="3">
        <f t="shared" si="5"/>
        <v>1</v>
      </c>
      <c r="M189" s="3">
        <f t="shared" si="6"/>
        <v>0</v>
      </c>
      <c r="N189" s="29">
        <f>_xlfn.MAXIFS($G$7:G188,$E$7:E188,detalhe_carro1[[#This Row],[Nó]],$B$7:B188,detalhe_carro1[[#This Row],[Numero Voltas]],$L$7:L188,1)</f>
        <v>592</v>
      </c>
      <c r="O189" s="3" t="str">
        <f>IF(OR(detalhe_carro1[[#This Row],[Ultima Chegada]]=0,detalhe_carro1[[#This Row],[Chegada]]=0),"",detalhe_carro1[[#This Row],[Hora Inicio]]-detalhe_carro1[[#This Row],[Ultima Chegada]])</f>
        <v/>
      </c>
      <c r="P189" s="3">
        <f>IF(detalhe_carro1[[#This Row],[Tipo]]="Visitar Nó",((detalhe_carro1[[#This Row],[Hora Fim]]-detalhe_carro1[[#This Row],[Hora Inicio]])/60*velocidade_nos),0)</f>
        <v>0</v>
      </c>
      <c r="Q189" s="29">
        <f>detalhe_carro1[[#This Row],[Kms Nós]]+detalhe_carro1[[#This Row],[kms]]</f>
        <v>3</v>
      </c>
      <c r="S189" s="20">
        <v>3</v>
      </c>
      <c r="T189" s="20">
        <v>1</v>
      </c>
      <c r="U189" s="20">
        <v>0</v>
      </c>
      <c r="V189" s="20" t="s">
        <v>20</v>
      </c>
      <c r="W189">
        <v>772</v>
      </c>
      <c r="X189">
        <v>787</v>
      </c>
      <c r="Y189">
        <v>576</v>
      </c>
      <c r="Z189" s="7">
        <v>0.82777777777777772</v>
      </c>
      <c r="AA189" s="7">
        <v>0.83819444444444446</v>
      </c>
      <c r="AB189" s="7">
        <v>0.69166666666666665</v>
      </c>
      <c r="AC18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3.2666666666666666</v>
      </c>
    </row>
    <row r="190" spans="2:40" x14ac:dyDescent="0.25">
      <c r="B190" s="3">
        <v>2</v>
      </c>
      <c r="C190">
        <v>1</v>
      </c>
      <c r="D190">
        <v>5</v>
      </c>
      <c r="E190" s="29" t="s">
        <v>29</v>
      </c>
      <c r="F190" s="3">
        <v>614</v>
      </c>
      <c r="G190" s="3">
        <v>642</v>
      </c>
      <c r="H190" s="29" t="s">
        <v>50</v>
      </c>
      <c r="I190" s="3">
        <v>0</v>
      </c>
      <c r="J190" s="7">
        <v>0.71805555555555556</v>
      </c>
      <c r="K190" s="7">
        <v>0.73750000000000004</v>
      </c>
      <c r="L190" s="3">
        <f t="shared" si="5"/>
        <v>0</v>
      </c>
      <c r="M190" s="3">
        <f t="shared" si="6"/>
        <v>1</v>
      </c>
      <c r="N190" s="29">
        <f>_xlfn.MAXIFS($G$7:G189,$E$7:E189,detalhe_carro1[[#This Row],[Nó]],$B$7:B189,detalhe_carro1[[#This Row],[Numero Voltas]],$L$7:L189,1)</f>
        <v>589</v>
      </c>
      <c r="O190" s="3">
        <f>IF(OR(detalhe_carro1[[#This Row],[Ultima Chegada]]=0,detalhe_carro1[[#This Row],[Chegada]]=0),"",detalhe_carro1[[#This Row],[Hora Inicio]]-detalhe_carro1[[#This Row],[Ultima Chegada]])</f>
        <v>25</v>
      </c>
      <c r="P190" s="3">
        <f>IF(detalhe_carro1[[#This Row],[Tipo]]="Visitar Nó",((detalhe_carro1[[#This Row],[Hora Fim]]-detalhe_carro1[[#This Row],[Hora Inicio]])/60*velocidade_nos),0)</f>
        <v>14</v>
      </c>
      <c r="Q190" s="29">
        <f>detalhe_carro1[[#This Row],[Kms Nós]]+detalhe_carro1[[#This Row],[kms]]</f>
        <v>14</v>
      </c>
      <c r="S190" s="20">
        <v>3</v>
      </c>
      <c r="T190" s="20">
        <v>1</v>
      </c>
      <c r="U190" s="20">
        <v>1</v>
      </c>
      <c r="V190" s="20" t="s">
        <v>22</v>
      </c>
      <c r="W190">
        <v>788</v>
      </c>
      <c r="X190">
        <v>794</v>
      </c>
      <c r="Y190">
        <v>771</v>
      </c>
      <c r="Z190" s="7">
        <v>0.83888888888888891</v>
      </c>
      <c r="AA190" s="7">
        <v>0.84305555555555556</v>
      </c>
      <c r="AB190" s="7">
        <v>0.82708333333333328</v>
      </c>
      <c r="AC19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191" spans="2:40" x14ac:dyDescent="0.25">
      <c r="B191" s="3">
        <v>2</v>
      </c>
      <c r="C191">
        <v>1</v>
      </c>
      <c r="D191">
        <v>5</v>
      </c>
      <c r="E191" s="29" t="s">
        <v>29</v>
      </c>
      <c r="F191" s="3">
        <v>645</v>
      </c>
      <c r="G191" s="3">
        <v>645</v>
      </c>
      <c r="H191" s="29" t="s">
        <v>51</v>
      </c>
      <c r="I191" s="3">
        <v>3</v>
      </c>
      <c r="J191" s="7">
        <v>0.73958333333333337</v>
      </c>
      <c r="K191" s="7">
        <v>0.73958333333333337</v>
      </c>
      <c r="L191" s="3">
        <f t="shared" si="5"/>
        <v>1</v>
      </c>
      <c r="M191" s="3">
        <f t="shared" si="6"/>
        <v>0</v>
      </c>
      <c r="N191" s="29">
        <f>_xlfn.MAXIFS($G$7:G190,$E$7:E190,detalhe_carro1[[#This Row],[Nó]],$B$7:B190,detalhe_carro1[[#This Row],[Numero Voltas]],$L$7:L190,1)</f>
        <v>589</v>
      </c>
      <c r="O191" s="3" t="str">
        <f>IF(OR(detalhe_carro1[[#This Row],[Ultima Chegada]]=0,detalhe_carro1[[#This Row],[Chegada]]=0),"",detalhe_carro1[[#This Row],[Hora Inicio]]-detalhe_carro1[[#This Row],[Ultima Chegada]])</f>
        <v/>
      </c>
      <c r="P191" s="3">
        <f>IF(detalhe_carro1[[#This Row],[Tipo]]="Visitar Nó",((detalhe_carro1[[#This Row],[Hora Fim]]-detalhe_carro1[[#This Row],[Hora Inicio]])/60*velocidade_nos),0)</f>
        <v>0</v>
      </c>
      <c r="Q191" s="29">
        <f>detalhe_carro1[[#This Row],[Kms Nós]]+detalhe_carro1[[#This Row],[kms]]</f>
        <v>3</v>
      </c>
      <c r="S191" s="20">
        <v>3</v>
      </c>
      <c r="T191" s="20">
        <v>1</v>
      </c>
      <c r="U191" s="20">
        <v>2</v>
      </c>
      <c r="V191" s="20" t="s">
        <v>24</v>
      </c>
      <c r="W191">
        <v>801</v>
      </c>
      <c r="X191">
        <v>822</v>
      </c>
      <c r="Y191">
        <v>752</v>
      </c>
      <c r="Z191" s="7">
        <v>0.84791666666666665</v>
      </c>
      <c r="AA191" s="7">
        <v>0.86250000000000004</v>
      </c>
      <c r="AB191" s="7">
        <v>0.81388888888888888</v>
      </c>
      <c r="AC19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0.81666666666666665</v>
      </c>
    </row>
    <row r="192" spans="2:40" x14ac:dyDescent="0.25">
      <c r="B192" s="3">
        <v>2</v>
      </c>
      <c r="C192">
        <v>1</v>
      </c>
      <c r="D192">
        <v>4</v>
      </c>
      <c r="E192" s="29" t="s">
        <v>27</v>
      </c>
      <c r="F192" s="3">
        <v>648</v>
      </c>
      <c r="G192" s="3">
        <v>661</v>
      </c>
      <c r="H192" s="29" t="s">
        <v>50</v>
      </c>
      <c r="I192" s="3">
        <v>0</v>
      </c>
      <c r="J192" s="7">
        <v>0.7416666666666667</v>
      </c>
      <c r="K192" s="7">
        <v>0.75069444444444444</v>
      </c>
      <c r="L192" s="3">
        <f t="shared" si="5"/>
        <v>0</v>
      </c>
      <c r="M192" s="3">
        <f t="shared" si="6"/>
        <v>1</v>
      </c>
      <c r="N192" s="29">
        <f>_xlfn.MAXIFS($G$7:G191,$E$7:E191,detalhe_carro1[[#This Row],[Nó]],$B$7:B191,detalhe_carro1[[#This Row],[Numero Voltas]],$L$7:L191,1)</f>
        <v>586</v>
      </c>
      <c r="O192" s="3">
        <f>IF(OR(detalhe_carro1[[#This Row],[Ultima Chegada]]=0,detalhe_carro1[[#This Row],[Chegada]]=0),"",detalhe_carro1[[#This Row],[Hora Inicio]]-detalhe_carro1[[#This Row],[Ultima Chegada]])</f>
        <v>62</v>
      </c>
      <c r="P192" s="3">
        <f>IF(detalhe_carro1[[#This Row],[Tipo]]="Visitar Nó",((detalhe_carro1[[#This Row],[Hora Fim]]-detalhe_carro1[[#This Row],[Hora Inicio]])/60*velocidade_nos),0)</f>
        <v>6.5</v>
      </c>
      <c r="Q192" s="29">
        <f>detalhe_carro1[[#This Row],[Kms Nós]]+detalhe_carro1[[#This Row],[kms]]</f>
        <v>6.5</v>
      </c>
      <c r="S192" s="20">
        <v>3</v>
      </c>
      <c r="T192" s="20">
        <v>1</v>
      </c>
      <c r="U192" s="20">
        <v>3</v>
      </c>
      <c r="V192" s="20" t="s">
        <v>26</v>
      </c>
      <c r="W192">
        <v>823</v>
      </c>
      <c r="X192">
        <v>834</v>
      </c>
      <c r="Y192">
        <v>736</v>
      </c>
      <c r="Z192" s="7">
        <v>0.86319444444444449</v>
      </c>
      <c r="AA192" s="7">
        <v>0.87083333333333335</v>
      </c>
      <c r="AB192" s="7">
        <v>0.80277777777777781</v>
      </c>
      <c r="AC19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193" spans="2:29" x14ac:dyDescent="0.25">
      <c r="B193" s="3">
        <v>2</v>
      </c>
      <c r="C193">
        <v>1</v>
      </c>
      <c r="D193">
        <v>4</v>
      </c>
      <c r="E193" s="29" t="s">
        <v>27</v>
      </c>
      <c r="F193" s="3">
        <v>664</v>
      </c>
      <c r="G193" s="3">
        <v>664</v>
      </c>
      <c r="H193" s="29" t="s">
        <v>51</v>
      </c>
      <c r="I193" s="3">
        <v>3</v>
      </c>
      <c r="J193" s="7">
        <v>0.75277777777777777</v>
      </c>
      <c r="K193" s="7">
        <v>0.75277777777777777</v>
      </c>
      <c r="L193" s="3">
        <f t="shared" si="5"/>
        <v>1</v>
      </c>
      <c r="M193" s="3">
        <f t="shared" si="6"/>
        <v>0</v>
      </c>
      <c r="N193" s="29">
        <f>_xlfn.MAXIFS($G$7:G192,$E$7:E192,detalhe_carro1[[#This Row],[Nó]],$B$7:B192,detalhe_carro1[[#This Row],[Numero Voltas]],$L$7:L192,1)</f>
        <v>586</v>
      </c>
      <c r="O193" s="3" t="str">
        <f>IF(OR(detalhe_carro1[[#This Row],[Ultima Chegada]]=0,detalhe_carro1[[#This Row],[Chegada]]=0),"",detalhe_carro1[[#This Row],[Hora Inicio]]-detalhe_carro1[[#This Row],[Ultima Chegada]])</f>
        <v/>
      </c>
      <c r="P193" s="3">
        <f>IF(detalhe_carro1[[#This Row],[Tipo]]="Visitar Nó",((detalhe_carro1[[#This Row],[Hora Fim]]-detalhe_carro1[[#This Row],[Hora Inicio]])/60*velocidade_nos),0)</f>
        <v>0</v>
      </c>
      <c r="Q193" s="29">
        <f>detalhe_carro1[[#This Row],[Kms Nós]]+detalhe_carro1[[#This Row],[kms]]</f>
        <v>3</v>
      </c>
      <c r="S193" s="20">
        <v>3</v>
      </c>
      <c r="T193" s="20">
        <v>1</v>
      </c>
      <c r="U193" s="20">
        <v>4</v>
      </c>
      <c r="V193" s="20" t="s">
        <v>27</v>
      </c>
      <c r="W193">
        <v>835</v>
      </c>
      <c r="X193">
        <v>849</v>
      </c>
      <c r="Y193">
        <v>724</v>
      </c>
      <c r="Z193" s="7">
        <v>0.87152777777777779</v>
      </c>
      <c r="AA193" s="7">
        <v>0.88124999999999998</v>
      </c>
      <c r="AB193" s="7">
        <v>0.7944444444444444</v>
      </c>
      <c r="AC19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1.85</v>
      </c>
    </row>
    <row r="194" spans="2:29" x14ac:dyDescent="0.25">
      <c r="B194" s="3">
        <v>2</v>
      </c>
      <c r="C194">
        <v>1</v>
      </c>
      <c r="D194">
        <v>3</v>
      </c>
      <c r="E194" s="29" t="s">
        <v>26</v>
      </c>
      <c r="F194" s="3">
        <v>665</v>
      </c>
      <c r="G194" s="3">
        <v>675</v>
      </c>
      <c r="H194" s="29" t="s">
        <v>50</v>
      </c>
      <c r="I194" s="3">
        <v>0</v>
      </c>
      <c r="J194" s="7">
        <v>0.75347222222222221</v>
      </c>
      <c r="K194" s="7">
        <v>0.76041666666666663</v>
      </c>
      <c r="L194" s="3">
        <f t="shared" si="5"/>
        <v>0</v>
      </c>
      <c r="M194" s="3">
        <f t="shared" si="6"/>
        <v>1</v>
      </c>
      <c r="N194" s="29">
        <f>_xlfn.MAXIFS($G$7:G193,$E$7:E193,detalhe_carro1[[#This Row],[Nó]],$B$7:B193,detalhe_carro1[[#This Row],[Numero Voltas]],$L$7:L193,1)</f>
        <v>585</v>
      </c>
      <c r="O194" s="3">
        <f>IF(OR(detalhe_carro1[[#This Row],[Ultima Chegada]]=0,detalhe_carro1[[#This Row],[Chegada]]=0),"",detalhe_carro1[[#This Row],[Hora Inicio]]-detalhe_carro1[[#This Row],[Ultima Chegada]])</f>
        <v>80</v>
      </c>
      <c r="P194" s="3">
        <f>IF(detalhe_carro1[[#This Row],[Tipo]]="Visitar Nó",((detalhe_carro1[[#This Row],[Hora Fim]]-detalhe_carro1[[#This Row],[Hora Inicio]])/60*velocidade_nos),0)</f>
        <v>5</v>
      </c>
      <c r="Q194" s="29">
        <f>detalhe_carro1[[#This Row],[Kms Nós]]+detalhe_carro1[[#This Row],[kms]]</f>
        <v>5</v>
      </c>
      <c r="S194" s="20">
        <v>3</v>
      </c>
      <c r="T194" s="20">
        <v>1</v>
      </c>
      <c r="U194" s="20">
        <v>5</v>
      </c>
      <c r="V194" s="20" t="s">
        <v>29</v>
      </c>
      <c r="W194">
        <v>852</v>
      </c>
      <c r="X194">
        <v>896</v>
      </c>
      <c r="Y194">
        <v>705</v>
      </c>
      <c r="Z194" s="7">
        <v>0.8833333333333333</v>
      </c>
      <c r="AA194" s="7">
        <v>0.91388888888888886</v>
      </c>
      <c r="AB194" s="7">
        <v>0.78125</v>
      </c>
      <c r="AC19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2.4500000000000002</v>
      </c>
    </row>
    <row r="195" spans="2:29" x14ac:dyDescent="0.25">
      <c r="B195" s="3">
        <v>2</v>
      </c>
      <c r="C195">
        <v>1</v>
      </c>
      <c r="D195">
        <v>3</v>
      </c>
      <c r="E195" s="29" t="s">
        <v>26</v>
      </c>
      <c r="F195" s="3">
        <v>676</v>
      </c>
      <c r="G195" s="3">
        <v>676</v>
      </c>
      <c r="H195" s="29" t="s">
        <v>51</v>
      </c>
      <c r="I195" s="3">
        <v>1</v>
      </c>
      <c r="J195" s="7">
        <v>0.76111111111111107</v>
      </c>
      <c r="K195" s="7">
        <v>0.76111111111111107</v>
      </c>
      <c r="L195" s="3">
        <f t="shared" si="5"/>
        <v>1</v>
      </c>
      <c r="M195" s="3">
        <f t="shared" si="6"/>
        <v>0</v>
      </c>
      <c r="N195" s="29">
        <f>_xlfn.MAXIFS($G$7:G194,$E$7:E194,detalhe_carro1[[#This Row],[Nó]],$B$7:B194,detalhe_carro1[[#This Row],[Numero Voltas]],$L$7:L194,1)</f>
        <v>585</v>
      </c>
      <c r="O195" s="3" t="str">
        <f>IF(OR(detalhe_carro1[[#This Row],[Ultima Chegada]]=0,detalhe_carro1[[#This Row],[Chegada]]=0),"",detalhe_carro1[[#This Row],[Hora Inicio]]-detalhe_carro1[[#This Row],[Ultima Chegada]])</f>
        <v/>
      </c>
      <c r="P195" s="3">
        <f>IF(detalhe_carro1[[#This Row],[Tipo]]="Visitar Nó",((detalhe_carro1[[#This Row],[Hora Fim]]-detalhe_carro1[[#This Row],[Hora Inicio]])/60*velocidade_nos),0)</f>
        <v>0</v>
      </c>
      <c r="Q195" s="29">
        <f>detalhe_carro1[[#This Row],[Kms Nós]]+detalhe_carro1[[#This Row],[kms]]</f>
        <v>1</v>
      </c>
      <c r="S195" s="20">
        <v>3</v>
      </c>
      <c r="T195" s="20">
        <v>1</v>
      </c>
      <c r="U195" s="20">
        <v>6</v>
      </c>
      <c r="V195" s="20" t="s">
        <v>31</v>
      </c>
      <c r="W195">
        <v>899</v>
      </c>
      <c r="X195">
        <v>911</v>
      </c>
      <c r="Y195">
        <v>671</v>
      </c>
      <c r="Z195" s="7">
        <v>0.91597222222222219</v>
      </c>
      <c r="AA195" s="7">
        <v>0.9243055555555556</v>
      </c>
      <c r="AB195" s="7">
        <v>0.75763888888888886</v>
      </c>
      <c r="AC19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3.8</v>
      </c>
    </row>
    <row r="196" spans="2:29" x14ac:dyDescent="0.25">
      <c r="B196" s="3">
        <v>2</v>
      </c>
      <c r="C196">
        <v>1</v>
      </c>
      <c r="D196">
        <v>2</v>
      </c>
      <c r="E196" s="29" t="s">
        <v>24</v>
      </c>
      <c r="F196" s="3">
        <v>677</v>
      </c>
      <c r="G196" s="3">
        <v>691</v>
      </c>
      <c r="H196" s="29" t="s">
        <v>50</v>
      </c>
      <c r="I196" s="3">
        <v>0</v>
      </c>
      <c r="J196" s="7">
        <v>0.76180555555555551</v>
      </c>
      <c r="K196" s="7">
        <v>0.77152777777777781</v>
      </c>
      <c r="L196" s="3">
        <f t="shared" si="5"/>
        <v>0</v>
      </c>
      <c r="M196" s="3">
        <f t="shared" si="6"/>
        <v>1</v>
      </c>
      <c r="N196" s="29">
        <f>_xlfn.MAXIFS($G$7:G195,$E$7:E195,detalhe_carro1[[#This Row],[Nó]],$B$7:B195,detalhe_carro1[[#This Row],[Numero Voltas]],$L$7:L195,1)</f>
        <v>584</v>
      </c>
      <c r="O196" s="3">
        <f>IF(OR(detalhe_carro1[[#This Row],[Ultima Chegada]]=0,detalhe_carro1[[#This Row],[Chegada]]=0),"",detalhe_carro1[[#This Row],[Hora Inicio]]-detalhe_carro1[[#This Row],[Ultima Chegada]])</f>
        <v>93</v>
      </c>
      <c r="P196" s="3">
        <f>IF(detalhe_carro1[[#This Row],[Tipo]]="Visitar Nó",((detalhe_carro1[[#This Row],[Hora Fim]]-detalhe_carro1[[#This Row],[Hora Inicio]])/60*velocidade_nos),0)</f>
        <v>7</v>
      </c>
      <c r="Q196" s="29">
        <f>detalhe_carro1[[#This Row],[Kms Nós]]+detalhe_carro1[[#This Row],[kms]]</f>
        <v>7</v>
      </c>
      <c r="S196" s="20">
        <v>3</v>
      </c>
      <c r="T196" s="20">
        <v>1</v>
      </c>
      <c r="U196" s="20">
        <v>7</v>
      </c>
      <c r="V196" s="20" t="s">
        <v>33</v>
      </c>
      <c r="W196">
        <v>914</v>
      </c>
      <c r="X196">
        <v>914</v>
      </c>
      <c r="Y196">
        <v>643</v>
      </c>
      <c r="Z196" s="7">
        <v>0.92638888888888893</v>
      </c>
      <c r="AA196" s="7">
        <v>0.92638888888888893</v>
      </c>
      <c r="AB196" s="7">
        <v>0.73819444444444449</v>
      </c>
      <c r="AC19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4.5166666666666666</v>
      </c>
    </row>
    <row r="197" spans="2:29" x14ac:dyDescent="0.25">
      <c r="B197" s="3">
        <v>2</v>
      </c>
      <c r="C197">
        <v>1</v>
      </c>
      <c r="D197">
        <v>2</v>
      </c>
      <c r="E197" s="29" t="s">
        <v>24</v>
      </c>
      <c r="F197" s="3">
        <v>692</v>
      </c>
      <c r="G197" s="3">
        <v>692</v>
      </c>
      <c r="H197" s="29" t="s">
        <v>51</v>
      </c>
      <c r="I197" s="3">
        <v>1</v>
      </c>
      <c r="J197" s="7">
        <v>0.77222222222222225</v>
      </c>
      <c r="K197" s="7">
        <v>0.77222222222222225</v>
      </c>
      <c r="L197" s="3">
        <f t="shared" si="5"/>
        <v>1</v>
      </c>
      <c r="M197" s="3">
        <f t="shared" si="6"/>
        <v>0</v>
      </c>
      <c r="N197" s="29">
        <f>_xlfn.MAXIFS($G$7:G196,$E$7:E196,detalhe_carro1[[#This Row],[Nó]],$B$7:B196,detalhe_carro1[[#This Row],[Numero Voltas]],$L$7:L196,1)</f>
        <v>584</v>
      </c>
      <c r="O197" s="3" t="str">
        <f>IF(OR(detalhe_carro1[[#This Row],[Ultima Chegada]]=0,detalhe_carro1[[#This Row],[Chegada]]=0),"",detalhe_carro1[[#This Row],[Hora Inicio]]-detalhe_carro1[[#This Row],[Ultima Chegada]])</f>
        <v/>
      </c>
      <c r="P197" s="3">
        <f>IF(detalhe_carro1[[#This Row],[Tipo]]="Visitar Nó",((detalhe_carro1[[#This Row],[Hora Fim]]-detalhe_carro1[[#This Row],[Hora Inicio]])/60*velocidade_nos),0)</f>
        <v>0</v>
      </c>
      <c r="Q197" s="29">
        <f>detalhe_carro1[[#This Row],[Kms Nós]]+detalhe_carro1[[#This Row],[kms]]</f>
        <v>1</v>
      </c>
      <c r="S197" s="20">
        <v>3</v>
      </c>
      <c r="T197" s="20">
        <v>1</v>
      </c>
      <c r="U197" s="20">
        <v>6</v>
      </c>
      <c r="V197" s="20" t="s">
        <v>31</v>
      </c>
      <c r="W197">
        <v>917</v>
      </c>
      <c r="X197">
        <v>917</v>
      </c>
      <c r="Y197">
        <v>911</v>
      </c>
      <c r="Z197" s="7">
        <v>0.92847222222222225</v>
      </c>
      <c r="AA197" s="7">
        <v>0.92847222222222225</v>
      </c>
      <c r="AB197" s="7">
        <v>0.9243055555555556</v>
      </c>
      <c r="AC19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198" spans="2:29" x14ac:dyDescent="0.25">
      <c r="B198" s="3">
        <v>2</v>
      </c>
      <c r="C198">
        <v>1</v>
      </c>
      <c r="D198">
        <v>1</v>
      </c>
      <c r="E198" s="29" t="s">
        <v>22</v>
      </c>
      <c r="F198" s="3">
        <v>699</v>
      </c>
      <c r="G198" s="3">
        <v>704</v>
      </c>
      <c r="H198" s="29" t="s">
        <v>50</v>
      </c>
      <c r="I198" s="3">
        <v>0</v>
      </c>
      <c r="J198" s="7">
        <v>0.77708333333333335</v>
      </c>
      <c r="K198" s="7">
        <v>0.78055555555555556</v>
      </c>
      <c r="L198" s="3">
        <f t="shared" si="5"/>
        <v>0</v>
      </c>
      <c r="M198" s="3">
        <f t="shared" si="6"/>
        <v>1</v>
      </c>
      <c r="N198" s="29">
        <f>_xlfn.MAXIFS($G$7:G197,$E$7:E197,detalhe_carro1[[#This Row],[Nó]],$B$7:B197,detalhe_carro1[[#This Row],[Numero Voltas]],$L$7:L197,1)</f>
        <v>577</v>
      </c>
      <c r="O198" s="3">
        <f>IF(OR(detalhe_carro1[[#This Row],[Ultima Chegada]]=0,detalhe_carro1[[#This Row],[Chegada]]=0),"",detalhe_carro1[[#This Row],[Hora Inicio]]-detalhe_carro1[[#This Row],[Ultima Chegada]])</f>
        <v>122</v>
      </c>
      <c r="P198" s="3">
        <f>IF(detalhe_carro1[[#This Row],[Tipo]]="Visitar Nó",((detalhe_carro1[[#This Row],[Hora Fim]]-detalhe_carro1[[#This Row],[Hora Inicio]])/60*velocidade_nos),0)</f>
        <v>2.5</v>
      </c>
      <c r="Q198" s="29">
        <f>detalhe_carro1[[#This Row],[Kms Nós]]+detalhe_carro1[[#This Row],[kms]]</f>
        <v>2.5</v>
      </c>
      <c r="S198" s="20">
        <v>3</v>
      </c>
      <c r="T198" s="20">
        <v>1</v>
      </c>
      <c r="U198" s="20">
        <v>5</v>
      </c>
      <c r="V198" s="20" t="s">
        <v>29</v>
      </c>
      <c r="W198">
        <v>920</v>
      </c>
      <c r="X198">
        <v>920</v>
      </c>
      <c r="Y198">
        <v>896</v>
      </c>
      <c r="Z198" s="7">
        <v>0.93055555555555558</v>
      </c>
      <c r="AA198" s="7">
        <v>0.93055555555555558</v>
      </c>
      <c r="AB198" s="7">
        <v>0.91388888888888886</v>
      </c>
      <c r="AC19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</v>
      </c>
    </row>
    <row r="199" spans="2:29" x14ac:dyDescent="0.25">
      <c r="B199" s="3">
        <v>2</v>
      </c>
      <c r="C199">
        <v>1</v>
      </c>
      <c r="D199">
        <v>1</v>
      </c>
      <c r="E199" s="29" t="s">
        <v>22</v>
      </c>
      <c r="F199" s="3">
        <v>711</v>
      </c>
      <c r="G199" s="3">
        <v>711</v>
      </c>
      <c r="H199" s="29" t="s">
        <v>51</v>
      </c>
      <c r="I199" s="3">
        <v>7</v>
      </c>
      <c r="J199" s="7">
        <v>0.78541666666666665</v>
      </c>
      <c r="K199" s="7">
        <v>0.78541666666666665</v>
      </c>
      <c r="L199" s="3">
        <f t="shared" ref="L199:L262" si="7">IF(E199&lt;&gt;E200,1,0)</f>
        <v>1</v>
      </c>
      <c r="M199" s="3">
        <f t="shared" ref="M199:M262" si="8">IF(E199&lt;&gt;E198,1,0)</f>
        <v>0</v>
      </c>
      <c r="N199" s="29">
        <f>_xlfn.MAXIFS($G$7:G198,$E$7:E198,detalhe_carro1[[#This Row],[Nó]],$B$7:B198,detalhe_carro1[[#This Row],[Numero Voltas]],$L$7:L198,1)</f>
        <v>577</v>
      </c>
      <c r="O199" s="3" t="str">
        <f>IF(OR(detalhe_carro1[[#This Row],[Ultima Chegada]]=0,detalhe_carro1[[#This Row],[Chegada]]=0),"",detalhe_carro1[[#This Row],[Hora Inicio]]-detalhe_carro1[[#This Row],[Ultima Chegada]])</f>
        <v/>
      </c>
      <c r="P199" s="3">
        <f>IF(detalhe_carro1[[#This Row],[Tipo]]="Visitar Nó",((detalhe_carro1[[#This Row],[Hora Fim]]-detalhe_carro1[[#This Row],[Hora Inicio]])/60*velocidade_nos),0)</f>
        <v>0</v>
      </c>
      <c r="Q199" s="29">
        <f>detalhe_carro1[[#This Row],[Kms Nós]]+detalhe_carro1[[#This Row],[kms]]</f>
        <v>7</v>
      </c>
      <c r="S199" s="20">
        <v>3</v>
      </c>
      <c r="T199" s="20">
        <v>1</v>
      </c>
      <c r="U199" s="20">
        <v>4</v>
      </c>
      <c r="V199" s="20" t="s">
        <v>27</v>
      </c>
      <c r="W199">
        <v>923</v>
      </c>
      <c r="X199">
        <v>923</v>
      </c>
      <c r="Y199">
        <v>849</v>
      </c>
      <c r="Z199" s="7">
        <v>0.93263888888888891</v>
      </c>
      <c r="AA199" s="7">
        <v>0.93263888888888891</v>
      </c>
      <c r="AB199" s="7">
        <v>0.88124999999999998</v>
      </c>
      <c r="AC19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1.2333333333333334</v>
      </c>
    </row>
    <row r="200" spans="2:29" x14ac:dyDescent="0.25">
      <c r="B200" s="3">
        <v>2</v>
      </c>
      <c r="C200">
        <v>1</v>
      </c>
      <c r="D200">
        <v>0</v>
      </c>
      <c r="E200" s="29" t="s">
        <v>20</v>
      </c>
      <c r="F200" s="3">
        <v>712</v>
      </c>
      <c r="G200" s="3">
        <v>712</v>
      </c>
      <c r="H200" s="29" t="s">
        <v>51</v>
      </c>
      <c r="I200" s="3">
        <v>1</v>
      </c>
      <c r="J200" s="7">
        <v>0.78611111111111109</v>
      </c>
      <c r="K200" s="7">
        <v>0.78611111111111109</v>
      </c>
      <c r="L200" s="3">
        <f t="shared" si="7"/>
        <v>0</v>
      </c>
      <c r="M200" s="3">
        <f t="shared" si="8"/>
        <v>1</v>
      </c>
      <c r="N200" s="29">
        <f>_xlfn.MAXIFS($G$7:G199,$E$7:E199,detalhe_carro1[[#This Row],[Nó]],$B$7:B199,detalhe_carro1[[#This Row],[Numero Voltas]],$L$7:L199,1)</f>
        <v>576</v>
      </c>
      <c r="O200" s="3">
        <f>IF(OR(detalhe_carro1[[#This Row],[Ultima Chegada]]=0,detalhe_carro1[[#This Row],[Chegada]]=0),"",detalhe_carro1[[#This Row],[Hora Inicio]]-detalhe_carro1[[#This Row],[Ultima Chegada]])</f>
        <v>136</v>
      </c>
      <c r="P200" s="3">
        <f>IF(detalhe_carro1[[#This Row],[Tipo]]="Visitar Nó",((detalhe_carro1[[#This Row],[Hora Fim]]-detalhe_carro1[[#This Row],[Hora Inicio]])/60*velocidade_nos),0)</f>
        <v>0</v>
      </c>
      <c r="Q200" s="29">
        <f>detalhe_carro1[[#This Row],[Kms Nós]]+detalhe_carro1[[#This Row],[kms]]</f>
        <v>1</v>
      </c>
      <c r="S200" s="20">
        <v>3</v>
      </c>
      <c r="T200" s="20">
        <v>1</v>
      </c>
      <c r="U200" s="20">
        <v>3</v>
      </c>
      <c r="V200" s="20" t="s">
        <v>26</v>
      </c>
      <c r="W200">
        <v>924</v>
      </c>
      <c r="X200">
        <v>924</v>
      </c>
      <c r="Y200">
        <v>834</v>
      </c>
      <c r="Z200" s="7">
        <v>0.93333333333333335</v>
      </c>
      <c r="AA200" s="7">
        <v>0.93333333333333335</v>
      </c>
      <c r="AB200" s="7">
        <v>0.87083333333333335</v>
      </c>
      <c r="AC20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</v>
      </c>
    </row>
    <row r="201" spans="2:29" x14ac:dyDescent="0.25">
      <c r="B201" s="3">
        <v>2</v>
      </c>
      <c r="C201">
        <v>1</v>
      </c>
      <c r="D201">
        <v>0</v>
      </c>
      <c r="E201" s="29" t="s">
        <v>20</v>
      </c>
      <c r="F201" s="3">
        <v>712</v>
      </c>
      <c r="G201" s="3">
        <v>727</v>
      </c>
      <c r="H201" s="29" t="s">
        <v>50</v>
      </c>
      <c r="I201" s="3">
        <v>0</v>
      </c>
      <c r="J201" s="7">
        <v>0.78611111111111109</v>
      </c>
      <c r="K201" s="7">
        <v>0.79652777777777772</v>
      </c>
      <c r="L201" s="3">
        <f t="shared" si="7"/>
        <v>0</v>
      </c>
      <c r="M201" s="3">
        <f t="shared" si="8"/>
        <v>0</v>
      </c>
      <c r="N201" s="29">
        <f>_xlfn.MAXIFS($G$7:G200,$E$7:E200,detalhe_carro1[[#This Row],[Nó]],$B$7:B200,detalhe_carro1[[#This Row],[Numero Voltas]],$L$7:L200,1)</f>
        <v>576</v>
      </c>
      <c r="O201" s="3" t="str">
        <f>IF(OR(detalhe_carro1[[#This Row],[Ultima Chegada]]=0,detalhe_carro1[[#This Row],[Chegada]]=0),"",detalhe_carro1[[#This Row],[Hora Inicio]]-detalhe_carro1[[#This Row],[Ultima Chegada]])</f>
        <v/>
      </c>
      <c r="P201" s="3">
        <f>IF(detalhe_carro1[[#This Row],[Tipo]]="Visitar Nó",((detalhe_carro1[[#This Row],[Hora Fim]]-detalhe_carro1[[#This Row],[Hora Inicio]])/60*velocidade_nos),0)</f>
        <v>7.5</v>
      </c>
      <c r="Q201" s="29">
        <f>detalhe_carro1[[#This Row],[Kms Nós]]+detalhe_carro1[[#This Row],[kms]]</f>
        <v>7.5</v>
      </c>
      <c r="S201" s="20">
        <v>3</v>
      </c>
      <c r="T201" s="20">
        <v>1</v>
      </c>
      <c r="U201" s="20">
        <v>2</v>
      </c>
      <c r="V201" s="20" t="s">
        <v>24</v>
      </c>
      <c r="W201">
        <v>925</v>
      </c>
      <c r="X201">
        <v>925</v>
      </c>
      <c r="Y201">
        <v>822</v>
      </c>
      <c r="Z201" s="7">
        <v>0.93402777777777779</v>
      </c>
      <c r="AA201" s="7">
        <v>0.93402777777777779</v>
      </c>
      <c r="AB201" s="7">
        <v>0.86250000000000004</v>
      </c>
      <c r="AC20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</row>
    <row r="202" spans="2:29" x14ac:dyDescent="0.25">
      <c r="B202" s="3">
        <v>2</v>
      </c>
      <c r="C202">
        <v>1</v>
      </c>
      <c r="D202">
        <v>0</v>
      </c>
      <c r="E202" s="29" t="s">
        <v>20</v>
      </c>
      <c r="F202" s="3">
        <v>727</v>
      </c>
      <c r="G202" s="3">
        <v>727</v>
      </c>
      <c r="H202" s="29" t="s">
        <v>51</v>
      </c>
      <c r="I202" s="3">
        <v>1</v>
      </c>
      <c r="J202" s="7">
        <v>0.79652777777777772</v>
      </c>
      <c r="K202" s="7">
        <v>0.79652777777777772</v>
      </c>
      <c r="L202" s="3">
        <f t="shared" si="7"/>
        <v>1</v>
      </c>
      <c r="M202" s="3">
        <f t="shared" si="8"/>
        <v>0</v>
      </c>
      <c r="N202" s="29">
        <f>_xlfn.MAXIFS($G$7:G201,$E$7:E201,detalhe_carro1[[#This Row],[Nó]],$B$7:B201,detalhe_carro1[[#This Row],[Numero Voltas]],$L$7:L201,1)</f>
        <v>576</v>
      </c>
      <c r="O202" s="3" t="str">
        <f>IF(OR(detalhe_carro1[[#This Row],[Ultima Chegada]]=0,detalhe_carro1[[#This Row],[Chegada]]=0),"",detalhe_carro1[[#This Row],[Hora Inicio]]-detalhe_carro1[[#This Row],[Ultima Chegada]])</f>
        <v/>
      </c>
      <c r="P202" s="3">
        <f>IF(detalhe_carro1[[#This Row],[Tipo]]="Visitar Nó",((detalhe_carro1[[#This Row],[Hora Fim]]-detalhe_carro1[[#This Row],[Hora Inicio]])/60*velocidade_nos),0)</f>
        <v>0</v>
      </c>
      <c r="Q202" s="29">
        <f>detalhe_carro1[[#This Row],[Kms Nós]]+detalhe_carro1[[#This Row],[kms]]</f>
        <v>1</v>
      </c>
      <c r="S202" s="20">
        <v>3</v>
      </c>
      <c r="T202" s="20">
        <v>1</v>
      </c>
      <c r="U202" s="20">
        <v>1</v>
      </c>
      <c r="V202" s="20" t="s">
        <v>22</v>
      </c>
      <c r="W202">
        <v>932</v>
      </c>
      <c r="X202">
        <v>932</v>
      </c>
      <c r="Y202">
        <v>794</v>
      </c>
      <c r="Z202" s="7">
        <v>0.93888888888888888</v>
      </c>
      <c r="AA202" s="7">
        <v>0.93888888888888888</v>
      </c>
      <c r="AB202" s="7">
        <v>0.84305555555555556</v>
      </c>
      <c r="AC20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2.2999999999999998</v>
      </c>
    </row>
    <row r="203" spans="2:29" x14ac:dyDescent="0.25">
      <c r="B203" s="3">
        <v>2</v>
      </c>
      <c r="C203">
        <v>1</v>
      </c>
      <c r="D203">
        <v>1</v>
      </c>
      <c r="E203" s="29" t="s">
        <v>22</v>
      </c>
      <c r="F203" s="3">
        <v>728</v>
      </c>
      <c r="G203" s="3">
        <v>733</v>
      </c>
      <c r="H203" s="29" t="s">
        <v>50</v>
      </c>
      <c r="I203" s="3">
        <v>0</v>
      </c>
      <c r="J203" s="7">
        <v>0.79722222222222228</v>
      </c>
      <c r="K203" s="7">
        <v>0.80069444444444449</v>
      </c>
      <c r="L203" s="3">
        <f t="shared" si="7"/>
        <v>0</v>
      </c>
      <c r="M203" s="3">
        <f t="shared" si="8"/>
        <v>1</v>
      </c>
      <c r="N203" s="29">
        <f>_xlfn.MAXIFS($G$7:G202,$E$7:E202,detalhe_carro1[[#This Row],[Nó]],$B$7:B202,detalhe_carro1[[#This Row],[Numero Voltas]],$L$7:L202,1)</f>
        <v>711</v>
      </c>
      <c r="O203" s="3">
        <f>IF(OR(detalhe_carro1[[#This Row],[Ultima Chegada]]=0,detalhe_carro1[[#This Row],[Chegada]]=0),"",detalhe_carro1[[#This Row],[Hora Inicio]]-detalhe_carro1[[#This Row],[Ultima Chegada]])</f>
        <v>17</v>
      </c>
      <c r="P203" s="3">
        <f>IF(detalhe_carro1[[#This Row],[Tipo]]="Visitar Nó",((detalhe_carro1[[#This Row],[Hora Fim]]-detalhe_carro1[[#This Row],[Hora Inicio]])/60*velocidade_nos),0)</f>
        <v>2.5</v>
      </c>
      <c r="Q203" s="29">
        <f>detalhe_carro1[[#This Row],[Kms Nós]]+detalhe_carro1[[#This Row],[kms]]</f>
        <v>2.5</v>
      </c>
      <c r="S203" s="20">
        <v>3</v>
      </c>
      <c r="T203" s="20">
        <v>1</v>
      </c>
      <c r="U203" s="20">
        <v>0</v>
      </c>
      <c r="V203" s="20" t="s">
        <v>20</v>
      </c>
      <c r="W203">
        <v>933</v>
      </c>
      <c r="X203">
        <v>933</v>
      </c>
      <c r="Y203">
        <v>787</v>
      </c>
      <c r="Z203" s="7">
        <v>0.93958333333333333</v>
      </c>
      <c r="AA203" s="7">
        <v>0.93958333333333333</v>
      </c>
      <c r="AB203" s="7">
        <v>0.83819444444444446</v>
      </c>
      <c r="AC20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2.4333333333333331</v>
      </c>
    </row>
    <row r="204" spans="2:29" x14ac:dyDescent="0.25">
      <c r="B204" s="3">
        <v>2</v>
      </c>
      <c r="C204">
        <v>1</v>
      </c>
      <c r="D204">
        <v>1</v>
      </c>
      <c r="E204" s="29" t="s">
        <v>22</v>
      </c>
      <c r="F204" s="3">
        <v>734</v>
      </c>
      <c r="G204" s="3">
        <v>734</v>
      </c>
      <c r="H204" s="29" t="s">
        <v>51</v>
      </c>
      <c r="I204" s="3">
        <v>1</v>
      </c>
      <c r="J204" s="7">
        <v>0.80138888888888893</v>
      </c>
      <c r="K204" s="7">
        <v>0.80138888888888893</v>
      </c>
      <c r="L204" s="3">
        <f t="shared" si="7"/>
        <v>1</v>
      </c>
      <c r="M204" s="3">
        <f t="shared" si="8"/>
        <v>0</v>
      </c>
      <c r="N204" s="29">
        <f>_xlfn.MAXIFS($G$7:G203,$E$7:E203,detalhe_carro1[[#This Row],[Nó]],$B$7:B203,detalhe_carro1[[#This Row],[Numero Voltas]],$L$7:L203,1)</f>
        <v>711</v>
      </c>
      <c r="O204" s="3" t="str">
        <f>IF(OR(detalhe_carro1[[#This Row],[Ultima Chegada]]=0,detalhe_carro1[[#This Row],[Chegada]]=0),"",detalhe_carro1[[#This Row],[Hora Inicio]]-detalhe_carro1[[#This Row],[Ultima Chegada]])</f>
        <v/>
      </c>
      <c r="P204" s="3">
        <f>IF(detalhe_carro1[[#This Row],[Tipo]]="Visitar Nó",((detalhe_carro1[[#This Row],[Hora Fim]]-detalhe_carro1[[#This Row],[Hora Inicio]])/60*velocidade_nos),0)</f>
        <v>0</v>
      </c>
      <c r="Q204" s="29">
        <f>detalhe_carro1[[#This Row],[Kms Nós]]+detalhe_carro1[[#This Row],[kms]]</f>
        <v>1</v>
      </c>
      <c r="S204" s="20">
        <v>3</v>
      </c>
      <c r="T204" s="20">
        <v>1</v>
      </c>
      <c r="U204" s="20">
        <v>1</v>
      </c>
      <c r="V204" s="20" t="s">
        <v>22</v>
      </c>
      <c r="W204">
        <v>934</v>
      </c>
      <c r="X204">
        <v>934</v>
      </c>
      <c r="Y204">
        <v>932</v>
      </c>
      <c r="Z204" s="7">
        <v>0.94027777777777777</v>
      </c>
      <c r="AA204" s="7">
        <v>0.94027777777777777</v>
      </c>
      <c r="AB204" s="7">
        <v>0.93888888888888888</v>
      </c>
      <c r="AC20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05" spans="2:29" x14ac:dyDescent="0.25">
      <c r="B205" s="3">
        <v>2</v>
      </c>
      <c r="C205">
        <v>1</v>
      </c>
      <c r="D205">
        <v>2</v>
      </c>
      <c r="E205" s="29" t="s">
        <v>24</v>
      </c>
      <c r="F205" s="3">
        <v>741</v>
      </c>
      <c r="G205" s="3">
        <v>755</v>
      </c>
      <c r="H205" s="29" t="s">
        <v>50</v>
      </c>
      <c r="I205" s="3">
        <v>0</v>
      </c>
      <c r="J205" s="7">
        <v>0.80625000000000002</v>
      </c>
      <c r="K205" s="7">
        <v>0.81597222222222221</v>
      </c>
      <c r="L205" s="3">
        <f t="shared" si="7"/>
        <v>0</v>
      </c>
      <c r="M205" s="3">
        <f t="shared" si="8"/>
        <v>1</v>
      </c>
      <c r="N205" s="29">
        <f>_xlfn.MAXIFS($G$7:G204,$E$7:E204,detalhe_carro1[[#This Row],[Nó]],$B$7:B204,detalhe_carro1[[#This Row],[Numero Voltas]],$L$7:L204,1)</f>
        <v>692</v>
      </c>
      <c r="O205" s="3">
        <f>IF(OR(detalhe_carro1[[#This Row],[Ultima Chegada]]=0,detalhe_carro1[[#This Row],[Chegada]]=0),"",detalhe_carro1[[#This Row],[Hora Inicio]]-detalhe_carro1[[#This Row],[Ultima Chegada]])</f>
        <v>49</v>
      </c>
      <c r="P205" s="3">
        <f>IF(detalhe_carro1[[#This Row],[Tipo]]="Visitar Nó",((detalhe_carro1[[#This Row],[Hora Fim]]-detalhe_carro1[[#This Row],[Hora Inicio]])/60*velocidade_nos),0)</f>
        <v>7</v>
      </c>
      <c r="Q205" s="29">
        <f>detalhe_carro1[[#This Row],[Kms Nós]]+detalhe_carro1[[#This Row],[kms]]</f>
        <v>7</v>
      </c>
      <c r="S205" s="20">
        <v>3</v>
      </c>
      <c r="T205" s="20">
        <v>1</v>
      </c>
      <c r="U205" s="20">
        <v>2</v>
      </c>
      <c r="V205" s="20" t="s">
        <v>24</v>
      </c>
      <c r="W205">
        <v>941</v>
      </c>
      <c r="X205">
        <v>941</v>
      </c>
      <c r="Y205">
        <v>925</v>
      </c>
      <c r="Z205" s="7">
        <v>0.94513888888888886</v>
      </c>
      <c r="AA205" s="7">
        <v>0.94513888888888886</v>
      </c>
      <c r="AB205" s="7">
        <v>0.93402777777777779</v>
      </c>
      <c r="AC20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06" spans="2:29" x14ac:dyDescent="0.25">
      <c r="B206" s="3">
        <v>2</v>
      </c>
      <c r="C206">
        <v>1</v>
      </c>
      <c r="D206">
        <v>2</v>
      </c>
      <c r="E206" s="29" t="s">
        <v>24</v>
      </c>
      <c r="F206" s="3">
        <v>762</v>
      </c>
      <c r="G206" s="3">
        <v>762</v>
      </c>
      <c r="H206" s="29" t="s">
        <v>51</v>
      </c>
      <c r="I206" s="3">
        <v>7</v>
      </c>
      <c r="J206" s="7">
        <v>0.8208333333333333</v>
      </c>
      <c r="K206" s="7">
        <v>0.8208333333333333</v>
      </c>
      <c r="L206" s="3">
        <f t="shared" si="7"/>
        <v>1</v>
      </c>
      <c r="M206" s="3">
        <f t="shared" si="8"/>
        <v>0</v>
      </c>
      <c r="N206" s="29">
        <f>_xlfn.MAXIFS($G$7:G205,$E$7:E205,detalhe_carro1[[#This Row],[Nó]],$B$7:B205,detalhe_carro1[[#This Row],[Numero Voltas]],$L$7:L205,1)</f>
        <v>692</v>
      </c>
      <c r="O206" s="3" t="str">
        <f>IF(OR(detalhe_carro1[[#This Row],[Ultima Chegada]]=0,detalhe_carro1[[#This Row],[Chegada]]=0),"",detalhe_carro1[[#This Row],[Hora Inicio]]-detalhe_carro1[[#This Row],[Ultima Chegada]])</f>
        <v/>
      </c>
      <c r="P206" s="3">
        <f>IF(detalhe_carro1[[#This Row],[Tipo]]="Visitar Nó",((detalhe_carro1[[#This Row],[Hora Fim]]-detalhe_carro1[[#This Row],[Hora Inicio]])/60*velocidade_nos),0)</f>
        <v>0</v>
      </c>
      <c r="Q206" s="29">
        <f>detalhe_carro1[[#This Row],[Kms Nós]]+detalhe_carro1[[#This Row],[kms]]</f>
        <v>7</v>
      </c>
      <c r="S206" s="20">
        <v>3</v>
      </c>
      <c r="T206" s="20">
        <v>1</v>
      </c>
      <c r="U206" s="20">
        <v>3</v>
      </c>
      <c r="V206" s="20" t="s">
        <v>26</v>
      </c>
      <c r="W206">
        <v>942</v>
      </c>
      <c r="X206">
        <v>942</v>
      </c>
      <c r="Y206">
        <v>924</v>
      </c>
      <c r="Z206" s="7">
        <v>0.9458333333333333</v>
      </c>
      <c r="AA206" s="7">
        <v>0.9458333333333333</v>
      </c>
      <c r="AB206" s="7">
        <v>0.93333333333333335</v>
      </c>
      <c r="AC20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07" spans="2:29" x14ac:dyDescent="0.25">
      <c r="B207" s="3">
        <v>2</v>
      </c>
      <c r="C207">
        <v>1</v>
      </c>
      <c r="D207">
        <v>3</v>
      </c>
      <c r="E207" s="29" t="s">
        <v>26</v>
      </c>
      <c r="F207" s="3">
        <v>763</v>
      </c>
      <c r="G207" s="3">
        <v>773</v>
      </c>
      <c r="H207" s="29" t="s">
        <v>50</v>
      </c>
      <c r="I207" s="3">
        <v>0</v>
      </c>
      <c r="J207" s="7">
        <v>0.82152777777777775</v>
      </c>
      <c r="K207" s="7">
        <v>0.82847222222222228</v>
      </c>
      <c r="L207" s="3">
        <f t="shared" si="7"/>
        <v>0</v>
      </c>
      <c r="M207" s="3">
        <f t="shared" si="8"/>
        <v>1</v>
      </c>
      <c r="N207" s="29">
        <f>_xlfn.MAXIFS($G$7:G206,$E$7:E206,detalhe_carro1[[#This Row],[Nó]],$B$7:B206,detalhe_carro1[[#This Row],[Numero Voltas]],$L$7:L206,1)</f>
        <v>676</v>
      </c>
      <c r="O207" s="3">
        <f>IF(OR(detalhe_carro1[[#This Row],[Ultima Chegada]]=0,detalhe_carro1[[#This Row],[Chegada]]=0),"",detalhe_carro1[[#This Row],[Hora Inicio]]-detalhe_carro1[[#This Row],[Ultima Chegada]])</f>
        <v>87</v>
      </c>
      <c r="P207" s="3">
        <f>IF(detalhe_carro1[[#This Row],[Tipo]]="Visitar Nó",((detalhe_carro1[[#This Row],[Hora Fim]]-detalhe_carro1[[#This Row],[Hora Inicio]])/60*velocidade_nos),0)</f>
        <v>5</v>
      </c>
      <c r="Q207" s="29">
        <f>detalhe_carro1[[#This Row],[Kms Nós]]+detalhe_carro1[[#This Row],[kms]]</f>
        <v>5</v>
      </c>
      <c r="S207" s="20">
        <v>3</v>
      </c>
      <c r="T207" s="20">
        <v>1</v>
      </c>
      <c r="U207" s="20">
        <v>4</v>
      </c>
      <c r="V207" s="20" t="s">
        <v>27</v>
      </c>
      <c r="W207">
        <v>943</v>
      </c>
      <c r="X207">
        <v>943</v>
      </c>
      <c r="Y207">
        <v>923</v>
      </c>
      <c r="Z207" s="7">
        <v>0.94652777777777775</v>
      </c>
      <c r="AA207" s="7">
        <v>0.94652777777777775</v>
      </c>
      <c r="AB207" s="7">
        <v>0.93263888888888891</v>
      </c>
      <c r="AC20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08" spans="2:29" x14ac:dyDescent="0.25">
      <c r="B208" s="3">
        <v>2</v>
      </c>
      <c r="C208">
        <v>1</v>
      </c>
      <c r="D208">
        <v>3</v>
      </c>
      <c r="E208" s="29" t="s">
        <v>26</v>
      </c>
      <c r="F208" s="3">
        <v>774</v>
      </c>
      <c r="G208" s="3">
        <v>774</v>
      </c>
      <c r="H208" s="29" t="s">
        <v>51</v>
      </c>
      <c r="I208" s="3">
        <v>1</v>
      </c>
      <c r="J208" s="7">
        <v>0.82916666666666672</v>
      </c>
      <c r="K208" s="7">
        <v>0.82916666666666672</v>
      </c>
      <c r="L208" s="3">
        <f t="shared" si="7"/>
        <v>1</v>
      </c>
      <c r="M208" s="3">
        <f t="shared" si="8"/>
        <v>0</v>
      </c>
      <c r="N208" s="29">
        <f>_xlfn.MAXIFS($G$7:G207,$E$7:E207,detalhe_carro1[[#This Row],[Nó]],$B$7:B207,detalhe_carro1[[#This Row],[Numero Voltas]],$L$7:L207,1)</f>
        <v>676</v>
      </c>
      <c r="O208" s="3" t="str">
        <f>IF(OR(detalhe_carro1[[#This Row],[Ultima Chegada]]=0,detalhe_carro1[[#This Row],[Chegada]]=0),"",detalhe_carro1[[#This Row],[Hora Inicio]]-detalhe_carro1[[#This Row],[Ultima Chegada]])</f>
        <v/>
      </c>
      <c r="P208" s="3">
        <f>IF(detalhe_carro1[[#This Row],[Tipo]]="Visitar Nó",((detalhe_carro1[[#This Row],[Hora Fim]]-detalhe_carro1[[#This Row],[Hora Inicio]])/60*velocidade_nos),0)</f>
        <v>0</v>
      </c>
      <c r="Q208" s="29">
        <f>detalhe_carro1[[#This Row],[Kms Nós]]+detalhe_carro1[[#This Row],[kms]]</f>
        <v>1</v>
      </c>
      <c r="S208" s="20">
        <v>3</v>
      </c>
      <c r="T208" s="20">
        <v>1</v>
      </c>
      <c r="U208" s="20">
        <v>5</v>
      </c>
      <c r="V208" s="20" t="s">
        <v>29</v>
      </c>
      <c r="W208">
        <v>946</v>
      </c>
      <c r="X208">
        <v>946</v>
      </c>
      <c r="Y208">
        <v>920</v>
      </c>
      <c r="Z208" s="7">
        <v>0.94861111111111107</v>
      </c>
      <c r="AA208" s="7">
        <v>0.94861111111111107</v>
      </c>
      <c r="AB208" s="7">
        <v>0.93055555555555558</v>
      </c>
      <c r="AC20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09" spans="2:29" x14ac:dyDescent="0.25">
      <c r="B209" s="3">
        <v>2</v>
      </c>
      <c r="C209">
        <v>1</v>
      </c>
      <c r="D209">
        <v>4</v>
      </c>
      <c r="E209" s="29" t="s">
        <v>27</v>
      </c>
      <c r="F209" s="3">
        <v>775</v>
      </c>
      <c r="G209" s="3">
        <v>788</v>
      </c>
      <c r="H209" s="29" t="s">
        <v>50</v>
      </c>
      <c r="I209" s="3">
        <v>0</v>
      </c>
      <c r="J209" s="7">
        <v>0.82986111111111116</v>
      </c>
      <c r="K209" s="7">
        <v>0.83888888888888891</v>
      </c>
      <c r="L209" s="3">
        <f t="shared" si="7"/>
        <v>0</v>
      </c>
      <c r="M209" s="3">
        <f t="shared" si="8"/>
        <v>1</v>
      </c>
      <c r="N209" s="29">
        <f>_xlfn.MAXIFS($G$7:G208,$E$7:E208,detalhe_carro1[[#This Row],[Nó]],$B$7:B208,detalhe_carro1[[#This Row],[Numero Voltas]],$L$7:L208,1)</f>
        <v>664</v>
      </c>
      <c r="O209" s="3">
        <f>IF(OR(detalhe_carro1[[#This Row],[Ultima Chegada]]=0,detalhe_carro1[[#This Row],[Chegada]]=0),"",detalhe_carro1[[#This Row],[Hora Inicio]]-detalhe_carro1[[#This Row],[Ultima Chegada]])</f>
        <v>111</v>
      </c>
      <c r="P209" s="3">
        <f>IF(detalhe_carro1[[#This Row],[Tipo]]="Visitar Nó",((detalhe_carro1[[#This Row],[Hora Fim]]-detalhe_carro1[[#This Row],[Hora Inicio]])/60*velocidade_nos),0)</f>
        <v>6.5</v>
      </c>
      <c r="Q209" s="29">
        <f>detalhe_carro1[[#This Row],[Kms Nós]]+detalhe_carro1[[#This Row],[kms]]</f>
        <v>6.5</v>
      </c>
      <c r="S209" s="20">
        <v>3</v>
      </c>
      <c r="T209" s="20">
        <v>1</v>
      </c>
      <c r="U209" s="20">
        <v>6</v>
      </c>
      <c r="V209" s="20" t="s">
        <v>31</v>
      </c>
      <c r="W209">
        <v>949</v>
      </c>
      <c r="X209">
        <v>949</v>
      </c>
      <c r="Y209">
        <v>917</v>
      </c>
      <c r="Z209" s="7">
        <v>0.9506944444444444</v>
      </c>
      <c r="AA209" s="7">
        <v>0.9506944444444444</v>
      </c>
      <c r="AB209" s="7">
        <v>0.92847222222222225</v>
      </c>
      <c r="AC20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10" spans="2:29" x14ac:dyDescent="0.25">
      <c r="B210" s="3">
        <v>2</v>
      </c>
      <c r="C210">
        <v>1</v>
      </c>
      <c r="D210">
        <v>4</v>
      </c>
      <c r="E210" s="29" t="s">
        <v>27</v>
      </c>
      <c r="F210" s="3">
        <v>789</v>
      </c>
      <c r="G210" s="3">
        <v>789</v>
      </c>
      <c r="H210" s="29" t="s">
        <v>51</v>
      </c>
      <c r="I210" s="3">
        <v>1</v>
      </c>
      <c r="J210" s="7">
        <v>0.83958333333333335</v>
      </c>
      <c r="K210" s="7">
        <v>0.83958333333333335</v>
      </c>
      <c r="L210" s="3">
        <f t="shared" si="7"/>
        <v>1</v>
      </c>
      <c r="M210" s="3">
        <f t="shared" si="8"/>
        <v>0</v>
      </c>
      <c r="N210" s="29">
        <f>_xlfn.MAXIFS($G$7:G209,$E$7:E209,detalhe_carro1[[#This Row],[Nó]],$B$7:B209,detalhe_carro1[[#This Row],[Numero Voltas]],$L$7:L209,1)</f>
        <v>664</v>
      </c>
      <c r="O210" s="3" t="str">
        <f>IF(OR(detalhe_carro1[[#This Row],[Ultima Chegada]]=0,detalhe_carro1[[#This Row],[Chegada]]=0),"",detalhe_carro1[[#This Row],[Hora Inicio]]-detalhe_carro1[[#This Row],[Ultima Chegada]])</f>
        <v/>
      </c>
      <c r="P210" s="3">
        <f>IF(detalhe_carro1[[#This Row],[Tipo]]="Visitar Nó",((detalhe_carro1[[#This Row],[Hora Fim]]-detalhe_carro1[[#This Row],[Hora Inicio]])/60*velocidade_nos),0)</f>
        <v>0</v>
      </c>
      <c r="Q210" s="29">
        <f>detalhe_carro1[[#This Row],[Kms Nós]]+detalhe_carro1[[#This Row],[kms]]</f>
        <v>1</v>
      </c>
      <c r="S210" s="20">
        <v>3</v>
      </c>
      <c r="T210" s="20">
        <v>1</v>
      </c>
      <c r="U210" s="20">
        <v>7</v>
      </c>
      <c r="V210" s="20" t="s">
        <v>33</v>
      </c>
      <c r="W210">
        <v>952</v>
      </c>
      <c r="X210">
        <v>952</v>
      </c>
      <c r="Y210">
        <v>914</v>
      </c>
      <c r="Z210" s="7">
        <v>0.95277777777777772</v>
      </c>
      <c r="AA210" s="7">
        <v>0.95277777777777772</v>
      </c>
      <c r="AB210" s="7">
        <v>0.92638888888888893</v>
      </c>
      <c r="AC21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11" spans="2:29" x14ac:dyDescent="0.25">
      <c r="B211" s="3">
        <v>2</v>
      </c>
      <c r="C211">
        <v>1</v>
      </c>
      <c r="D211">
        <v>5</v>
      </c>
      <c r="E211" s="29" t="s">
        <v>29</v>
      </c>
      <c r="F211" s="3">
        <v>792</v>
      </c>
      <c r="G211" s="3">
        <v>802</v>
      </c>
      <c r="H211" s="29" t="s">
        <v>297</v>
      </c>
      <c r="I211" s="3">
        <v>0</v>
      </c>
      <c r="J211" s="7">
        <v>0.84166666666666667</v>
      </c>
      <c r="K211" s="7">
        <v>0.84861111111111109</v>
      </c>
      <c r="L211" s="3">
        <f t="shared" si="7"/>
        <v>0</v>
      </c>
      <c r="M211" s="3">
        <f t="shared" si="8"/>
        <v>1</v>
      </c>
      <c r="N211" s="29">
        <f>_xlfn.MAXIFS($G$7:G210,$E$7:E210,detalhe_carro1[[#This Row],[Nó]],$B$7:B210,detalhe_carro1[[#This Row],[Numero Voltas]],$L$7:L210,1)</f>
        <v>645</v>
      </c>
      <c r="O211" s="3">
        <f>IF(OR(detalhe_carro1[[#This Row],[Ultima Chegada]]=0,detalhe_carro1[[#This Row],[Chegada]]=0),"",detalhe_carro1[[#This Row],[Hora Inicio]]-detalhe_carro1[[#This Row],[Ultima Chegada]])</f>
        <v>147</v>
      </c>
      <c r="P211" s="3">
        <f>IF(detalhe_carro1[[#This Row],[Tipo]]="Visitar Nó",((detalhe_carro1[[#This Row],[Hora Fim]]-detalhe_carro1[[#This Row],[Hora Inicio]])/60*velocidade_nos),0)</f>
        <v>0</v>
      </c>
      <c r="Q211" s="29">
        <f>detalhe_carro1[[#This Row],[Kms Nós]]+detalhe_carro1[[#This Row],[kms]]</f>
        <v>0</v>
      </c>
      <c r="S211" s="20">
        <v>3</v>
      </c>
      <c r="T211" s="20">
        <v>1</v>
      </c>
      <c r="U211" s="20">
        <v>6</v>
      </c>
      <c r="V211" s="20" t="s">
        <v>31</v>
      </c>
      <c r="W211">
        <v>955</v>
      </c>
      <c r="X211">
        <v>955</v>
      </c>
      <c r="Y211">
        <v>949</v>
      </c>
      <c r="Z211" s="7">
        <v>0.95486111111111116</v>
      </c>
      <c r="AA211" s="7">
        <v>0.95486111111111116</v>
      </c>
      <c r="AB211" s="7">
        <v>0.9506944444444444</v>
      </c>
      <c r="AC21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212" spans="2:29" x14ac:dyDescent="0.25">
      <c r="B212" s="3">
        <v>2</v>
      </c>
      <c r="C212">
        <v>1</v>
      </c>
      <c r="D212">
        <v>5</v>
      </c>
      <c r="E212" s="29" t="s">
        <v>29</v>
      </c>
      <c r="F212" s="3">
        <v>805</v>
      </c>
      <c r="G212" s="3">
        <v>833</v>
      </c>
      <c r="H212" s="29" t="s">
        <v>50</v>
      </c>
      <c r="I212" s="3">
        <v>0</v>
      </c>
      <c r="J212" s="7">
        <v>0.85069444444444442</v>
      </c>
      <c r="K212" s="7">
        <v>0.87013888888888891</v>
      </c>
      <c r="L212" s="3">
        <f t="shared" si="7"/>
        <v>0</v>
      </c>
      <c r="M212" s="3">
        <f t="shared" si="8"/>
        <v>0</v>
      </c>
      <c r="N212" s="29">
        <f>_xlfn.MAXIFS($G$7:G211,$E$7:E211,detalhe_carro1[[#This Row],[Nó]],$B$7:B211,detalhe_carro1[[#This Row],[Numero Voltas]],$L$7:L211,1)</f>
        <v>645</v>
      </c>
      <c r="O212" s="3" t="str">
        <f>IF(OR(detalhe_carro1[[#This Row],[Ultima Chegada]]=0,detalhe_carro1[[#This Row],[Chegada]]=0),"",detalhe_carro1[[#This Row],[Hora Inicio]]-detalhe_carro1[[#This Row],[Ultima Chegada]])</f>
        <v/>
      </c>
      <c r="P212" s="3">
        <f>IF(detalhe_carro1[[#This Row],[Tipo]]="Visitar Nó",((detalhe_carro1[[#This Row],[Hora Fim]]-detalhe_carro1[[#This Row],[Hora Inicio]])/60*velocidade_nos),0)</f>
        <v>14</v>
      </c>
      <c r="Q212" s="29">
        <f>detalhe_carro1[[#This Row],[Kms Nós]]+detalhe_carro1[[#This Row],[kms]]</f>
        <v>14</v>
      </c>
      <c r="S212" s="20">
        <v>3</v>
      </c>
      <c r="T212" s="20">
        <v>1</v>
      </c>
      <c r="U212" s="20">
        <v>5</v>
      </c>
      <c r="V212" s="20" t="s">
        <v>29</v>
      </c>
      <c r="W212">
        <v>958</v>
      </c>
      <c r="X212">
        <v>958</v>
      </c>
      <c r="Y212">
        <v>946</v>
      </c>
      <c r="Z212" s="7">
        <v>0.95694444444444449</v>
      </c>
      <c r="AA212" s="7">
        <v>0.95694444444444449</v>
      </c>
      <c r="AB212" s="7">
        <v>0.94861111111111107</v>
      </c>
      <c r="AC21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213" spans="2:29" x14ac:dyDescent="0.25">
      <c r="B213" s="3">
        <v>2</v>
      </c>
      <c r="C213">
        <v>1</v>
      </c>
      <c r="D213">
        <v>5</v>
      </c>
      <c r="E213" s="29" t="s">
        <v>29</v>
      </c>
      <c r="F213" s="3">
        <v>836</v>
      </c>
      <c r="G213" s="3">
        <v>836</v>
      </c>
      <c r="H213" s="29" t="s">
        <v>51</v>
      </c>
      <c r="I213" s="3">
        <v>3</v>
      </c>
      <c r="J213" s="7">
        <v>0.87222222222222223</v>
      </c>
      <c r="K213" s="7">
        <v>0.87222222222222223</v>
      </c>
      <c r="L213" s="3">
        <f t="shared" si="7"/>
        <v>1</v>
      </c>
      <c r="M213" s="3">
        <f t="shared" si="8"/>
        <v>0</v>
      </c>
      <c r="N213" s="29">
        <f>_xlfn.MAXIFS($G$7:G212,$E$7:E212,detalhe_carro1[[#This Row],[Nó]],$B$7:B212,detalhe_carro1[[#This Row],[Numero Voltas]],$L$7:L212,1)</f>
        <v>645</v>
      </c>
      <c r="O213" s="3" t="str">
        <f>IF(OR(detalhe_carro1[[#This Row],[Ultima Chegada]]=0,detalhe_carro1[[#This Row],[Chegada]]=0),"",detalhe_carro1[[#This Row],[Hora Inicio]]-detalhe_carro1[[#This Row],[Ultima Chegada]])</f>
        <v/>
      </c>
      <c r="P213" s="3">
        <f>IF(detalhe_carro1[[#This Row],[Tipo]]="Visitar Nó",((detalhe_carro1[[#This Row],[Hora Fim]]-detalhe_carro1[[#This Row],[Hora Inicio]])/60*velocidade_nos),0)</f>
        <v>0</v>
      </c>
      <c r="Q213" s="29">
        <f>detalhe_carro1[[#This Row],[Kms Nós]]+detalhe_carro1[[#This Row],[kms]]</f>
        <v>3</v>
      </c>
      <c r="S213" s="20">
        <v>3</v>
      </c>
      <c r="T213" s="20">
        <v>1</v>
      </c>
      <c r="U213" s="20">
        <v>4</v>
      </c>
      <c r="V213" s="20" t="s">
        <v>27</v>
      </c>
      <c r="W213">
        <v>961</v>
      </c>
      <c r="X213">
        <v>961</v>
      </c>
      <c r="Y213">
        <v>943</v>
      </c>
      <c r="Z213" s="7">
        <v>0.95902777777777781</v>
      </c>
      <c r="AA213" s="7">
        <v>0.95902777777777781</v>
      </c>
      <c r="AB213" s="7">
        <v>0.94652777777777775</v>
      </c>
      <c r="AC21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14" spans="2:29" x14ac:dyDescent="0.25">
      <c r="B214" s="3">
        <v>2</v>
      </c>
      <c r="C214">
        <v>1</v>
      </c>
      <c r="D214">
        <v>6</v>
      </c>
      <c r="E214" s="29" t="s">
        <v>31</v>
      </c>
      <c r="F214" s="3">
        <v>839</v>
      </c>
      <c r="G214" s="3">
        <v>848</v>
      </c>
      <c r="H214" s="29" t="s">
        <v>50</v>
      </c>
      <c r="I214" s="3">
        <v>0</v>
      </c>
      <c r="J214" s="7">
        <v>0.87430555555555556</v>
      </c>
      <c r="K214" s="7">
        <v>0.88055555555555554</v>
      </c>
      <c r="L214" s="3">
        <f t="shared" si="7"/>
        <v>0</v>
      </c>
      <c r="M214" s="3">
        <f t="shared" si="8"/>
        <v>1</v>
      </c>
      <c r="N214" s="29">
        <f>_xlfn.MAXIFS($G$7:G213,$E$7:E213,detalhe_carro1[[#This Row],[Nó]],$B$7:B213,detalhe_carro1[[#This Row],[Numero Voltas]],$L$7:L213,1)</f>
        <v>611</v>
      </c>
      <c r="O214" s="3">
        <f>IF(OR(detalhe_carro1[[#This Row],[Ultima Chegada]]=0,detalhe_carro1[[#This Row],[Chegada]]=0),"",detalhe_carro1[[#This Row],[Hora Inicio]]-detalhe_carro1[[#This Row],[Ultima Chegada]])</f>
        <v>228</v>
      </c>
      <c r="P214" s="3">
        <f>IF(detalhe_carro1[[#This Row],[Tipo]]="Visitar Nó",((detalhe_carro1[[#This Row],[Hora Fim]]-detalhe_carro1[[#This Row],[Hora Inicio]])/60*velocidade_nos),0)</f>
        <v>4.5</v>
      </c>
      <c r="Q214" s="29">
        <f>detalhe_carro1[[#This Row],[Kms Nós]]+detalhe_carro1[[#This Row],[kms]]</f>
        <v>4.5</v>
      </c>
      <c r="S214" s="20">
        <v>3</v>
      </c>
      <c r="T214" s="20">
        <v>1</v>
      </c>
      <c r="U214" s="20">
        <v>3</v>
      </c>
      <c r="V214" s="20" t="s">
        <v>26</v>
      </c>
      <c r="W214">
        <v>962</v>
      </c>
      <c r="X214">
        <v>962</v>
      </c>
      <c r="Y214">
        <v>942</v>
      </c>
      <c r="Z214" s="7">
        <v>0.95972222222222225</v>
      </c>
      <c r="AA214" s="7">
        <v>0.95972222222222225</v>
      </c>
      <c r="AB214" s="7">
        <v>0.9458333333333333</v>
      </c>
      <c r="AC21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15" spans="2:29" x14ac:dyDescent="0.25">
      <c r="B215" s="3">
        <v>2</v>
      </c>
      <c r="C215">
        <v>1</v>
      </c>
      <c r="D215">
        <v>6</v>
      </c>
      <c r="E215" s="29" t="s">
        <v>31</v>
      </c>
      <c r="F215" s="3">
        <v>851</v>
      </c>
      <c r="G215" s="3">
        <v>851</v>
      </c>
      <c r="H215" s="29" t="s">
        <v>51</v>
      </c>
      <c r="I215" s="3">
        <v>3</v>
      </c>
      <c r="J215" s="7">
        <v>0.88263888888888886</v>
      </c>
      <c r="K215" s="7">
        <v>0.88263888888888886</v>
      </c>
      <c r="L215" s="3">
        <f t="shared" si="7"/>
        <v>1</v>
      </c>
      <c r="M215" s="3">
        <f t="shared" si="8"/>
        <v>0</v>
      </c>
      <c r="N215" s="29">
        <f>_xlfn.MAXIFS($G$7:G214,$E$7:E214,detalhe_carro1[[#This Row],[Nó]],$B$7:B214,detalhe_carro1[[#This Row],[Numero Voltas]],$L$7:L214,1)</f>
        <v>611</v>
      </c>
      <c r="O215" s="3" t="str">
        <f>IF(OR(detalhe_carro1[[#This Row],[Ultima Chegada]]=0,detalhe_carro1[[#This Row],[Chegada]]=0),"",detalhe_carro1[[#This Row],[Hora Inicio]]-detalhe_carro1[[#This Row],[Ultima Chegada]])</f>
        <v/>
      </c>
      <c r="P215" s="3">
        <f>IF(detalhe_carro1[[#This Row],[Tipo]]="Visitar Nó",((detalhe_carro1[[#This Row],[Hora Fim]]-detalhe_carro1[[#This Row],[Hora Inicio]])/60*velocidade_nos),0)</f>
        <v>0</v>
      </c>
      <c r="Q215" s="29">
        <f>detalhe_carro1[[#This Row],[Kms Nós]]+detalhe_carro1[[#This Row],[kms]]</f>
        <v>3</v>
      </c>
      <c r="S215" s="20">
        <v>3</v>
      </c>
      <c r="T215" s="20">
        <v>1</v>
      </c>
      <c r="U215" s="20">
        <v>2</v>
      </c>
      <c r="V215" s="20" t="s">
        <v>24</v>
      </c>
      <c r="W215">
        <v>963</v>
      </c>
      <c r="X215">
        <v>963</v>
      </c>
      <c r="Y215">
        <v>941</v>
      </c>
      <c r="Z215" s="7">
        <v>0.9604166666666667</v>
      </c>
      <c r="AA215" s="7">
        <v>0.9604166666666667</v>
      </c>
      <c r="AB215" s="7">
        <v>0.94513888888888886</v>
      </c>
      <c r="AC2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216" spans="2:29" x14ac:dyDescent="0.25">
      <c r="B216" s="3">
        <v>2</v>
      </c>
      <c r="C216">
        <v>1</v>
      </c>
      <c r="D216">
        <v>7</v>
      </c>
      <c r="E216" s="29" t="s">
        <v>33</v>
      </c>
      <c r="F216" s="3">
        <v>854</v>
      </c>
      <c r="G216" s="3">
        <v>854</v>
      </c>
      <c r="H216" s="29" t="s">
        <v>51</v>
      </c>
      <c r="I216" s="3">
        <v>3</v>
      </c>
      <c r="J216" s="7">
        <v>0.88472222222222219</v>
      </c>
      <c r="K216" s="7">
        <v>0.88472222222222219</v>
      </c>
      <c r="L216" s="3">
        <f t="shared" si="7"/>
        <v>0</v>
      </c>
      <c r="M216" s="3">
        <f t="shared" si="8"/>
        <v>1</v>
      </c>
      <c r="N216" s="29">
        <f>_xlfn.MAXIFS($G$7:G215,$E$7:E215,detalhe_carro1[[#This Row],[Nó]],$B$7:B215,detalhe_carro1[[#This Row],[Numero Voltas]],$L$7:L215,1)</f>
        <v>583</v>
      </c>
      <c r="O216" s="3">
        <f>IF(OR(detalhe_carro1[[#This Row],[Ultima Chegada]]=0,detalhe_carro1[[#This Row],[Chegada]]=0),"",detalhe_carro1[[#This Row],[Hora Inicio]]-detalhe_carro1[[#This Row],[Ultima Chegada]])</f>
        <v>271</v>
      </c>
      <c r="P216" s="3">
        <f>IF(detalhe_carro1[[#This Row],[Tipo]]="Visitar Nó",((detalhe_carro1[[#This Row],[Hora Fim]]-detalhe_carro1[[#This Row],[Hora Inicio]])/60*velocidade_nos),0)</f>
        <v>0</v>
      </c>
      <c r="Q216" s="29">
        <f>detalhe_carro1[[#This Row],[Kms Nós]]+detalhe_carro1[[#This Row],[kms]]</f>
        <v>3</v>
      </c>
      <c r="S216" s="20">
        <v>3</v>
      </c>
      <c r="T216" s="20">
        <v>1</v>
      </c>
      <c r="U216" s="20">
        <v>1</v>
      </c>
      <c r="V216" s="20" t="s">
        <v>22</v>
      </c>
      <c r="W216">
        <v>970</v>
      </c>
      <c r="X216">
        <v>970</v>
      </c>
      <c r="Y216">
        <v>934</v>
      </c>
      <c r="Z216" s="7">
        <v>0.96527777777777779</v>
      </c>
      <c r="AA216" s="7">
        <v>0.96527777777777779</v>
      </c>
      <c r="AB216" s="7">
        <v>0.94027777777777777</v>
      </c>
      <c r="AC2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217" spans="2:29" x14ac:dyDescent="0.25">
      <c r="B217" s="3">
        <v>2</v>
      </c>
      <c r="C217">
        <v>1</v>
      </c>
      <c r="D217">
        <v>7</v>
      </c>
      <c r="E217" s="29" t="s">
        <v>33</v>
      </c>
      <c r="F217" s="3">
        <v>854</v>
      </c>
      <c r="G217" s="3">
        <v>854</v>
      </c>
      <c r="H217" s="29" t="s">
        <v>51</v>
      </c>
      <c r="I217" s="3">
        <v>3</v>
      </c>
      <c r="J217" s="7">
        <v>0.88472222222222219</v>
      </c>
      <c r="K217" s="7">
        <v>0.88472222222222219</v>
      </c>
      <c r="L217" s="3">
        <f t="shared" si="7"/>
        <v>1</v>
      </c>
      <c r="M217" s="3">
        <f t="shared" si="8"/>
        <v>0</v>
      </c>
      <c r="N217" s="29">
        <f>_xlfn.MAXIFS($G$7:G216,$E$7:E216,detalhe_carro1[[#This Row],[Nó]],$B$7:B216,detalhe_carro1[[#This Row],[Numero Voltas]],$L$7:L216,1)</f>
        <v>583</v>
      </c>
      <c r="O217" s="3" t="str">
        <f>IF(OR(detalhe_carro1[[#This Row],[Ultima Chegada]]=0,detalhe_carro1[[#This Row],[Chegada]]=0),"",detalhe_carro1[[#This Row],[Hora Inicio]]-detalhe_carro1[[#This Row],[Ultima Chegada]])</f>
        <v/>
      </c>
      <c r="P217" s="3">
        <f>IF(detalhe_carro1[[#This Row],[Tipo]]="Visitar Nó",((detalhe_carro1[[#This Row],[Hora Fim]]-detalhe_carro1[[#This Row],[Hora Inicio]])/60*velocidade_nos),0)</f>
        <v>0</v>
      </c>
      <c r="Q217" s="29">
        <f>detalhe_carro1[[#This Row],[Kms Nós]]+detalhe_carro1[[#This Row],[kms]]</f>
        <v>3</v>
      </c>
      <c r="S217" s="20">
        <v>3</v>
      </c>
      <c r="T217" s="20">
        <v>1</v>
      </c>
      <c r="U217" s="20">
        <v>0</v>
      </c>
      <c r="V217" s="20" t="s">
        <v>20</v>
      </c>
      <c r="W217">
        <v>971</v>
      </c>
      <c r="X217">
        <v>971</v>
      </c>
      <c r="Y217">
        <v>933</v>
      </c>
      <c r="Z217" s="7">
        <v>0.96597222222222223</v>
      </c>
      <c r="AA217" s="7">
        <v>0.96597222222222223</v>
      </c>
      <c r="AB217" s="7">
        <v>0.93958333333333333</v>
      </c>
      <c r="AC2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18" spans="2:29" x14ac:dyDescent="0.25">
      <c r="B218" s="3">
        <v>2</v>
      </c>
      <c r="C218">
        <v>1</v>
      </c>
      <c r="D218">
        <v>6</v>
      </c>
      <c r="E218" s="29" t="s">
        <v>31</v>
      </c>
      <c r="F218" s="3">
        <v>857</v>
      </c>
      <c r="G218" s="3">
        <v>857</v>
      </c>
      <c r="H218" s="29" t="s">
        <v>51</v>
      </c>
      <c r="I218" s="3">
        <v>3</v>
      </c>
      <c r="J218" s="7">
        <v>0.88680555555555551</v>
      </c>
      <c r="K218" s="7">
        <v>0.88680555555555551</v>
      </c>
      <c r="L218" s="3">
        <f t="shared" si="7"/>
        <v>1</v>
      </c>
      <c r="M218" s="3">
        <f t="shared" si="8"/>
        <v>1</v>
      </c>
      <c r="N218" s="29">
        <f>_xlfn.MAXIFS($G$7:G217,$E$7:E217,detalhe_carro1[[#This Row],[Nó]],$B$7:B217,detalhe_carro1[[#This Row],[Numero Voltas]],$L$7:L217,1)</f>
        <v>851</v>
      </c>
      <c r="O218" s="3">
        <f>IF(OR(detalhe_carro1[[#This Row],[Ultima Chegada]]=0,detalhe_carro1[[#This Row],[Chegada]]=0),"",detalhe_carro1[[#This Row],[Hora Inicio]]-detalhe_carro1[[#This Row],[Ultima Chegada]])</f>
        <v>6</v>
      </c>
      <c r="P218" s="3">
        <f>IF(detalhe_carro1[[#This Row],[Tipo]]="Visitar Nó",((detalhe_carro1[[#This Row],[Hora Fim]]-detalhe_carro1[[#This Row],[Hora Inicio]])/60*velocidade_nos),0)</f>
        <v>0</v>
      </c>
      <c r="Q218" s="29">
        <f>detalhe_carro1[[#This Row],[Kms Nós]]+detalhe_carro1[[#This Row],[kms]]</f>
        <v>3</v>
      </c>
      <c r="S218" s="20">
        <v>3</v>
      </c>
      <c r="T218" s="20">
        <v>1</v>
      </c>
      <c r="U218" s="20">
        <v>1</v>
      </c>
      <c r="V218" s="20" t="s">
        <v>22</v>
      </c>
      <c r="W218">
        <v>972</v>
      </c>
      <c r="X218">
        <v>1033</v>
      </c>
      <c r="Y218">
        <v>970</v>
      </c>
      <c r="Z218" s="7">
        <v>0.96666666666666667</v>
      </c>
      <c r="AA218" s="7">
        <v>9.0277777777777769E-3</v>
      </c>
      <c r="AB218" s="7">
        <v>0.96527777777777779</v>
      </c>
      <c r="AC2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19" spans="2:29" x14ac:dyDescent="0.25">
      <c r="B219" s="3">
        <v>2</v>
      </c>
      <c r="C219">
        <v>1</v>
      </c>
      <c r="D219">
        <v>5</v>
      </c>
      <c r="E219" s="29" t="s">
        <v>29</v>
      </c>
      <c r="F219" s="3">
        <v>860</v>
      </c>
      <c r="G219" s="3">
        <v>860</v>
      </c>
      <c r="H219" s="29" t="s">
        <v>51</v>
      </c>
      <c r="I219" s="3">
        <v>3</v>
      </c>
      <c r="J219" s="7">
        <v>0.88888888888888884</v>
      </c>
      <c r="K219" s="7">
        <v>0.88888888888888884</v>
      </c>
      <c r="L219" s="3">
        <f t="shared" si="7"/>
        <v>1</v>
      </c>
      <c r="M219" s="3">
        <f t="shared" si="8"/>
        <v>1</v>
      </c>
      <c r="N219" s="29">
        <f>_xlfn.MAXIFS($G$7:G218,$E$7:E218,detalhe_carro1[[#This Row],[Nó]],$B$7:B218,detalhe_carro1[[#This Row],[Numero Voltas]],$L$7:L218,1)</f>
        <v>836</v>
      </c>
      <c r="O219" s="3">
        <f>IF(OR(detalhe_carro1[[#This Row],[Ultima Chegada]]=0,detalhe_carro1[[#This Row],[Chegada]]=0),"",detalhe_carro1[[#This Row],[Hora Inicio]]-detalhe_carro1[[#This Row],[Ultima Chegada]])</f>
        <v>24</v>
      </c>
      <c r="P219" s="3">
        <f>IF(detalhe_carro1[[#This Row],[Tipo]]="Visitar Nó",((detalhe_carro1[[#This Row],[Hora Fim]]-detalhe_carro1[[#This Row],[Hora Inicio]])/60*velocidade_nos),0)</f>
        <v>0</v>
      </c>
      <c r="Q219" s="29">
        <f>detalhe_carro1[[#This Row],[Kms Nós]]+detalhe_carro1[[#This Row],[kms]]</f>
        <v>3</v>
      </c>
      <c r="S219" s="20">
        <v>3</v>
      </c>
      <c r="T219" s="20">
        <v>1</v>
      </c>
      <c r="U219" s="20">
        <v>2</v>
      </c>
      <c r="V219" s="20" t="s">
        <v>24</v>
      </c>
      <c r="W219">
        <v>1040</v>
      </c>
      <c r="X219">
        <v>1040</v>
      </c>
      <c r="Y219">
        <v>963</v>
      </c>
      <c r="Z219" s="7">
        <v>1.3888888888888888E-2</v>
      </c>
      <c r="AA219" s="7">
        <v>1.3888888888888888E-2</v>
      </c>
      <c r="AB219" s="7">
        <v>0.9604166666666667</v>
      </c>
      <c r="AC2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1.2833333333333334</v>
      </c>
    </row>
    <row r="220" spans="2:29" x14ac:dyDescent="0.25">
      <c r="B220" s="3">
        <v>2</v>
      </c>
      <c r="C220">
        <v>1</v>
      </c>
      <c r="D220">
        <v>4</v>
      </c>
      <c r="E220" s="29" t="s">
        <v>27</v>
      </c>
      <c r="F220" s="3">
        <v>863</v>
      </c>
      <c r="G220" s="3">
        <v>863</v>
      </c>
      <c r="H220" s="29" t="s">
        <v>51</v>
      </c>
      <c r="I220" s="3">
        <v>3</v>
      </c>
      <c r="J220" s="7">
        <v>0.89097222222222228</v>
      </c>
      <c r="K220" s="7">
        <v>0.89097222222222228</v>
      </c>
      <c r="L220" s="3">
        <f t="shared" si="7"/>
        <v>1</v>
      </c>
      <c r="M220" s="3">
        <f t="shared" si="8"/>
        <v>1</v>
      </c>
      <c r="N220" s="29">
        <f>_xlfn.MAXIFS($G$7:G219,$E$7:E219,detalhe_carro1[[#This Row],[Nó]],$B$7:B219,detalhe_carro1[[#This Row],[Numero Voltas]],$L$7:L219,1)</f>
        <v>789</v>
      </c>
      <c r="O220" s="3">
        <f>IF(OR(detalhe_carro1[[#This Row],[Ultima Chegada]]=0,detalhe_carro1[[#This Row],[Chegada]]=0),"",detalhe_carro1[[#This Row],[Hora Inicio]]-detalhe_carro1[[#This Row],[Ultima Chegada]])</f>
        <v>74</v>
      </c>
      <c r="P220" s="3">
        <f>IF(detalhe_carro1[[#This Row],[Tipo]]="Visitar Nó",((detalhe_carro1[[#This Row],[Hora Fim]]-detalhe_carro1[[#This Row],[Hora Inicio]])/60*velocidade_nos),0)</f>
        <v>0</v>
      </c>
      <c r="Q220" s="29">
        <f>detalhe_carro1[[#This Row],[Kms Nós]]+detalhe_carro1[[#This Row],[kms]]</f>
        <v>3</v>
      </c>
      <c r="S220" s="20">
        <v>3</v>
      </c>
      <c r="T220" s="20">
        <v>1</v>
      </c>
      <c r="U220" s="20">
        <v>3</v>
      </c>
      <c r="V220" s="20" t="s">
        <v>26</v>
      </c>
      <c r="W220">
        <v>1041</v>
      </c>
      <c r="X220">
        <v>1041</v>
      </c>
      <c r="Y220">
        <v>962</v>
      </c>
      <c r="Z220" s="7">
        <v>1.4583333333333334E-2</v>
      </c>
      <c r="AA220" s="7">
        <v>1.4583333333333334E-2</v>
      </c>
      <c r="AB220" s="7">
        <v>0.95972222222222225</v>
      </c>
      <c r="AC2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1.3166666666666667</v>
      </c>
    </row>
    <row r="221" spans="2:29" x14ac:dyDescent="0.25">
      <c r="B221" s="3">
        <v>2</v>
      </c>
      <c r="C221">
        <v>1</v>
      </c>
      <c r="D221">
        <v>3</v>
      </c>
      <c r="E221" s="29" t="s">
        <v>26</v>
      </c>
      <c r="F221" s="3">
        <v>864</v>
      </c>
      <c r="G221" s="3">
        <v>864</v>
      </c>
      <c r="H221" s="29" t="s">
        <v>51</v>
      </c>
      <c r="I221" s="3">
        <v>1</v>
      </c>
      <c r="J221" s="7">
        <v>0.89166666666666672</v>
      </c>
      <c r="K221" s="7">
        <v>0.89166666666666672</v>
      </c>
      <c r="L221" s="3">
        <f t="shared" si="7"/>
        <v>1</v>
      </c>
      <c r="M221" s="3">
        <f t="shared" si="8"/>
        <v>1</v>
      </c>
      <c r="N221" s="29">
        <f>_xlfn.MAXIFS($G$7:G220,$E$7:E220,detalhe_carro1[[#This Row],[Nó]],$B$7:B220,detalhe_carro1[[#This Row],[Numero Voltas]],$L$7:L220,1)</f>
        <v>774</v>
      </c>
      <c r="O221" s="3">
        <f>IF(OR(detalhe_carro1[[#This Row],[Ultima Chegada]]=0,detalhe_carro1[[#This Row],[Chegada]]=0),"",detalhe_carro1[[#This Row],[Hora Inicio]]-detalhe_carro1[[#This Row],[Ultima Chegada]])</f>
        <v>90</v>
      </c>
      <c r="P221" s="3">
        <f>IF(detalhe_carro1[[#This Row],[Tipo]]="Visitar Nó",((detalhe_carro1[[#This Row],[Hora Fim]]-detalhe_carro1[[#This Row],[Hora Inicio]])/60*velocidade_nos),0)</f>
        <v>0</v>
      </c>
      <c r="Q221" s="29">
        <f>detalhe_carro1[[#This Row],[Kms Nós]]+detalhe_carro1[[#This Row],[kms]]</f>
        <v>1</v>
      </c>
      <c r="S221" s="20">
        <v>3</v>
      </c>
      <c r="T221" s="20">
        <v>1</v>
      </c>
      <c r="U221" s="20">
        <v>4</v>
      </c>
      <c r="V221" s="20" t="s">
        <v>27</v>
      </c>
      <c r="W221">
        <v>1042</v>
      </c>
      <c r="X221">
        <v>1042</v>
      </c>
      <c r="Y221">
        <v>961</v>
      </c>
      <c r="Z221" s="7">
        <v>1.5277777777777777E-2</v>
      </c>
      <c r="AA221" s="7">
        <v>1.5277777777777777E-2</v>
      </c>
      <c r="AB221" s="7">
        <v>0.95902777777777781</v>
      </c>
      <c r="AC2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1.35</v>
      </c>
    </row>
    <row r="222" spans="2:29" x14ac:dyDescent="0.25">
      <c r="B222" s="3">
        <v>2</v>
      </c>
      <c r="C222">
        <v>1</v>
      </c>
      <c r="D222">
        <v>2</v>
      </c>
      <c r="E222" s="29" t="s">
        <v>24</v>
      </c>
      <c r="F222" s="3">
        <v>865</v>
      </c>
      <c r="G222" s="3">
        <v>865</v>
      </c>
      <c r="H222" s="29" t="s">
        <v>51</v>
      </c>
      <c r="I222" s="3">
        <v>1</v>
      </c>
      <c r="J222" s="7">
        <v>0.89236111111111116</v>
      </c>
      <c r="K222" s="7">
        <v>0.89236111111111116</v>
      </c>
      <c r="L222" s="3">
        <f t="shared" si="7"/>
        <v>1</v>
      </c>
      <c r="M222" s="3">
        <f t="shared" si="8"/>
        <v>1</v>
      </c>
      <c r="N222" s="29">
        <f>_xlfn.MAXIFS($G$7:G221,$E$7:E221,detalhe_carro1[[#This Row],[Nó]],$B$7:B221,detalhe_carro1[[#This Row],[Numero Voltas]],$L$7:L221,1)</f>
        <v>762</v>
      </c>
      <c r="O222" s="3">
        <f>IF(OR(detalhe_carro1[[#This Row],[Ultima Chegada]]=0,detalhe_carro1[[#This Row],[Chegada]]=0),"",detalhe_carro1[[#This Row],[Hora Inicio]]-detalhe_carro1[[#This Row],[Ultima Chegada]])</f>
        <v>103</v>
      </c>
      <c r="P222" s="3">
        <f>IF(detalhe_carro1[[#This Row],[Tipo]]="Visitar Nó",((detalhe_carro1[[#This Row],[Hora Fim]]-detalhe_carro1[[#This Row],[Hora Inicio]])/60*velocidade_nos),0)</f>
        <v>0</v>
      </c>
      <c r="Q222" s="29">
        <f>detalhe_carro1[[#This Row],[Kms Nós]]+detalhe_carro1[[#This Row],[kms]]</f>
        <v>1</v>
      </c>
      <c r="S222" s="20">
        <v>3</v>
      </c>
      <c r="T222" s="20">
        <v>1</v>
      </c>
      <c r="U222" s="20">
        <v>5</v>
      </c>
      <c r="V222" s="20" t="s">
        <v>29</v>
      </c>
      <c r="W222">
        <v>1045</v>
      </c>
      <c r="X222">
        <v>1045</v>
      </c>
      <c r="Y222">
        <v>958</v>
      </c>
      <c r="Z222" s="7">
        <v>1.7361111111111112E-2</v>
      </c>
      <c r="AA222" s="7">
        <v>1.7361111111111112E-2</v>
      </c>
      <c r="AB222" s="7">
        <v>0.95694444444444449</v>
      </c>
      <c r="AC2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223" spans="2:29" x14ac:dyDescent="0.25">
      <c r="B223" s="3">
        <v>2</v>
      </c>
      <c r="C223">
        <v>1</v>
      </c>
      <c r="D223">
        <v>1</v>
      </c>
      <c r="E223" s="29" t="s">
        <v>22</v>
      </c>
      <c r="F223" s="3">
        <v>872</v>
      </c>
      <c r="G223" s="3">
        <v>872</v>
      </c>
      <c r="H223" s="29" t="s">
        <v>51</v>
      </c>
      <c r="I223" s="3">
        <v>7</v>
      </c>
      <c r="J223" s="7">
        <v>0.89722222222222225</v>
      </c>
      <c r="K223" s="7">
        <v>0.89722222222222225</v>
      </c>
      <c r="L223" s="3">
        <f t="shared" si="7"/>
        <v>1</v>
      </c>
      <c r="M223" s="3">
        <f t="shared" si="8"/>
        <v>1</v>
      </c>
      <c r="N223" s="29">
        <f>_xlfn.MAXIFS($G$7:G222,$E$7:E222,detalhe_carro1[[#This Row],[Nó]],$B$7:B222,detalhe_carro1[[#This Row],[Numero Voltas]],$L$7:L222,1)</f>
        <v>734</v>
      </c>
      <c r="O223" s="3">
        <f>IF(OR(detalhe_carro1[[#This Row],[Ultima Chegada]]=0,detalhe_carro1[[#This Row],[Chegada]]=0),"",detalhe_carro1[[#This Row],[Hora Inicio]]-detalhe_carro1[[#This Row],[Ultima Chegada]])</f>
        <v>138</v>
      </c>
      <c r="P223" s="3">
        <f>IF(detalhe_carro1[[#This Row],[Tipo]]="Visitar Nó",((detalhe_carro1[[#This Row],[Hora Fim]]-detalhe_carro1[[#This Row],[Hora Inicio]])/60*velocidade_nos),0)</f>
        <v>0</v>
      </c>
      <c r="Q223" s="29">
        <f>detalhe_carro1[[#This Row],[Kms Nós]]+detalhe_carro1[[#This Row],[kms]]</f>
        <v>7</v>
      </c>
      <c r="S223" s="20">
        <v>3</v>
      </c>
      <c r="T223" s="20">
        <v>1</v>
      </c>
      <c r="U223" s="20">
        <v>6</v>
      </c>
      <c r="V223" s="20" t="s">
        <v>31</v>
      </c>
      <c r="W223">
        <v>1048</v>
      </c>
      <c r="X223">
        <v>1048</v>
      </c>
      <c r="Y223">
        <v>955</v>
      </c>
      <c r="Z223" s="7">
        <v>1.9444444444444445E-2</v>
      </c>
      <c r="AA223" s="7">
        <v>1.9444444444444445E-2</v>
      </c>
      <c r="AB223" s="7">
        <v>0.95486111111111116</v>
      </c>
      <c r="AC2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1.55</v>
      </c>
    </row>
    <row r="224" spans="2:29" x14ac:dyDescent="0.25">
      <c r="B224" s="3">
        <v>2</v>
      </c>
      <c r="C224">
        <v>1</v>
      </c>
      <c r="D224">
        <v>0</v>
      </c>
      <c r="E224" s="29" t="s">
        <v>20</v>
      </c>
      <c r="F224" s="3">
        <v>873</v>
      </c>
      <c r="G224" s="3">
        <v>873</v>
      </c>
      <c r="H224" s="29" t="s">
        <v>51</v>
      </c>
      <c r="I224" s="3">
        <v>1</v>
      </c>
      <c r="J224" s="7">
        <v>0.8979166666666667</v>
      </c>
      <c r="K224" s="7">
        <v>0.8979166666666667</v>
      </c>
      <c r="L224" s="3">
        <f t="shared" si="7"/>
        <v>0</v>
      </c>
      <c r="M224" s="3">
        <f t="shared" si="8"/>
        <v>1</v>
      </c>
      <c r="N224" s="29">
        <f>_xlfn.MAXIFS($G$7:G223,$E$7:E223,detalhe_carro1[[#This Row],[Nó]],$B$7:B223,detalhe_carro1[[#This Row],[Numero Voltas]],$L$7:L223,1)</f>
        <v>727</v>
      </c>
      <c r="O224" s="3">
        <f>IF(OR(detalhe_carro1[[#This Row],[Ultima Chegada]]=0,detalhe_carro1[[#This Row],[Chegada]]=0),"",detalhe_carro1[[#This Row],[Hora Inicio]]-detalhe_carro1[[#This Row],[Ultima Chegada]])</f>
        <v>146</v>
      </c>
      <c r="P224" s="3">
        <f>IF(detalhe_carro1[[#This Row],[Tipo]]="Visitar Nó",((detalhe_carro1[[#This Row],[Hora Fim]]-detalhe_carro1[[#This Row],[Hora Inicio]])/60*velocidade_nos),0)</f>
        <v>0</v>
      </c>
      <c r="Q224" s="29">
        <f>detalhe_carro1[[#This Row],[Kms Nós]]+detalhe_carro1[[#This Row],[kms]]</f>
        <v>1</v>
      </c>
      <c r="S224" s="20">
        <v>3</v>
      </c>
      <c r="T224" s="20">
        <v>1</v>
      </c>
      <c r="U224" s="20">
        <v>7</v>
      </c>
      <c r="V224" s="20" t="s">
        <v>33</v>
      </c>
      <c r="W224">
        <v>1051</v>
      </c>
      <c r="X224">
        <v>1051</v>
      </c>
      <c r="Y224">
        <v>952</v>
      </c>
      <c r="Z224" s="7">
        <v>2.1527777777777778E-2</v>
      </c>
      <c r="AA224" s="7">
        <v>2.1527777777777778E-2</v>
      </c>
      <c r="AB224" s="7">
        <v>0.95277777777777772</v>
      </c>
      <c r="AC2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1.65</v>
      </c>
    </row>
    <row r="225" spans="2:29" x14ac:dyDescent="0.25">
      <c r="B225" s="3">
        <v>2</v>
      </c>
      <c r="C225">
        <v>1</v>
      </c>
      <c r="D225">
        <v>0</v>
      </c>
      <c r="E225" s="29" t="s">
        <v>20</v>
      </c>
      <c r="F225" s="3">
        <v>873</v>
      </c>
      <c r="G225" s="3">
        <v>873</v>
      </c>
      <c r="H225" s="29" t="s">
        <v>51</v>
      </c>
      <c r="I225" s="3">
        <v>1</v>
      </c>
      <c r="J225" s="7">
        <v>0.8979166666666667</v>
      </c>
      <c r="K225" s="7">
        <v>0.8979166666666667</v>
      </c>
      <c r="L225" s="3">
        <f t="shared" si="7"/>
        <v>1</v>
      </c>
      <c r="M225" s="3">
        <f t="shared" si="8"/>
        <v>0</v>
      </c>
      <c r="N225" s="29">
        <f>_xlfn.MAXIFS($G$7:G224,$E$7:E224,detalhe_carro1[[#This Row],[Nó]],$B$7:B224,detalhe_carro1[[#This Row],[Numero Voltas]],$L$7:L224,1)</f>
        <v>727</v>
      </c>
      <c r="O225" s="3" t="str">
        <f>IF(OR(detalhe_carro1[[#This Row],[Ultima Chegada]]=0,detalhe_carro1[[#This Row],[Chegada]]=0),"",detalhe_carro1[[#This Row],[Hora Inicio]]-detalhe_carro1[[#This Row],[Ultima Chegada]])</f>
        <v/>
      </c>
      <c r="P225" s="3">
        <f>IF(detalhe_carro1[[#This Row],[Tipo]]="Visitar Nó",((detalhe_carro1[[#This Row],[Hora Fim]]-detalhe_carro1[[#This Row],[Hora Inicio]])/60*velocidade_nos),0)</f>
        <v>0</v>
      </c>
      <c r="Q225" s="29">
        <f>detalhe_carro1[[#This Row],[Kms Nós]]+detalhe_carro1[[#This Row],[kms]]</f>
        <v>1</v>
      </c>
      <c r="S225" s="20">
        <v>3</v>
      </c>
      <c r="T225" s="20">
        <v>2</v>
      </c>
      <c r="U225" s="20">
        <v>7</v>
      </c>
      <c r="V225" s="20" t="s">
        <v>33</v>
      </c>
      <c r="W225">
        <v>990</v>
      </c>
      <c r="X225">
        <v>1063</v>
      </c>
      <c r="Y225">
        <v>1051</v>
      </c>
      <c r="Z225" s="7">
        <v>0.97916666666666663</v>
      </c>
      <c r="AA225" s="7">
        <v>2.9861111111111113E-2</v>
      </c>
      <c r="AB225" s="7">
        <v>2.1527777777777778E-2</v>
      </c>
      <c r="AC2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-1.0166666666666666</v>
      </c>
    </row>
    <row r="226" spans="2:29" x14ac:dyDescent="0.25">
      <c r="B226" s="3">
        <v>2</v>
      </c>
      <c r="C226">
        <v>1</v>
      </c>
      <c r="D226">
        <v>1</v>
      </c>
      <c r="E226" s="29" t="s">
        <v>22</v>
      </c>
      <c r="F226" s="3">
        <v>874</v>
      </c>
      <c r="G226" s="3">
        <v>953</v>
      </c>
      <c r="H226" s="29" t="s">
        <v>52</v>
      </c>
      <c r="I226" s="3">
        <v>0</v>
      </c>
      <c r="J226" s="7">
        <v>0.89861111111111114</v>
      </c>
      <c r="K226" s="7">
        <v>0.95347222222222228</v>
      </c>
      <c r="L226" s="3">
        <f t="shared" si="7"/>
        <v>0</v>
      </c>
      <c r="M226" s="3">
        <f t="shared" si="8"/>
        <v>1</v>
      </c>
      <c r="N226" s="29">
        <f>_xlfn.MAXIFS($G$7:G225,$E$7:E225,detalhe_carro1[[#This Row],[Nó]],$B$7:B225,detalhe_carro1[[#This Row],[Numero Voltas]],$L$7:L225,1)</f>
        <v>872</v>
      </c>
      <c r="O226" s="3">
        <f>IF(OR(detalhe_carro1[[#This Row],[Ultima Chegada]]=0,detalhe_carro1[[#This Row],[Chegada]]=0),"",detalhe_carro1[[#This Row],[Hora Inicio]]-detalhe_carro1[[#This Row],[Ultima Chegada]])</f>
        <v>2</v>
      </c>
      <c r="P226" s="3">
        <f>IF(detalhe_carro1[[#This Row],[Tipo]]="Visitar Nó",((detalhe_carro1[[#This Row],[Hora Fim]]-detalhe_carro1[[#This Row],[Hora Inicio]])/60*velocidade_nos),0)</f>
        <v>0</v>
      </c>
      <c r="Q226" s="29">
        <f>detalhe_carro1[[#This Row],[Kms Nós]]+detalhe_carro1[[#This Row],[kms]]</f>
        <v>0</v>
      </c>
      <c r="S226" s="20">
        <v>3</v>
      </c>
      <c r="T226" s="20">
        <v>2</v>
      </c>
      <c r="U226" s="20">
        <v>6</v>
      </c>
      <c r="V226" s="20" t="s">
        <v>31</v>
      </c>
      <c r="W226">
        <v>1066</v>
      </c>
      <c r="X226">
        <v>1091</v>
      </c>
      <c r="Y226">
        <v>1048</v>
      </c>
      <c r="Z226" s="7">
        <v>3.1944444444444442E-2</v>
      </c>
      <c r="AA226" s="7">
        <v>4.9305555555555554E-2</v>
      </c>
      <c r="AB226" s="7">
        <v>1.9444444444444445E-2</v>
      </c>
      <c r="AC2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27" spans="2:29" x14ac:dyDescent="0.25">
      <c r="B227" s="3">
        <v>2</v>
      </c>
      <c r="C227">
        <v>1</v>
      </c>
      <c r="D227">
        <v>1</v>
      </c>
      <c r="E227" s="29" t="s">
        <v>22</v>
      </c>
      <c r="F227" s="3">
        <v>954</v>
      </c>
      <c r="G227" s="3">
        <v>954</v>
      </c>
      <c r="H227" s="29" t="s">
        <v>51</v>
      </c>
      <c r="I227" s="3">
        <v>1</v>
      </c>
      <c r="J227" s="7">
        <v>0.95416666666666672</v>
      </c>
      <c r="K227" s="7">
        <v>0.95416666666666672</v>
      </c>
      <c r="L227" s="3">
        <f t="shared" si="7"/>
        <v>1</v>
      </c>
      <c r="M227" s="3">
        <f t="shared" si="8"/>
        <v>0</v>
      </c>
      <c r="N227" s="29">
        <f>_xlfn.MAXIFS($G$7:G226,$E$7:E226,detalhe_carro1[[#This Row],[Nó]],$B$7:B226,detalhe_carro1[[#This Row],[Numero Voltas]],$L$7:L226,1)</f>
        <v>872</v>
      </c>
      <c r="O227" s="3" t="str">
        <f>IF(OR(detalhe_carro1[[#This Row],[Ultima Chegada]]=0,detalhe_carro1[[#This Row],[Chegada]]=0),"",detalhe_carro1[[#This Row],[Hora Inicio]]-detalhe_carro1[[#This Row],[Ultima Chegada]])</f>
        <v/>
      </c>
      <c r="P227" s="3">
        <f>IF(detalhe_carro1[[#This Row],[Tipo]]="Visitar Nó",((detalhe_carro1[[#This Row],[Hora Fim]]-detalhe_carro1[[#This Row],[Hora Inicio]])/60*velocidade_nos),0)</f>
        <v>0</v>
      </c>
      <c r="Q227" s="29">
        <f>detalhe_carro1[[#This Row],[Kms Nós]]+detalhe_carro1[[#This Row],[kms]]</f>
        <v>1</v>
      </c>
      <c r="S227" s="20">
        <v>3</v>
      </c>
      <c r="T227" s="20">
        <v>2</v>
      </c>
      <c r="U227" s="20">
        <v>5</v>
      </c>
      <c r="V227" s="20" t="s">
        <v>29</v>
      </c>
      <c r="W227">
        <v>1094</v>
      </c>
      <c r="X227">
        <v>1125</v>
      </c>
      <c r="Y227">
        <v>1045</v>
      </c>
      <c r="Z227" s="7">
        <v>5.1388888888888887E-2</v>
      </c>
      <c r="AA227" s="7">
        <v>7.2916666666666671E-2</v>
      </c>
      <c r="AB227" s="7">
        <v>1.7361111111111112E-2</v>
      </c>
      <c r="AC2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0.81666666666666665</v>
      </c>
    </row>
    <row r="228" spans="2:29" x14ac:dyDescent="0.25">
      <c r="B228" s="3">
        <v>2</v>
      </c>
      <c r="C228">
        <v>1</v>
      </c>
      <c r="D228">
        <v>2</v>
      </c>
      <c r="E228" s="29" t="s">
        <v>24</v>
      </c>
      <c r="F228" s="3">
        <v>961</v>
      </c>
      <c r="G228" s="3">
        <v>961</v>
      </c>
      <c r="H228" s="29" t="s">
        <v>51</v>
      </c>
      <c r="I228" s="3">
        <v>7</v>
      </c>
      <c r="J228" s="7">
        <v>0.95902777777777781</v>
      </c>
      <c r="K228" s="7">
        <v>0.95902777777777781</v>
      </c>
      <c r="L228" s="3">
        <f t="shared" si="7"/>
        <v>1</v>
      </c>
      <c r="M228" s="3">
        <f t="shared" si="8"/>
        <v>1</v>
      </c>
      <c r="N228" s="29">
        <f>_xlfn.MAXIFS($G$7:G227,$E$7:E227,detalhe_carro1[[#This Row],[Nó]],$B$7:B227,detalhe_carro1[[#This Row],[Numero Voltas]],$L$7:L227,1)</f>
        <v>865</v>
      </c>
      <c r="O228" s="3">
        <f>IF(OR(detalhe_carro1[[#This Row],[Ultima Chegada]]=0,detalhe_carro1[[#This Row],[Chegada]]=0),"",detalhe_carro1[[#This Row],[Hora Inicio]]-detalhe_carro1[[#This Row],[Ultima Chegada]])</f>
        <v>96</v>
      </c>
      <c r="P228" s="3">
        <f>IF(detalhe_carro1[[#This Row],[Tipo]]="Visitar Nó",((detalhe_carro1[[#This Row],[Hora Fim]]-detalhe_carro1[[#This Row],[Hora Inicio]])/60*velocidade_nos),0)</f>
        <v>0</v>
      </c>
      <c r="Q228" s="29">
        <f>detalhe_carro1[[#This Row],[Kms Nós]]+detalhe_carro1[[#This Row],[kms]]</f>
        <v>7</v>
      </c>
      <c r="S228" s="20">
        <v>3</v>
      </c>
      <c r="T228" s="20">
        <v>2</v>
      </c>
      <c r="U228" s="20">
        <v>4</v>
      </c>
      <c r="V228" s="20" t="s">
        <v>27</v>
      </c>
      <c r="W228">
        <v>1128</v>
      </c>
      <c r="X228">
        <v>1144</v>
      </c>
      <c r="Y228">
        <v>1042</v>
      </c>
      <c r="Z228" s="7">
        <v>7.4999999999999997E-2</v>
      </c>
      <c r="AA228" s="7">
        <v>8.611111111111111E-2</v>
      </c>
      <c r="AB228" s="7">
        <v>1.5277777777777777E-2</v>
      </c>
      <c r="AC2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1.4333333333333333</v>
      </c>
    </row>
    <row r="229" spans="2:29" x14ac:dyDescent="0.25">
      <c r="B229" s="3">
        <v>2</v>
      </c>
      <c r="C229">
        <v>1</v>
      </c>
      <c r="D229">
        <v>3</v>
      </c>
      <c r="E229" s="29" t="s">
        <v>26</v>
      </c>
      <c r="F229" s="3">
        <v>962</v>
      </c>
      <c r="G229" s="3">
        <v>962</v>
      </c>
      <c r="H229" s="29" t="s">
        <v>51</v>
      </c>
      <c r="I229" s="3">
        <v>1</v>
      </c>
      <c r="J229" s="7">
        <v>0.95972222222222225</v>
      </c>
      <c r="K229" s="7">
        <v>0.95972222222222225</v>
      </c>
      <c r="L229" s="3">
        <f t="shared" si="7"/>
        <v>1</v>
      </c>
      <c r="M229" s="3">
        <f t="shared" si="8"/>
        <v>1</v>
      </c>
      <c r="N229" s="29">
        <f>_xlfn.MAXIFS($G$7:G228,$E$7:E228,detalhe_carro1[[#This Row],[Nó]],$B$7:B228,detalhe_carro1[[#This Row],[Numero Voltas]],$L$7:L228,1)</f>
        <v>864</v>
      </c>
      <c r="O229" s="3">
        <f>IF(OR(detalhe_carro1[[#This Row],[Ultima Chegada]]=0,detalhe_carro1[[#This Row],[Chegada]]=0),"",detalhe_carro1[[#This Row],[Hora Inicio]]-detalhe_carro1[[#This Row],[Ultima Chegada]])</f>
        <v>98</v>
      </c>
      <c r="P229" s="3">
        <f>IF(detalhe_carro1[[#This Row],[Tipo]]="Visitar Nó",((detalhe_carro1[[#This Row],[Hora Fim]]-detalhe_carro1[[#This Row],[Hora Inicio]])/60*velocidade_nos),0)</f>
        <v>0</v>
      </c>
      <c r="Q229" s="29">
        <f>detalhe_carro1[[#This Row],[Kms Nós]]+detalhe_carro1[[#This Row],[kms]]</f>
        <v>1</v>
      </c>
      <c r="S229" s="20">
        <v>3</v>
      </c>
      <c r="T229" s="20">
        <v>2</v>
      </c>
      <c r="U229" s="20">
        <v>3</v>
      </c>
      <c r="V229" s="20" t="s">
        <v>26</v>
      </c>
      <c r="W229">
        <v>1145</v>
      </c>
      <c r="X229">
        <v>1156</v>
      </c>
      <c r="Y229">
        <v>1041</v>
      </c>
      <c r="Z229" s="7">
        <v>8.6805555555555552E-2</v>
      </c>
      <c r="AA229" s="7">
        <v>9.4444444444444442E-2</v>
      </c>
      <c r="AB229" s="7">
        <v>1.4583333333333334E-2</v>
      </c>
      <c r="AC2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1.7333333333333334</v>
      </c>
    </row>
    <row r="230" spans="2:29" x14ac:dyDescent="0.25">
      <c r="B230" s="3">
        <v>2</v>
      </c>
      <c r="C230">
        <v>1</v>
      </c>
      <c r="D230">
        <v>4</v>
      </c>
      <c r="E230" s="29" t="s">
        <v>27</v>
      </c>
      <c r="F230" s="3">
        <v>963</v>
      </c>
      <c r="G230" s="3">
        <v>963</v>
      </c>
      <c r="H230" s="29" t="s">
        <v>51</v>
      </c>
      <c r="I230" s="3">
        <v>1</v>
      </c>
      <c r="J230" s="7">
        <v>0.9604166666666667</v>
      </c>
      <c r="K230" s="7">
        <v>0.9604166666666667</v>
      </c>
      <c r="L230" s="3">
        <f t="shared" si="7"/>
        <v>1</v>
      </c>
      <c r="M230" s="3">
        <f t="shared" si="8"/>
        <v>1</v>
      </c>
      <c r="N230" s="29">
        <f>_xlfn.MAXIFS($G$7:G229,$E$7:E229,detalhe_carro1[[#This Row],[Nó]],$B$7:B229,detalhe_carro1[[#This Row],[Numero Voltas]],$L$7:L229,1)</f>
        <v>863</v>
      </c>
      <c r="O230" s="3">
        <f>IF(OR(detalhe_carro1[[#This Row],[Ultima Chegada]]=0,detalhe_carro1[[#This Row],[Chegada]]=0),"",detalhe_carro1[[#This Row],[Hora Inicio]]-detalhe_carro1[[#This Row],[Ultima Chegada]])</f>
        <v>100</v>
      </c>
      <c r="P230" s="3">
        <f>IF(detalhe_carro1[[#This Row],[Tipo]]="Visitar Nó",((detalhe_carro1[[#This Row],[Hora Fim]]-detalhe_carro1[[#This Row],[Hora Inicio]])/60*velocidade_nos),0)</f>
        <v>0</v>
      </c>
      <c r="Q230" s="29">
        <f>detalhe_carro1[[#This Row],[Kms Nós]]+detalhe_carro1[[#This Row],[kms]]</f>
        <v>1</v>
      </c>
      <c r="S230" s="20">
        <v>3</v>
      </c>
      <c r="T230" s="20">
        <v>2</v>
      </c>
      <c r="U230" s="20">
        <v>2</v>
      </c>
      <c r="V230" s="20" t="s">
        <v>24</v>
      </c>
      <c r="W230">
        <v>1157</v>
      </c>
      <c r="X230">
        <v>1172</v>
      </c>
      <c r="Y230">
        <v>1040</v>
      </c>
      <c r="Z230" s="7">
        <v>9.5138888888888884E-2</v>
      </c>
      <c r="AA230" s="7">
        <v>0.10555555555555556</v>
      </c>
      <c r="AB230" s="7">
        <v>1.3888888888888888E-2</v>
      </c>
      <c r="AC2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1.95</v>
      </c>
    </row>
    <row r="231" spans="2:29" x14ac:dyDescent="0.25">
      <c r="B231" s="3">
        <v>2</v>
      </c>
      <c r="C231">
        <v>1</v>
      </c>
      <c r="D231">
        <v>5</v>
      </c>
      <c r="E231" s="29" t="s">
        <v>29</v>
      </c>
      <c r="F231" s="3">
        <v>966</v>
      </c>
      <c r="G231" s="3">
        <v>966</v>
      </c>
      <c r="H231" s="29" t="s">
        <v>51</v>
      </c>
      <c r="I231" s="3">
        <v>3</v>
      </c>
      <c r="J231" s="7">
        <v>0.96250000000000002</v>
      </c>
      <c r="K231" s="7">
        <v>0.96250000000000002</v>
      </c>
      <c r="L231" s="3">
        <f t="shared" si="7"/>
        <v>1</v>
      </c>
      <c r="M231" s="3">
        <f t="shared" si="8"/>
        <v>1</v>
      </c>
      <c r="N231" s="29">
        <f>_xlfn.MAXIFS($G$7:G230,$E$7:E230,detalhe_carro1[[#This Row],[Nó]],$B$7:B230,detalhe_carro1[[#This Row],[Numero Voltas]],$L$7:L230,1)</f>
        <v>860</v>
      </c>
      <c r="O231" s="3">
        <f>IF(OR(detalhe_carro1[[#This Row],[Ultima Chegada]]=0,detalhe_carro1[[#This Row],[Chegada]]=0),"",detalhe_carro1[[#This Row],[Hora Inicio]]-detalhe_carro1[[#This Row],[Ultima Chegada]])</f>
        <v>106</v>
      </c>
      <c r="P231" s="3">
        <f>IF(detalhe_carro1[[#This Row],[Tipo]]="Visitar Nó",((detalhe_carro1[[#This Row],[Hora Fim]]-detalhe_carro1[[#This Row],[Hora Inicio]])/60*velocidade_nos),0)</f>
        <v>0</v>
      </c>
      <c r="Q231" s="29">
        <f>detalhe_carro1[[#This Row],[Kms Nós]]+detalhe_carro1[[#This Row],[kms]]</f>
        <v>3</v>
      </c>
      <c r="S231" s="20">
        <v>3</v>
      </c>
      <c r="T231" s="20">
        <v>2</v>
      </c>
      <c r="U231" s="20">
        <v>1</v>
      </c>
      <c r="V231" s="20" t="s">
        <v>22</v>
      </c>
      <c r="W231">
        <v>1179</v>
      </c>
      <c r="X231">
        <v>1191</v>
      </c>
      <c r="Y231">
        <v>1033</v>
      </c>
      <c r="Z231" s="7">
        <v>0.11041666666666666</v>
      </c>
      <c r="AA231" s="7">
        <v>0.11874999999999999</v>
      </c>
      <c r="AB231" s="7">
        <v>9.0277777777777769E-3</v>
      </c>
      <c r="AC2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2.4333333333333331</v>
      </c>
    </row>
    <row r="232" spans="2:29" x14ac:dyDescent="0.25">
      <c r="B232" s="3">
        <v>2</v>
      </c>
      <c r="C232">
        <v>1</v>
      </c>
      <c r="D232">
        <v>6</v>
      </c>
      <c r="E232" s="29" t="s">
        <v>31</v>
      </c>
      <c r="F232" s="3">
        <v>969</v>
      </c>
      <c r="G232" s="3">
        <v>1048</v>
      </c>
      <c r="H232" s="29" t="s">
        <v>52</v>
      </c>
      <c r="I232" s="3">
        <v>0</v>
      </c>
      <c r="J232" s="7">
        <v>0.96458333333333335</v>
      </c>
      <c r="K232" s="7">
        <v>1.9444444444444445E-2</v>
      </c>
      <c r="L232" s="3">
        <f t="shared" si="7"/>
        <v>0</v>
      </c>
      <c r="M232" s="3">
        <f t="shared" si="8"/>
        <v>1</v>
      </c>
      <c r="N232" s="29">
        <f>_xlfn.MAXIFS($G$7:G231,$E$7:E231,detalhe_carro1[[#This Row],[Nó]],$B$7:B231,detalhe_carro1[[#This Row],[Numero Voltas]],$L$7:L231,1)</f>
        <v>857</v>
      </c>
      <c r="O232" s="3">
        <f>IF(OR(detalhe_carro1[[#This Row],[Ultima Chegada]]=0,detalhe_carro1[[#This Row],[Chegada]]=0),"",detalhe_carro1[[#This Row],[Hora Inicio]]-detalhe_carro1[[#This Row],[Ultima Chegada]])</f>
        <v>112</v>
      </c>
      <c r="P232" s="3">
        <f>IF(detalhe_carro1[[#This Row],[Tipo]]="Visitar Nó",((detalhe_carro1[[#This Row],[Hora Fim]]-detalhe_carro1[[#This Row],[Hora Inicio]])/60*velocidade_nos),0)</f>
        <v>0</v>
      </c>
      <c r="Q232" s="29">
        <f>detalhe_carro1[[#This Row],[Kms Nós]]+detalhe_carro1[[#This Row],[kms]]</f>
        <v>0</v>
      </c>
      <c r="S232" s="20">
        <v>3</v>
      </c>
      <c r="T232" s="20">
        <v>2</v>
      </c>
      <c r="U232" s="20">
        <v>0</v>
      </c>
      <c r="V232" s="20" t="s">
        <v>20</v>
      </c>
      <c r="W232">
        <v>1192</v>
      </c>
      <c r="X232">
        <v>1207</v>
      </c>
      <c r="Y232">
        <v>971</v>
      </c>
      <c r="Z232" s="7">
        <v>0.11944444444444445</v>
      </c>
      <c r="AA232" s="7">
        <v>0.12986111111111112</v>
      </c>
      <c r="AB232" s="7">
        <v>0.96597222222222223</v>
      </c>
      <c r="AC2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3.6833333333333331</v>
      </c>
    </row>
    <row r="233" spans="2:29" x14ac:dyDescent="0.25">
      <c r="B233" s="3">
        <v>2</v>
      </c>
      <c r="C233">
        <v>1</v>
      </c>
      <c r="D233">
        <v>6</v>
      </c>
      <c r="E233" s="29" t="s">
        <v>31</v>
      </c>
      <c r="F233" s="3">
        <v>1051</v>
      </c>
      <c r="G233" s="3">
        <v>1051</v>
      </c>
      <c r="H233" s="29" t="s">
        <v>51</v>
      </c>
      <c r="I233" s="3">
        <v>3</v>
      </c>
      <c r="J233" s="7">
        <v>2.1527777777777778E-2</v>
      </c>
      <c r="K233" s="7">
        <v>2.1527777777777778E-2</v>
      </c>
      <c r="L233" s="3">
        <f t="shared" si="7"/>
        <v>1</v>
      </c>
      <c r="M233" s="3">
        <f t="shared" si="8"/>
        <v>0</v>
      </c>
      <c r="N233" s="29">
        <f>_xlfn.MAXIFS($G$7:G232,$E$7:E232,detalhe_carro1[[#This Row],[Nó]],$B$7:B232,detalhe_carro1[[#This Row],[Numero Voltas]],$L$7:L232,1)</f>
        <v>857</v>
      </c>
      <c r="O233" s="3" t="str">
        <f>IF(OR(detalhe_carro1[[#This Row],[Ultima Chegada]]=0,detalhe_carro1[[#This Row],[Chegada]]=0),"",detalhe_carro1[[#This Row],[Hora Inicio]]-detalhe_carro1[[#This Row],[Ultima Chegada]])</f>
        <v/>
      </c>
      <c r="P233" s="3">
        <f>IF(detalhe_carro1[[#This Row],[Tipo]]="Visitar Nó",((detalhe_carro1[[#This Row],[Hora Fim]]-detalhe_carro1[[#This Row],[Hora Inicio]])/60*velocidade_nos),0)</f>
        <v>0</v>
      </c>
      <c r="Q233" s="29">
        <f>detalhe_carro1[[#This Row],[Kms Nós]]+detalhe_carro1[[#This Row],[kms]]</f>
        <v>3</v>
      </c>
      <c r="S233" s="20">
        <v>3</v>
      </c>
      <c r="T233" s="20">
        <v>2</v>
      </c>
      <c r="U233" s="20">
        <v>1</v>
      </c>
      <c r="V233" s="20" t="s">
        <v>22</v>
      </c>
      <c r="W233">
        <v>1208</v>
      </c>
      <c r="X233">
        <v>1214</v>
      </c>
      <c r="Y233">
        <v>1191</v>
      </c>
      <c r="Z233" s="7">
        <v>0.13055555555555556</v>
      </c>
      <c r="AA233" s="7">
        <v>0.13472222222222222</v>
      </c>
      <c r="AB233" s="7">
        <v>0.11874999999999999</v>
      </c>
      <c r="AC2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234" spans="2:29" x14ac:dyDescent="0.25">
      <c r="B234" s="3">
        <v>2</v>
      </c>
      <c r="C234">
        <v>1</v>
      </c>
      <c r="D234">
        <v>7</v>
      </c>
      <c r="E234" s="29" t="s">
        <v>33</v>
      </c>
      <c r="F234" s="3">
        <v>1054</v>
      </c>
      <c r="G234" s="3">
        <v>1054</v>
      </c>
      <c r="H234" s="29" t="s">
        <v>51</v>
      </c>
      <c r="I234" s="3">
        <v>3</v>
      </c>
      <c r="J234" s="7">
        <v>2.361111111111111E-2</v>
      </c>
      <c r="K234" s="7">
        <v>2.361111111111111E-2</v>
      </c>
      <c r="L234" s="3">
        <f t="shared" si="7"/>
        <v>0</v>
      </c>
      <c r="M234" s="3">
        <f t="shared" si="8"/>
        <v>1</v>
      </c>
      <c r="N234" s="29">
        <f>_xlfn.MAXIFS($G$7:G233,$E$7:E233,detalhe_carro1[[#This Row],[Nó]],$B$7:B233,detalhe_carro1[[#This Row],[Numero Voltas]],$L$7:L233,1)</f>
        <v>854</v>
      </c>
      <c r="O234" s="3">
        <f>IF(OR(detalhe_carro1[[#This Row],[Ultima Chegada]]=0,detalhe_carro1[[#This Row],[Chegada]]=0),"",detalhe_carro1[[#This Row],[Hora Inicio]]-detalhe_carro1[[#This Row],[Ultima Chegada]])</f>
        <v>200</v>
      </c>
      <c r="P234" s="3">
        <f>IF(detalhe_carro1[[#This Row],[Tipo]]="Visitar Nó",((detalhe_carro1[[#This Row],[Hora Fim]]-detalhe_carro1[[#This Row],[Hora Inicio]])/60*velocidade_nos),0)</f>
        <v>0</v>
      </c>
      <c r="Q234" s="29">
        <f>detalhe_carro1[[#This Row],[Kms Nós]]+detalhe_carro1[[#This Row],[kms]]</f>
        <v>3</v>
      </c>
      <c r="S234" s="20">
        <v>3</v>
      </c>
      <c r="T234" s="20">
        <v>2</v>
      </c>
      <c r="U234" s="20">
        <v>2</v>
      </c>
      <c r="V234" s="20" t="s">
        <v>24</v>
      </c>
      <c r="W234">
        <v>1221</v>
      </c>
      <c r="X234">
        <v>1242</v>
      </c>
      <c r="Y234">
        <v>1172</v>
      </c>
      <c r="Z234" s="7">
        <v>0.13958333333333334</v>
      </c>
      <c r="AA234" s="7">
        <v>0.15416666666666667</v>
      </c>
      <c r="AB234" s="7">
        <v>0.10555555555555556</v>
      </c>
      <c r="AC2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0.81666666666666665</v>
      </c>
    </row>
    <row r="235" spans="2:29" x14ac:dyDescent="0.25">
      <c r="B235" s="3">
        <v>2</v>
      </c>
      <c r="C235">
        <v>1</v>
      </c>
      <c r="D235">
        <v>7</v>
      </c>
      <c r="E235" s="29" t="s">
        <v>33</v>
      </c>
      <c r="F235" s="3">
        <v>1054</v>
      </c>
      <c r="G235" s="3">
        <v>1054</v>
      </c>
      <c r="H235" s="29" t="s">
        <v>51</v>
      </c>
      <c r="I235" s="3">
        <v>3</v>
      </c>
      <c r="J235" s="7">
        <v>2.361111111111111E-2</v>
      </c>
      <c r="K235" s="7">
        <v>2.361111111111111E-2</v>
      </c>
      <c r="L235" s="3">
        <f t="shared" si="7"/>
        <v>0</v>
      </c>
      <c r="M235" s="3">
        <f t="shared" si="8"/>
        <v>0</v>
      </c>
      <c r="N235" s="29">
        <f>_xlfn.MAXIFS($G$7:G234,$E$7:E234,detalhe_carro1[[#This Row],[Nó]],$B$7:B234,detalhe_carro1[[#This Row],[Numero Voltas]],$L$7:L234,1)</f>
        <v>854</v>
      </c>
      <c r="O235" s="3" t="str">
        <f>IF(OR(detalhe_carro1[[#This Row],[Ultima Chegada]]=0,detalhe_carro1[[#This Row],[Chegada]]=0),"",detalhe_carro1[[#This Row],[Hora Inicio]]-detalhe_carro1[[#This Row],[Ultima Chegada]])</f>
        <v/>
      </c>
      <c r="P235" s="3">
        <f>IF(detalhe_carro1[[#This Row],[Tipo]]="Visitar Nó",((detalhe_carro1[[#This Row],[Hora Fim]]-detalhe_carro1[[#This Row],[Hora Inicio]])/60*velocidade_nos),0)</f>
        <v>0</v>
      </c>
      <c r="Q235" s="29">
        <f>detalhe_carro1[[#This Row],[Kms Nós]]+detalhe_carro1[[#This Row],[kms]]</f>
        <v>3</v>
      </c>
      <c r="S235" s="20">
        <v>3</v>
      </c>
      <c r="T235" s="20">
        <v>2</v>
      </c>
      <c r="U235" s="20">
        <v>3</v>
      </c>
      <c r="V235" s="20" t="s">
        <v>26</v>
      </c>
      <c r="W235">
        <v>1243</v>
      </c>
      <c r="X235">
        <v>1254</v>
      </c>
      <c r="Y235">
        <v>1156</v>
      </c>
      <c r="Z235" s="7">
        <v>0.15486111111111112</v>
      </c>
      <c r="AA235" s="7">
        <v>0.16250000000000001</v>
      </c>
      <c r="AB235" s="7">
        <v>9.4444444444444442E-2</v>
      </c>
      <c r="AC2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236" spans="2:29" x14ac:dyDescent="0.25">
      <c r="B236" s="3">
        <v>2</v>
      </c>
      <c r="C236">
        <v>1</v>
      </c>
      <c r="D236">
        <v>7</v>
      </c>
      <c r="E236" s="29" t="s">
        <v>33</v>
      </c>
      <c r="F236" s="3">
        <v>1054</v>
      </c>
      <c r="G236" s="3">
        <v>1054</v>
      </c>
      <c r="H236" s="29" t="s">
        <v>51</v>
      </c>
      <c r="I236" s="3">
        <v>3</v>
      </c>
      <c r="J236" s="7">
        <v>2.361111111111111E-2</v>
      </c>
      <c r="K236" s="7">
        <v>2.361111111111111E-2</v>
      </c>
      <c r="L236" s="3">
        <f t="shared" si="7"/>
        <v>0</v>
      </c>
      <c r="M236" s="3">
        <f t="shared" si="8"/>
        <v>0</v>
      </c>
      <c r="N236" s="29">
        <f>_xlfn.MAXIFS($G$7:G235,$E$7:E235,detalhe_carro1[[#This Row],[Nó]],$B$7:B235,detalhe_carro1[[#This Row],[Numero Voltas]],$L$7:L235,1)</f>
        <v>854</v>
      </c>
      <c r="O236" s="3" t="str">
        <f>IF(OR(detalhe_carro1[[#This Row],[Ultima Chegada]]=0,detalhe_carro1[[#This Row],[Chegada]]=0),"",detalhe_carro1[[#This Row],[Hora Inicio]]-detalhe_carro1[[#This Row],[Ultima Chegada]])</f>
        <v/>
      </c>
      <c r="P236" s="3">
        <f>IF(detalhe_carro1[[#This Row],[Tipo]]="Visitar Nó",((detalhe_carro1[[#This Row],[Hora Fim]]-detalhe_carro1[[#This Row],[Hora Inicio]])/60*velocidade_nos),0)</f>
        <v>0</v>
      </c>
      <c r="Q236" s="29">
        <f>detalhe_carro1[[#This Row],[Kms Nós]]+detalhe_carro1[[#This Row],[kms]]</f>
        <v>3</v>
      </c>
      <c r="S236" s="20">
        <v>3</v>
      </c>
      <c r="T236" s="20">
        <v>2</v>
      </c>
      <c r="U236" s="20">
        <v>4</v>
      </c>
      <c r="V236" s="20" t="s">
        <v>27</v>
      </c>
      <c r="W236">
        <v>1255</v>
      </c>
      <c r="X236">
        <v>1269</v>
      </c>
      <c r="Y236">
        <v>1144</v>
      </c>
      <c r="Z236" s="7">
        <v>0.16319444444444445</v>
      </c>
      <c r="AA236" s="7">
        <v>0.17291666666666666</v>
      </c>
      <c r="AB236" s="7">
        <v>8.611111111111111E-2</v>
      </c>
      <c r="AC2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1.85</v>
      </c>
    </row>
    <row r="237" spans="2:29" x14ac:dyDescent="0.25">
      <c r="B237" s="3">
        <v>2</v>
      </c>
      <c r="C237">
        <v>2</v>
      </c>
      <c r="D237">
        <v>7</v>
      </c>
      <c r="E237" s="29" t="s">
        <v>33</v>
      </c>
      <c r="F237" s="3">
        <v>990</v>
      </c>
      <c r="G237" s="3">
        <v>1050</v>
      </c>
      <c r="H237" s="29" t="s">
        <v>54</v>
      </c>
      <c r="I237" s="3">
        <v>0</v>
      </c>
      <c r="J237" s="7">
        <v>0.97916666666666663</v>
      </c>
      <c r="K237" s="7">
        <v>2.0833333333333332E-2</v>
      </c>
      <c r="L237" s="3">
        <f t="shared" si="7"/>
        <v>0</v>
      </c>
      <c r="M237" s="3">
        <f t="shared" si="8"/>
        <v>0</v>
      </c>
      <c r="N237" s="29">
        <f>_xlfn.MAXIFS($G$7:G236,$E$7:E236,detalhe_carro1[[#This Row],[Nó]],$B$7:B236,detalhe_carro1[[#This Row],[Numero Voltas]],$L$7:L236,1)</f>
        <v>854</v>
      </c>
      <c r="O237" s="3" t="str">
        <f>IF(OR(detalhe_carro1[[#This Row],[Ultima Chegada]]=0,detalhe_carro1[[#This Row],[Chegada]]=0),"",detalhe_carro1[[#This Row],[Hora Inicio]]-detalhe_carro1[[#This Row],[Ultima Chegada]])</f>
        <v/>
      </c>
      <c r="P237" s="3">
        <f>IF(detalhe_carro1[[#This Row],[Tipo]]="Visitar Nó",((detalhe_carro1[[#This Row],[Hora Fim]]-detalhe_carro1[[#This Row],[Hora Inicio]])/60*velocidade_nos),0)</f>
        <v>0</v>
      </c>
      <c r="Q237" s="29">
        <f>detalhe_carro1[[#This Row],[Kms Nós]]+detalhe_carro1[[#This Row],[kms]]</f>
        <v>0</v>
      </c>
      <c r="S237" s="20">
        <v>3</v>
      </c>
      <c r="T237" s="20">
        <v>2</v>
      </c>
      <c r="U237" s="20">
        <v>5</v>
      </c>
      <c r="V237" s="20" t="s">
        <v>29</v>
      </c>
      <c r="W237">
        <v>1272</v>
      </c>
      <c r="X237">
        <v>1316</v>
      </c>
      <c r="Y237">
        <v>1125</v>
      </c>
      <c r="Z237" s="7">
        <v>0.17499999999999999</v>
      </c>
      <c r="AA237" s="7">
        <v>0.20555555555555555</v>
      </c>
      <c r="AB237" s="7">
        <v>7.2916666666666671E-2</v>
      </c>
      <c r="AC2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2.4500000000000002</v>
      </c>
    </row>
    <row r="238" spans="2:29" x14ac:dyDescent="0.25">
      <c r="B238" s="3">
        <v>2</v>
      </c>
      <c r="C238">
        <v>2</v>
      </c>
      <c r="D238">
        <v>7</v>
      </c>
      <c r="E238" s="29" t="s">
        <v>33</v>
      </c>
      <c r="F238" s="3">
        <v>1020</v>
      </c>
      <c r="G238" s="3">
        <v>1050</v>
      </c>
      <c r="H238" s="29" t="s">
        <v>54</v>
      </c>
      <c r="I238" s="3">
        <v>0</v>
      </c>
      <c r="J238" s="7">
        <v>0</v>
      </c>
      <c r="K238" s="7">
        <v>2.0833333333333332E-2</v>
      </c>
      <c r="L238" s="3">
        <f t="shared" si="7"/>
        <v>0</v>
      </c>
      <c r="M238" s="3">
        <f t="shared" si="8"/>
        <v>0</v>
      </c>
      <c r="N238" s="29">
        <f>_xlfn.MAXIFS($G$7:G237,$E$7:E237,detalhe_carro1[[#This Row],[Nó]],$B$7:B237,detalhe_carro1[[#This Row],[Numero Voltas]],$L$7:L237,1)</f>
        <v>854</v>
      </c>
      <c r="O238" s="3" t="str">
        <f>IF(OR(detalhe_carro1[[#This Row],[Ultima Chegada]]=0,detalhe_carro1[[#This Row],[Chegada]]=0),"",detalhe_carro1[[#This Row],[Hora Inicio]]-detalhe_carro1[[#This Row],[Ultima Chegada]])</f>
        <v/>
      </c>
      <c r="P238" s="3">
        <f>IF(detalhe_carro1[[#This Row],[Tipo]]="Visitar Nó",((detalhe_carro1[[#This Row],[Hora Fim]]-detalhe_carro1[[#This Row],[Hora Inicio]])/60*velocidade_nos),0)</f>
        <v>0</v>
      </c>
      <c r="Q238" s="29">
        <f>detalhe_carro1[[#This Row],[Kms Nós]]+detalhe_carro1[[#This Row],[kms]]</f>
        <v>0</v>
      </c>
      <c r="S238" s="20">
        <v>3</v>
      </c>
      <c r="T238" s="20">
        <v>2</v>
      </c>
      <c r="U238" s="20">
        <v>6</v>
      </c>
      <c r="V238" s="20" t="s">
        <v>31</v>
      </c>
      <c r="W238">
        <v>1319</v>
      </c>
      <c r="X238">
        <v>1331</v>
      </c>
      <c r="Y238">
        <v>1091</v>
      </c>
      <c r="Z238" s="7">
        <v>0.2076388888888889</v>
      </c>
      <c r="AA238" s="7">
        <v>0.21597222222222223</v>
      </c>
      <c r="AB238" s="7">
        <v>4.9305555555555554E-2</v>
      </c>
      <c r="AC2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3.8</v>
      </c>
    </row>
    <row r="239" spans="2:29" x14ac:dyDescent="0.25">
      <c r="B239" s="3">
        <v>2</v>
      </c>
      <c r="C239">
        <v>2</v>
      </c>
      <c r="D239">
        <v>7</v>
      </c>
      <c r="E239" s="29" t="s">
        <v>33</v>
      </c>
      <c r="F239" s="3">
        <v>1050</v>
      </c>
      <c r="G239" s="3">
        <v>1050</v>
      </c>
      <c r="H239" s="29" t="s">
        <v>49</v>
      </c>
      <c r="I239" s="3">
        <v>0</v>
      </c>
      <c r="J239" s="7">
        <v>2.0833333333333332E-2</v>
      </c>
      <c r="K239" s="7">
        <v>2.0833333333333332E-2</v>
      </c>
      <c r="L239" s="3">
        <f t="shared" si="7"/>
        <v>0</v>
      </c>
      <c r="M239" s="3">
        <f t="shared" si="8"/>
        <v>0</v>
      </c>
      <c r="N239" s="29">
        <f>_xlfn.MAXIFS($G$7:G238,$E$7:E238,detalhe_carro1[[#This Row],[Nó]],$B$7:B238,detalhe_carro1[[#This Row],[Numero Voltas]],$L$7:L238,1)</f>
        <v>854</v>
      </c>
      <c r="O239" s="3" t="str">
        <f>IF(OR(detalhe_carro1[[#This Row],[Ultima Chegada]]=0,detalhe_carro1[[#This Row],[Chegada]]=0),"",detalhe_carro1[[#This Row],[Hora Inicio]]-detalhe_carro1[[#This Row],[Ultima Chegada]])</f>
        <v/>
      </c>
      <c r="P239" s="3">
        <f>IF(detalhe_carro1[[#This Row],[Tipo]]="Visitar Nó",((detalhe_carro1[[#This Row],[Hora Fim]]-detalhe_carro1[[#This Row],[Hora Inicio]])/60*velocidade_nos),0)</f>
        <v>0</v>
      </c>
      <c r="Q239" s="29">
        <f>detalhe_carro1[[#This Row],[Kms Nós]]+detalhe_carro1[[#This Row],[kms]]</f>
        <v>0</v>
      </c>
      <c r="S239" s="20">
        <v>3</v>
      </c>
      <c r="T239" s="20">
        <v>2</v>
      </c>
      <c r="U239" s="20">
        <v>7</v>
      </c>
      <c r="V239" s="20" t="s">
        <v>33</v>
      </c>
      <c r="W239">
        <v>1334</v>
      </c>
      <c r="X239">
        <v>1334</v>
      </c>
      <c r="Y239">
        <v>1063</v>
      </c>
      <c r="Z239" s="7">
        <v>0.21805555555555556</v>
      </c>
      <c r="AA239" s="7">
        <v>0.21805555555555556</v>
      </c>
      <c r="AB239" s="7">
        <v>2.9861111111111113E-2</v>
      </c>
      <c r="AC23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4.5166666666666666</v>
      </c>
    </row>
    <row r="240" spans="2:29" x14ac:dyDescent="0.25">
      <c r="B240" s="3">
        <v>2</v>
      </c>
      <c r="C240">
        <v>2</v>
      </c>
      <c r="D240">
        <v>7</v>
      </c>
      <c r="E240" s="29" t="s">
        <v>33</v>
      </c>
      <c r="F240" s="3">
        <v>1050</v>
      </c>
      <c r="G240" s="3">
        <v>1063</v>
      </c>
      <c r="H240" s="29" t="s">
        <v>50</v>
      </c>
      <c r="I240" s="3">
        <v>0</v>
      </c>
      <c r="J240" s="7">
        <v>2.0833333333333332E-2</v>
      </c>
      <c r="K240" s="7">
        <v>2.9861111111111113E-2</v>
      </c>
      <c r="L240" s="3">
        <f t="shared" si="7"/>
        <v>0</v>
      </c>
      <c r="M240" s="3">
        <f t="shared" si="8"/>
        <v>0</v>
      </c>
      <c r="N240" s="29">
        <f>_xlfn.MAXIFS($G$7:G239,$E$7:E239,detalhe_carro1[[#This Row],[Nó]],$B$7:B239,detalhe_carro1[[#This Row],[Numero Voltas]],$L$7:L239,1)</f>
        <v>854</v>
      </c>
      <c r="O240" s="3" t="str">
        <f>IF(OR(detalhe_carro1[[#This Row],[Ultima Chegada]]=0,detalhe_carro1[[#This Row],[Chegada]]=0),"",detalhe_carro1[[#This Row],[Hora Inicio]]-detalhe_carro1[[#This Row],[Ultima Chegada]])</f>
        <v/>
      </c>
      <c r="P240" s="3">
        <f>IF(detalhe_carro1[[#This Row],[Tipo]]="Visitar Nó",((detalhe_carro1[[#This Row],[Hora Fim]]-detalhe_carro1[[#This Row],[Hora Inicio]])/60*velocidade_nos),0)</f>
        <v>6.5</v>
      </c>
      <c r="Q240" s="29">
        <f>detalhe_carro1[[#This Row],[Kms Nós]]+detalhe_carro1[[#This Row],[kms]]</f>
        <v>6.5</v>
      </c>
      <c r="S240" s="20">
        <v>3</v>
      </c>
      <c r="T240" s="20">
        <v>2</v>
      </c>
      <c r="U240" s="20">
        <v>6</v>
      </c>
      <c r="V240" s="20" t="s">
        <v>31</v>
      </c>
      <c r="W240">
        <v>1337</v>
      </c>
      <c r="X240">
        <v>1337</v>
      </c>
      <c r="Y240">
        <v>1331</v>
      </c>
      <c r="Z240" s="7">
        <v>0.22013888888888888</v>
      </c>
      <c r="AA240" s="7">
        <v>0.22013888888888888</v>
      </c>
      <c r="AB240" s="7">
        <v>0.21597222222222223</v>
      </c>
      <c r="AC24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241" spans="2:29" x14ac:dyDescent="0.25">
      <c r="B241" s="3">
        <v>2</v>
      </c>
      <c r="C241">
        <v>2</v>
      </c>
      <c r="D241">
        <v>7</v>
      </c>
      <c r="E241" s="29" t="s">
        <v>33</v>
      </c>
      <c r="F241" s="3">
        <v>1063</v>
      </c>
      <c r="G241" s="3">
        <v>1063</v>
      </c>
      <c r="H241" s="29" t="s">
        <v>51</v>
      </c>
      <c r="I241" s="3">
        <v>0</v>
      </c>
      <c r="J241" s="7">
        <v>2.9861111111111113E-2</v>
      </c>
      <c r="K241" s="7">
        <v>2.9861111111111113E-2</v>
      </c>
      <c r="L241" s="3">
        <f t="shared" si="7"/>
        <v>1</v>
      </c>
      <c r="M241" s="3">
        <f t="shared" si="8"/>
        <v>0</v>
      </c>
      <c r="N241" s="29">
        <f>_xlfn.MAXIFS($G$7:G240,$E$7:E240,detalhe_carro1[[#This Row],[Nó]],$B$7:B240,detalhe_carro1[[#This Row],[Numero Voltas]],$L$7:L240,1)</f>
        <v>854</v>
      </c>
      <c r="O241" s="3" t="str">
        <f>IF(OR(detalhe_carro1[[#This Row],[Ultima Chegada]]=0,detalhe_carro1[[#This Row],[Chegada]]=0),"",detalhe_carro1[[#This Row],[Hora Inicio]]-detalhe_carro1[[#This Row],[Ultima Chegada]])</f>
        <v/>
      </c>
      <c r="P241" s="3">
        <f>IF(detalhe_carro1[[#This Row],[Tipo]]="Visitar Nó",((detalhe_carro1[[#This Row],[Hora Fim]]-detalhe_carro1[[#This Row],[Hora Inicio]])/60*velocidade_nos),0)</f>
        <v>0</v>
      </c>
      <c r="Q241" s="29">
        <f>detalhe_carro1[[#This Row],[Kms Nós]]+detalhe_carro1[[#This Row],[kms]]</f>
        <v>0</v>
      </c>
      <c r="S241" s="20">
        <v>3</v>
      </c>
      <c r="T241" s="20">
        <v>2</v>
      </c>
      <c r="U241" s="20">
        <v>5</v>
      </c>
      <c r="V241" s="20" t="s">
        <v>29</v>
      </c>
      <c r="W241">
        <v>1340</v>
      </c>
      <c r="X241">
        <v>1340</v>
      </c>
      <c r="Y241">
        <v>1316</v>
      </c>
      <c r="Z241" s="7">
        <v>0.22222222222222221</v>
      </c>
      <c r="AA241" s="7">
        <v>0.22222222222222221</v>
      </c>
      <c r="AB241" s="7">
        <v>0.20555555555555555</v>
      </c>
      <c r="AC24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</v>
      </c>
    </row>
    <row r="242" spans="2:29" x14ac:dyDescent="0.25">
      <c r="B242" s="3">
        <v>2</v>
      </c>
      <c r="C242">
        <v>2</v>
      </c>
      <c r="D242">
        <v>6</v>
      </c>
      <c r="E242" s="29" t="s">
        <v>31</v>
      </c>
      <c r="F242" s="3">
        <v>1066</v>
      </c>
      <c r="G242" s="3">
        <v>1076</v>
      </c>
      <c r="H242" s="29" t="s">
        <v>297</v>
      </c>
      <c r="I242" s="3">
        <v>0</v>
      </c>
      <c r="J242" s="7">
        <v>3.1944444444444442E-2</v>
      </c>
      <c r="K242" s="7">
        <v>3.888888888888889E-2</v>
      </c>
      <c r="L242" s="3">
        <f t="shared" si="7"/>
        <v>0</v>
      </c>
      <c r="M242" s="3">
        <f t="shared" si="8"/>
        <v>1</v>
      </c>
      <c r="N242" s="29">
        <f>_xlfn.MAXIFS($G$7:G241,$E$7:E241,detalhe_carro1[[#This Row],[Nó]],$B$7:B241,detalhe_carro1[[#This Row],[Numero Voltas]],$L$7:L241,1)</f>
        <v>1051</v>
      </c>
      <c r="O242" s="3">
        <f>IF(OR(detalhe_carro1[[#This Row],[Ultima Chegada]]=0,detalhe_carro1[[#This Row],[Chegada]]=0),"",detalhe_carro1[[#This Row],[Hora Inicio]]-detalhe_carro1[[#This Row],[Ultima Chegada]])</f>
        <v>15</v>
      </c>
      <c r="P242" s="3">
        <f>IF(detalhe_carro1[[#This Row],[Tipo]]="Visitar Nó",((detalhe_carro1[[#This Row],[Hora Fim]]-detalhe_carro1[[#This Row],[Hora Inicio]])/60*velocidade_nos),0)</f>
        <v>0</v>
      </c>
      <c r="Q242" s="29">
        <f>detalhe_carro1[[#This Row],[Kms Nós]]+detalhe_carro1[[#This Row],[kms]]</f>
        <v>0</v>
      </c>
      <c r="S242" s="20">
        <v>3</v>
      </c>
      <c r="T242" s="20">
        <v>2</v>
      </c>
      <c r="U242" s="20">
        <v>4</v>
      </c>
      <c r="V242" s="20" t="s">
        <v>27</v>
      </c>
      <c r="W242">
        <v>1343</v>
      </c>
      <c r="X242">
        <v>1343</v>
      </c>
      <c r="Y242">
        <v>1269</v>
      </c>
      <c r="Z242" s="7">
        <v>0.22430555555555556</v>
      </c>
      <c r="AA242" s="7">
        <v>0.22430555555555556</v>
      </c>
      <c r="AB242" s="7">
        <v>0.17291666666666666</v>
      </c>
      <c r="AC24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1.2333333333333334</v>
      </c>
    </row>
    <row r="243" spans="2:29" x14ac:dyDescent="0.25">
      <c r="B243" s="3">
        <v>2</v>
      </c>
      <c r="C243">
        <v>2</v>
      </c>
      <c r="D243">
        <v>6</v>
      </c>
      <c r="E243" s="29" t="s">
        <v>31</v>
      </c>
      <c r="F243" s="3">
        <v>1079</v>
      </c>
      <c r="G243" s="3">
        <v>1088</v>
      </c>
      <c r="H243" s="29" t="s">
        <v>50</v>
      </c>
      <c r="I243" s="3">
        <v>0</v>
      </c>
      <c r="J243" s="7">
        <v>4.0972222222222222E-2</v>
      </c>
      <c r="K243" s="7">
        <v>4.7222222222222221E-2</v>
      </c>
      <c r="L243" s="3">
        <f t="shared" si="7"/>
        <v>0</v>
      </c>
      <c r="M243" s="3">
        <f t="shared" si="8"/>
        <v>0</v>
      </c>
      <c r="N243" s="29">
        <f>_xlfn.MAXIFS($G$7:G242,$E$7:E242,detalhe_carro1[[#This Row],[Nó]],$B$7:B242,detalhe_carro1[[#This Row],[Numero Voltas]],$L$7:L242,1)</f>
        <v>1051</v>
      </c>
      <c r="O243" s="3" t="str">
        <f>IF(OR(detalhe_carro1[[#This Row],[Ultima Chegada]]=0,detalhe_carro1[[#This Row],[Chegada]]=0),"",detalhe_carro1[[#This Row],[Hora Inicio]]-detalhe_carro1[[#This Row],[Ultima Chegada]])</f>
        <v/>
      </c>
      <c r="P243" s="3">
        <f>IF(detalhe_carro1[[#This Row],[Tipo]]="Visitar Nó",((detalhe_carro1[[#This Row],[Hora Fim]]-detalhe_carro1[[#This Row],[Hora Inicio]])/60*velocidade_nos),0)</f>
        <v>4.5</v>
      </c>
      <c r="Q243" s="29">
        <f>detalhe_carro1[[#This Row],[Kms Nós]]+detalhe_carro1[[#This Row],[kms]]</f>
        <v>4.5</v>
      </c>
      <c r="S243" s="20">
        <v>3</v>
      </c>
      <c r="T243" s="20">
        <v>2</v>
      </c>
      <c r="U243" s="20">
        <v>3</v>
      </c>
      <c r="V243" s="20" t="s">
        <v>26</v>
      </c>
      <c r="W243">
        <v>1344</v>
      </c>
      <c r="X243">
        <v>1344</v>
      </c>
      <c r="Y243">
        <v>1254</v>
      </c>
      <c r="Z243" s="7">
        <v>0.22500000000000001</v>
      </c>
      <c r="AA243" s="7">
        <v>0.22500000000000001</v>
      </c>
      <c r="AB243" s="7">
        <v>0.16250000000000001</v>
      </c>
      <c r="AC24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</v>
      </c>
    </row>
    <row r="244" spans="2:29" x14ac:dyDescent="0.25">
      <c r="B244" s="3">
        <v>2</v>
      </c>
      <c r="C244">
        <v>2</v>
      </c>
      <c r="D244">
        <v>6</v>
      </c>
      <c r="E244" s="29" t="s">
        <v>31</v>
      </c>
      <c r="F244" s="3">
        <v>1091</v>
      </c>
      <c r="G244" s="3">
        <v>1091</v>
      </c>
      <c r="H244" s="29" t="s">
        <v>51</v>
      </c>
      <c r="I244" s="3">
        <v>3</v>
      </c>
      <c r="J244" s="7">
        <v>4.9305555555555554E-2</v>
      </c>
      <c r="K244" s="7">
        <v>4.9305555555555554E-2</v>
      </c>
      <c r="L244" s="3">
        <f t="shared" si="7"/>
        <v>1</v>
      </c>
      <c r="M244" s="3">
        <f t="shared" si="8"/>
        <v>0</v>
      </c>
      <c r="N244" s="29">
        <f>_xlfn.MAXIFS($G$7:G243,$E$7:E243,detalhe_carro1[[#This Row],[Nó]],$B$7:B243,detalhe_carro1[[#This Row],[Numero Voltas]],$L$7:L243,1)</f>
        <v>1051</v>
      </c>
      <c r="O244" s="3" t="str">
        <f>IF(OR(detalhe_carro1[[#This Row],[Ultima Chegada]]=0,detalhe_carro1[[#This Row],[Chegada]]=0),"",detalhe_carro1[[#This Row],[Hora Inicio]]-detalhe_carro1[[#This Row],[Ultima Chegada]])</f>
        <v/>
      </c>
      <c r="P244" s="3">
        <f>IF(detalhe_carro1[[#This Row],[Tipo]]="Visitar Nó",((detalhe_carro1[[#This Row],[Hora Fim]]-detalhe_carro1[[#This Row],[Hora Inicio]])/60*velocidade_nos),0)</f>
        <v>0</v>
      </c>
      <c r="Q244" s="29">
        <f>detalhe_carro1[[#This Row],[Kms Nós]]+detalhe_carro1[[#This Row],[kms]]</f>
        <v>3</v>
      </c>
      <c r="S244" s="20">
        <v>3</v>
      </c>
      <c r="T244" s="20">
        <v>2</v>
      </c>
      <c r="U244" s="20">
        <v>2</v>
      </c>
      <c r="V244" s="20" t="s">
        <v>24</v>
      </c>
      <c r="W244">
        <v>1345</v>
      </c>
      <c r="X244">
        <v>1345</v>
      </c>
      <c r="Y244">
        <v>1242</v>
      </c>
      <c r="Z244" s="7">
        <v>0.22569444444444445</v>
      </c>
      <c r="AA244" s="7">
        <v>0.22569444444444445</v>
      </c>
      <c r="AB244" s="7">
        <v>0.15416666666666667</v>
      </c>
      <c r="AC24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</row>
    <row r="245" spans="2:29" x14ac:dyDescent="0.25">
      <c r="B245" s="3">
        <v>2</v>
      </c>
      <c r="C245">
        <v>2</v>
      </c>
      <c r="D245">
        <v>5</v>
      </c>
      <c r="E245" s="29" t="s">
        <v>29</v>
      </c>
      <c r="F245" s="3">
        <v>1094</v>
      </c>
      <c r="G245" s="3">
        <v>1122</v>
      </c>
      <c r="H245" s="29" t="s">
        <v>50</v>
      </c>
      <c r="I245" s="3">
        <v>0</v>
      </c>
      <c r="J245" s="7">
        <v>5.1388888888888887E-2</v>
      </c>
      <c r="K245" s="7">
        <v>7.0833333333333331E-2</v>
      </c>
      <c r="L245" s="3">
        <f t="shared" si="7"/>
        <v>0</v>
      </c>
      <c r="M245" s="3">
        <f t="shared" si="8"/>
        <v>1</v>
      </c>
      <c r="N245" s="29">
        <f>_xlfn.MAXIFS($G$7:G244,$E$7:E244,detalhe_carro1[[#This Row],[Nó]],$B$7:B244,detalhe_carro1[[#This Row],[Numero Voltas]],$L$7:L244,1)</f>
        <v>966</v>
      </c>
      <c r="O245" s="3">
        <f>IF(OR(detalhe_carro1[[#This Row],[Ultima Chegada]]=0,detalhe_carro1[[#This Row],[Chegada]]=0),"",detalhe_carro1[[#This Row],[Hora Inicio]]-detalhe_carro1[[#This Row],[Ultima Chegada]])</f>
        <v>128</v>
      </c>
      <c r="P245" s="3">
        <f>IF(detalhe_carro1[[#This Row],[Tipo]]="Visitar Nó",((detalhe_carro1[[#This Row],[Hora Fim]]-detalhe_carro1[[#This Row],[Hora Inicio]])/60*velocidade_nos),0)</f>
        <v>14</v>
      </c>
      <c r="Q245" s="29">
        <f>detalhe_carro1[[#This Row],[Kms Nós]]+detalhe_carro1[[#This Row],[kms]]</f>
        <v>14</v>
      </c>
      <c r="S245" s="20">
        <v>3</v>
      </c>
      <c r="T245" s="20">
        <v>2</v>
      </c>
      <c r="U245" s="20">
        <v>1</v>
      </c>
      <c r="V245" s="20" t="s">
        <v>22</v>
      </c>
      <c r="W245">
        <v>1352</v>
      </c>
      <c r="X245">
        <v>1352</v>
      </c>
      <c r="Y245">
        <v>1214</v>
      </c>
      <c r="Z245" s="7">
        <v>0.23055555555555557</v>
      </c>
      <c r="AA245" s="7">
        <v>0.23055555555555557</v>
      </c>
      <c r="AB245" s="7">
        <v>0.13472222222222222</v>
      </c>
      <c r="AC24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2.2999999999999998</v>
      </c>
    </row>
    <row r="246" spans="2:29" x14ac:dyDescent="0.25">
      <c r="B246" s="3">
        <v>2</v>
      </c>
      <c r="C246">
        <v>2</v>
      </c>
      <c r="D246">
        <v>5</v>
      </c>
      <c r="E246" s="29" t="s">
        <v>29</v>
      </c>
      <c r="F246" s="3">
        <v>1125</v>
      </c>
      <c r="G246" s="3">
        <v>1125</v>
      </c>
      <c r="H246" s="29" t="s">
        <v>51</v>
      </c>
      <c r="I246" s="3">
        <v>3</v>
      </c>
      <c r="J246" s="7">
        <v>7.2916666666666671E-2</v>
      </c>
      <c r="K246" s="7">
        <v>7.2916666666666671E-2</v>
      </c>
      <c r="L246" s="3">
        <f t="shared" si="7"/>
        <v>1</v>
      </c>
      <c r="M246" s="3">
        <f t="shared" si="8"/>
        <v>0</v>
      </c>
      <c r="N246" s="29">
        <f>_xlfn.MAXIFS($G$7:G245,$E$7:E245,detalhe_carro1[[#This Row],[Nó]],$B$7:B245,detalhe_carro1[[#This Row],[Numero Voltas]],$L$7:L245,1)</f>
        <v>966</v>
      </c>
      <c r="O246" s="3" t="str">
        <f>IF(OR(detalhe_carro1[[#This Row],[Ultima Chegada]]=0,detalhe_carro1[[#This Row],[Chegada]]=0),"",detalhe_carro1[[#This Row],[Hora Inicio]]-detalhe_carro1[[#This Row],[Ultima Chegada]])</f>
        <v/>
      </c>
      <c r="P246" s="3">
        <f>IF(detalhe_carro1[[#This Row],[Tipo]]="Visitar Nó",((detalhe_carro1[[#This Row],[Hora Fim]]-detalhe_carro1[[#This Row],[Hora Inicio]])/60*velocidade_nos),0)</f>
        <v>0</v>
      </c>
      <c r="Q246" s="29">
        <f>detalhe_carro1[[#This Row],[Kms Nós]]+detalhe_carro1[[#This Row],[kms]]</f>
        <v>3</v>
      </c>
      <c r="S246" s="20">
        <v>3</v>
      </c>
      <c r="T246" s="20">
        <v>2</v>
      </c>
      <c r="U246" s="20">
        <v>0</v>
      </c>
      <c r="V246" s="20" t="s">
        <v>20</v>
      </c>
      <c r="W246">
        <v>1353</v>
      </c>
      <c r="X246">
        <v>1353</v>
      </c>
      <c r="Y246">
        <v>1207</v>
      </c>
      <c r="Z246" s="7">
        <v>0.23125000000000001</v>
      </c>
      <c r="AA246" s="7">
        <v>0.23125000000000001</v>
      </c>
      <c r="AB246" s="7">
        <v>0.12986111111111112</v>
      </c>
      <c r="AC24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2.4333333333333331</v>
      </c>
    </row>
    <row r="247" spans="2:29" x14ac:dyDescent="0.25">
      <c r="B247" s="3">
        <v>2</v>
      </c>
      <c r="C247">
        <v>2</v>
      </c>
      <c r="D247">
        <v>4</v>
      </c>
      <c r="E247" s="29" t="s">
        <v>27</v>
      </c>
      <c r="F247" s="3">
        <v>1128</v>
      </c>
      <c r="G247" s="3">
        <v>1141</v>
      </c>
      <c r="H247" s="29" t="s">
        <v>50</v>
      </c>
      <c r="I247" s="3">
        <v>0</v>
      </c>
      <c r="J247" s="7">
        <v>7.4999999999999997E-2</v>
      </c>
      <c r="K247" s="7">
        <v>8.4027777777777785E-2</v>
      </c>
      <c r="L247" s="3">
        <f t="shared" si="7"/>
        <v>0</v>
      </c>
      <c r="M247" s="3">
        <f t="shared" si="8"/>
        <v>1</v>
      </c>
      <c r="N247" s="29">
        <f>_xlfn.MAXIFS($G$7:G246,$E$7:E246,detalhe_carro1[[#This Row],[Nó]],$B$7:B246,detalhe_carro1[[#This Row],[Numero Voltas]],$L$7:L246,1)</f>
        <v>963</v>
      </c>
      <c r="O247" s="3">
        <f>IF(OR(detalhe_carro1[[#This Row],[Ultima Chegada]]=0,detalhe_carro1[[#This Row],[Chegada]]=0),"",detalhe_carro1[[#This Row],[Hora Inicio]]-detalhe_carro1[[#This Row],[Ultima Chegada]])</f>
        <v>165</v>
      </c>
      <c r="P247" s="3">
        <f>IF(detalhe_carro1[[#This Row],[Tipo]]="Visitar Nó",((detalhe_carro1[[#This Row],[Hora Fim]]-detalhe_carro1[[#This Row],[Hora Inicio]])/60*velocidade_nos),0)</f>
        <v>6.5</v>
      </c>
      <c r="Q247" s="29">
        <f>detalhe_carro1[[#This Row],[Kms Nós]]+detalhe_carro1[[#This Row],[kms]]</f>
        <v>6.5</v>
      </c>
      <c r="S247" s="20">
        <v>3</v>
      </c>
      <c r="T247" s="20">
        <v>2</v>
      </c>
      <c r="U247" s="20">
        <v>1</v>
      </c>
      <c r="V247" s="20" t="s">
        <v>22</v>
      </c>
      <c r="W247">
        <v>1354</v>
      </c>
      <c r="X247">
        <v>1354</v>
      </c>
      <c r="Y247">
        <v>1352</v>
      </c>
      <c r="Z247" s="7">
        <v>0.23194444444444445</v>
      </c>
      <c r="AA247" s="7">
        <v>0.23194444444444445</v>
      </c>
      <c r="AB247" s="7">
        <v>0.23055555555555557</v>
      </c>
      <c r="AC24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48" spans="2:29" x14ac:dyDescent="0.25">
      <c r="B248" s="3">
        <v>2</v>
      </c>
      <c r="C248">
        <v>2</v>
      </c>
      <c r="D248">
        <v>4</v>
      </c>
      <c r="E248" s="29" t="s">
        <v>27</v>
      </c>
      <c r="F248" s="3">
        <v>1144</v>
      </c>
      <c r="G248" s="3">
        <v>1144</v>
      </c>
      <c r="H248" s="29" t="s">
        <v>51</v>
      </c>
      <c r="I248" s="3">
        <v>3</v>
      </c>
      <c r="J248" s="7">
        <v>8.611111111111111E-2</v>
      </c>
      <c r="K248" s="7">
        <v>8.611111111111111E-2</v>
      </c>
      <c r="L248" s="3">
        <f t="shared" si="7"/>
        <v>1</v>
      </c>
      <c r="M248" s="3">
        <f t="shared" si="8"/>
        <v>0</v>
      </c>
      <c r="N248" s="29">
        <f>_xlfn.MAXIFS($G$7:G247,$E$7:E247,detalhe_carro1[[#This Row],[Nó]],$B$7:B247,detalhe_carro1[[#This Row],[Numero Voltas]],$L$7:L247,1)</f>
        <v>963</v>
      </c>
      <c r="O248" s="3" t="str">
        <f>IF(OR(detalhe_carro1[[#This Row],[Ultima Chegada]]=0,detalhe_carro1[[#This Row],[Chegada]]=0),"",detalhe_carro1[[#This Row],[Hora Inicio]]-detalhe_carro1[[#This Row],[Ultima Chegada]])</f>
        <v/>
      </c>
      <c r="P248" s="3">
        <f>IF(detalhe_carro1[[#This Row],[Tipo]]="Visitar Nó",((detalhe_carro1[[#This Row],[Hora Fim]]-detalhe_carro1[[#This Row],[Hora Inicio]])/60*velocidade_nos),0)</f>
        <v>0</v>
      </c>
      <c r="Q248" s="29">
        <f>detalhe_carro1[[#This Row],[Kms Nós]]+detalhe_carro1[[#This Row],[kms]]</f>
        <v>3</v>
      </c>
      <c r="S248" s="20">
        <v>3</v>
      </c>
      <c r="T248" s="20">
        <v>2</v>
      </c>
      <c r="U248" s="20">
        <v>2</v>
      </c>
      <c r="V248" s="20" t="s">
        <v>24</v>
      </c>
      <c r="W248">
        <v>1361</v>
      </c>
      <c r="X248">
        <v>1361</v>
      </c>
      <c r="Y248">
        <v>1345</v>
      </c>
      <c r="Z248" s="7">
        <v>0.23680555555555555</v>
      </c>
      <c r="AA248" s="7">
        <v>0.23680555555555555</v>
      </c>
      <c r="AB248" s="7">
        <v>0.22569444444444445</v>
      </c>
      <c r="AC24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49" spans="2:29" x14ac:dyDescent="0.25">
      <c r="B249" s="3">
        <v>2</v>
      </c>
      <c r="C249">
        <v>2</v>
      </c>
      <c r="D249">
        <v>3</v>
      </c>
      <c r="E249" s="29" t="s">
        <v>26</v>
      </c>
      <c r="F249" s="3">
        <v>1145</v>
      </c>
      <c r="G249" s="3">
        <v>1155</v>
      </c>
      <c r="H249" s="29" t="s">
        <v>50</v>
      </c>
      <c r="I249" s="3">
        <v>0</v>
      </c>
      <c r="J249" s="7">
        <v>8.6805555555555552E-2</v>
      </c>
      <c r="K249" s="7">
        <v>9.375E-2</v>
      </c>
      <c r="L249" s="3">
        <f t="shared" si="7"/>
        <v>0</v>
      </c>
      <c r="M249" s="3">
        <f t="shared" si="8"/>
        <v>1</v>
      </c>
      <c r="N249" s="29">
        <f>_xlfn.MAXIFS($G$7:G248,$E$7:E248,detalhe_carro1[[#This Row],[Nó]],$B$7:B248,detalhe_carro1[[#This Row],[Numero Voltas]],$L$7:L248,1)</f>
        <v>962</v>
      </c>
      <c r="O249" s="3">
        <f>IF(OR(detalhe_carro1[[#This Row],[Ultima Chegada]]=0,detalhe_carro1[[#This Row],[Chegada]]=0),"",detalhe_carro1[[#This Row],[Hora Inicio]]-detalhe_carro1[[#This Row],[Ultima Chegada]])</f>
        <v>183</v>
      </c>
      <c r="P249" s="3">
        <f>IF(detalhe_carro1[[#This Row],[Tipo]]="Visitar Nó",((detalhe_carro1[[#This Row],[Hora Fim]]-detalhe_carro1[[#This Row],[Hora Inicio]])/60*velocidade_nos),0)</f>
        <v>5</v>
      </c>
      <c r="Q249" s="29">
        <f>detalhe_carro1[[#This Row],[Kms Nós]]+detalhe_carro1[[#This Row],[kms]]</f>
        <v>5</v>
      </c>
      <c r="S249" s="20">
        <v>3</v>
      </c>
      <c r="T249" s="20">
        <v>2</v>
      </c>
      <c r="U249" s="20">
        <v>3</v>
      </c>
      <c r="V249" s="20" t="s">
        <v>26</v>
      </c>
      <c r="W249">
        <v>1362</v>
      </c>
      <c r="X249">
        <v>1362</v>
      </c>
      <c r="Y249">
        <v>1344</v>
      </c>
      <c r="Z249" s="7">
        <v>0.23749999999999999</v>
      </c>
      <c r="AA249" s="7">
        <v>0.23749999999999999</v>
      </c>
      <c r="AB249" s="7">
        <v>0.22500000000000001</v>
      </c>
      <c r="AC24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50" spans="2:29" x14ac:dyDescent="0.25">
      <c r="B250" s="3">
        <v>2</v>
      </c>
      <c r="C250">
        <v>2</v>
      </c>
      <c r="D250">
        <v>3</v>
      </c>
      <c r="E250" s="29" t="s">
        <v>26</v>
      </c>
      <c r="F250" s="3">
        <v>1156</v>
      </c>
      <c r="G250" s="3">
        <v>1156</v>
      </c>
      <c r="H250" s="29" t="s">
        <v>51</v>
      </c>
      <c r="I250" s="3">
        <v>1</v>
      </c>
      <c r="J250" s="7">
        <v>9.4444444444444442E-2</v>
      </c>
      <c r="K250" s="7">
        <v>9.4444444444444442E-2</v>
      </c>
      <c r="L250" s="3">
        <f t="shared" si="7"/>
        <v>1</v>
      </c>
      <c r="M250" s="3">
        <f t="shared" si="8"/>
        <v>0</v>
      </c>
      <c r="N250" s="29">
        <f>_xlfn.MAXIFS($G$7:G249,$E$7:E249,detalhe_carro1[[#This Row],[Nó]],$B$7:B249,detalhe_carro1[[#This Row],[Numero Voltas]],$L$7:L249,1)</f>
        <v>962</v>
      </c>
      <c r="O250" s="3" t="str">
        <f>IF(OR(detalhe_carro1[[#This Row],[Ultima Chegada]]=0,detalhe_carro1[[#This Row],[Chegada]]=0),"",detalhe_carro1[[#This Row],[Hora Inicio]]-detalhe_carro1[[#This Row],[Ultima Chegada]])</f>
        <v/>
      </c>
      <c r="P250" s="3">
        <f>IF(detalhe_carro1[[#This Row],[Tipo]]="Visitar Nó",((detalhe_carro1[[#This Row],[Hora Fim]]-detalhe_carro1[[#This Row],[Hora Inicio]])/60*velocidade_nos),0)</f>
        <v>0</v>
      </c>
      <c r="Q250" s="29">
        <f>detalhe_carro1[[#This Row],[Kms Nós]]+detalhe_carro1[[#This Row],[kms]]</f>
        <v>1</v>
      </c>
      <c r="S250" s="20">
        <v>3</v>
      </c>
      <c r="T250" s="20">
        <v>2</v>
      </c>
      <c r="U250" s="20">
        <v>4</v>
      </c>
      <c r="V250" s="20" t="s">
        <v>27</v>
      </c>
      <c r="W250">
        <v>1363</v>
      </c>
      <c r="X250">
        <v>1363</v>
      </c>
      <c r="Y250">
        <v>1343</v>
      </c>
      <c r="Z250" s="7">
        <v>0.23819444444444443</v>
      </c>
      <c r="AA250" s="7">
        <v>0.23819444444444443</v>
      </c>
      <c r="AB250" s="7">
        <v>0.22430555555555556</v>
      </c>
      <c r="AC25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51" spans="2:29" x14ac:dyDescent="0.25">
      <c r="B251" s="3">
        <v>2</v>
      </c>
      <c r="C251">
        <v>2</v>
      </c>
      <c r="D251">
        <v>2</v>
      </c>
      <c r="E251" s="29" t="s">
        <v>24</v>
      </c>
      <c r="F251" s="3">
        <v>1157</v>
      </c>
      <c r="G251" s="3">
        <v>1171</v>
      </c>
      <c r="H251" s="29" t="s">
        <v>50</v>
      </c>
      <c r="I251" s="3">
        <v>0</v>
      </c>
      <c r="J251" s="7">
        <v>9.5138888888888884E-2</v>
      </c>
      <c r="K251" s="7">
        <v>0.10486111111111111</v>
      </c>
      <c r="L251" s="3">
        <f t="shared" si="7"/>
        <v>0</v>
      </c>
      <c r="M251" s="3">
        <f t="shared" si="8"/>
        <v>1</v>
      </c>
      <c r="N251" s="29">
        <f>_xlfn.MAXIFS($G$7:G250,$E$7:E250,detalhe_carro1[[#This Row],[Nó]],$B$7:B250,detalhe_carro1[[#This Row],[Numero Voltas]],$L$7:L250,1)</f>
        <v>961</v>
      </c>
      <c r="O251" s="3">
        <f>IF(OR(detalhe_carro1[[#This Row],[Ultima Chegada]]=0,detalhe_carro1[[#This Row],[Chegada]]=0),"",detalhe_carro1[[#This Row],[Hora Inicio]]-detalhe_carro1[[#This Row],[Ultima Chegada]])</f>
        <v>196</v>
      </c>
      <c r="P251" s="3">
        <f>IF(detalhe_carro1[[#This Row],[Tipo]]="Visitar Nó",((detalhe_carro1[[#This Row],[Hora Fim]]-detalhe_carro1[[#This Row],[Hora Inicio]])/60*velocidade_nos),0)</f>
        <v>7</v>
      </c>
      <c r="Q251" s="29">
        <f>detalhe_carro1[[#This Row],[Kms Nós]]+detalhe_carro1[[#This Row],[kms]]</f>
        <v>7</v>
      </c>
      <c r="S251" s="20">
        <v>3</v>
      </c>
      <c r="T251" s="20">
        <v>2</v>
      </c>
      <c r="U251" s="20">
        <v>5</v>
      </c>
      <c r="V251" s="20" t="s">
        <v>29</v>
      </c>
      <c r="W251">
        <v>1366</v>
      </c>
      <c r="X251">
        <v>1366</v>
      </c>
      <c r="Y251">
        <v>1340</v>
      </c>
      <c r="Z251" s="7">
        <v>0.24027777777777778</v>
      </c>
      <c r="AA251" s="7">
        <v>0.24027777777777778</v>
      </c>
      <c r="AB251" s="7">
        <v>0.22222222222222221</v>
      </c>
      <c r="AC25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52" spans="2:29" x14ac:dyDescent="0.25">
      <c r="B252" s="3">
        <v>2</v>
      </c>
      <c r="C252">
        <v>2</v>
      </c>
      <c r="D252">
        <v>2</v>
      </c>
      <c r="E252" s="29" t="s">
        <v>24</v>
      </c>
      <c r="F252" s="3">
        <v>1172</v>
      </c>
      <c r="G252" s="3">
        <v>1172</v>
      </c>
      <c r="H252" s="29" t="s">
        <v>51</v>
      </c>
      <c r="I252" s="3">
        <v>1</v>
      </c>
      <c r="J252" s="7">
        <v>0.10555555555555556</v>
      </c>
      <c r="K252" s="7">
        <v>0.10555555555555556</v>
      </c>
      <c r="L252" s="3">
        <f t="shared" si="7"/>
        <v>1</v>
      </c>
      <c r="M252" s="3">
        <f t="shared" si="8"/>
        <v>0</v>
      </c>
      <c r="N252" s="29">
        <f>_xlfn.MAXIFS($G$7:G251,$E$7:E251,detalhe_carro1[[#This Row],[Nó]],$B$7:B251,detalhe_carro1[[#This Row],[Numero Voltas]],$L$7:L251,1)</f>
        <v>961</v>
      </c>
      <c r="O252" s="3" t="str">
        <f>IF(OR(detalhe_carro1[[#This Row],[Ultima Chegada]]=0,detalhe_carro1[[#This Row],[Chegada]]=0),"",detalhe_carro1[[#This Row],[Hora Inicio]]-detalhe_carro1[[#This Row],[Ultima Chegada]])</f>
        <v/>
      </c>
      <c r="P252" s="3">
        <f>IF(detalhe_carro1[[#This Row],[Tipo]]="Visitar Nó",((detalhe_carro1[[#This Row],[Hora Fim]]-detalhe_carro1[[#This Row],[Hora Inicio]])/60*velocidade_nos),0)</f>
        <v>0</v>
      </c>
      <c r="Q252" s="29">
        <f>detalhe_carro1[[#This Row],[Kms Nós]]+detalhe_carro1[[#This Row],[kms]]</f>
        <v>1</v>
      </c>
      <c r="S252" s="20">
        <v>3</v>
      </c>
      <c r="T252" s="20">
        <v>2</v>
      </c>
      <c r="U252" s="20">
        <v>6</v>
      </c>
      <c r="V252" s="20" t="s">
        <v>31</v>
      </c>
      <c r="W252">
        <v>1369</v>
      </c>
      <c r="X252">
        <v>1369</v>
      </c>
      <c r="Y252">
        <v>1337</v>
      </c>
      <c r="Z252" s="7">
        <v>0.24236111111111111</v>
      </c>
      <c r="AA252" s="7">
        <v>0.24236111111111111</v>
      </c>
      <c r="AB252" s="7">
        <v>0.22013888888888888</v>
      </c>
      <c r="AC25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53" spans="2:29" x14ac:dyDescent="0.25">
      <c r="B253" s="3">
        <v>2</v>
      </c>
      <c r="C253">
        <v>2</v>
      </c>
      <c r="D253">
        <v>1</v>
      </c>
      <c r="E253" s="29" t="s">
        <v>22</v>
      </c>
      <c r="F253" s="3">
        <v>1179</v>
      </c>
      <c r="G253" s="3">
        <v>1184</v>
      </c>
      <c r="H253" s="29" t="s">
        <v>50</v>
      </c>
      <c r="I253" s="3">
        <v>0</v>
      </c>
      <c r="J253" s="7">
        <v>0.11041666666666666</v>
      </c>
      <c r="K253" s="7">
        <v>0.11388888888888889</v>
      </c>
      <c r="L253" s="3">
        <f t="shared" si="7"/>
        <v>0</v>
      </c>
      <c r="M253" s="3">
        <f t="shared" si="8"/>
        <v>1</v>
      </c>
      <c r="N253" s="29">
        <f>_xlfn.MAXIFS($G$7:G252,$E$7:E252,detalhe_carro1[[#This Row],[Nó]],$B$7:B252,detalhe_carro1[[#This Row],[Numero Voltas]],$L$7:L252,1)</f>
        <v>954</v>
      </c>
      <c r="O253" s="3">
        <f>IF(OR(detalhe_carro1[[#This Row],[Ultima Chegada]]=0,detalhe_carro1[[#This Row],[Chegada]]=0),"",detalhe_carro1[[#This Row],[Hora Inicio]]-detalhe_carro1[[#This Row],[Ultima Chegada]])</f>
        <v>225</v>
      </c>
      <c r="P253" s="3">
        <f>IF(detalhe_carro1[[#This Row],[Tipo]]="Visitar Nó",((detalhe_carro1[[#This Row],[Hora Fim]]-detalhe_carro1[[#This Row],[Hora Inicio]])/60*velocidade_nos),0)</f>
        <v>2.5</v>
      </c>
      <c r="Q253" s="29">
        <f>detalhe_carro1[[#This Row],[Kms Nós]]+detalhe_carro1[[#This Row],[kms]]</f>
        <v>2.5</v>
      </c>
      <c r="S253" s="20">
        <v>3</v>
      </c>
      <c r="T253" s="20">
        <v>2</v>
      </c>
      <c r="U253" s="20">
        <v>7</v>
      </c>
      <c r="V253" s="20" t="s">
        <v>33</v>
      </c>
      <c r="W253">
        <v>1372</v>
      </c>
      <c r="X253">
        <v>1372</v>
      </c>
      <c r="Y253">
        <v>1334</v>
      </c>
      <c r="Z253" s="7">
        <v>0.24444444444444444</v>
      </c>
      <c r="AA253" s="7">
        <v>0.24444444444444444</v>
      </c>
      <c r="AB253" s="7">
        <v>0.21805555555555556</v>
      </c>
      <c r="AC25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54" spans="2:29" x14ac:dyDescent="0.25">
      <c r="B254" s="3">
        <v>2</v>
      </c>
      <c r="C254">
        <v>2</v>
      </c>
      <c r="D254">
        <v>1</v>
      </c>
      <c r="E254" s="29" t="s">
        <v>22</v>
      </c>
      <c r="F254" s="3">
        <v>1191</v>
      </c>
      <c r="G254" s="3">
        <v>1191</v>
      </c>
      <c r="H254" s="29" t="s">
        <v>51</v>
      </c>
      <c r="I254" s="3">
        <v>7</v>
      </c>
      <c r="J254" s="7">
        <v>0.11874999999999999</v>
      </c>
      <c r="K254" s="7">
        <v>0.11874999999999999</v>
      </c>
      <c r="L254" s="3">
        <f t="shared" si="7"/>
        <v>1</v>
      </c>
      <c r="M254" s="3">
        <f t="shared" si="8"/>
        <v>0</v>
      </c>
      <c r="N254" s="29">
        <f>_xlfn.MAXIFS($G$7:G253,$E$7:E253,detalhe_carro1[[#This Row],[Nó]],$B$7:B253,detalhe_carro1[[#This Row],[Numero Voltas]],$L$7:L253,1)</f>
        <v>954</v>
      </c>
      <c r="O254" s="3" t="str">
        <f>IF(OR(detalhe_carro1[[#This Row],[Ultima Chegada]]=0,detalhe_carro1[[#This Row],[Chegada]]=0),"",detalhe_carro1[[#This Row],[Hora Inicio]]-detalhe_carro1[[#This Row],[Ultima Chegada]])</f>
        <v/>
      </c>
      <c r="P254" s="3">
        <f>IF(detalhe_carro1[[#This Row],[Tipo]]="Visitar Nó",((detalhe_carro1[[#This Row],[Hora Fim]]-detalhe_carro1[[#This Row],[Hora Inicio]])/60*velocidade_nos),0)</f>
        <v>0</v>
      </c>
      <c r="Q254" s="29">
        <f>detalhe_carro1[[#This Row],[Kms Nós]]+detalhe_carro1[[#This Row],[kms]]</f>
        <v>7</v>
      </c>
      <c r="S254" s="20">
        <v>3</v>
      </c>
      <c r="T254" s="20">
        <v>2</v>
      </c>
      <c r="U254" s="20">
        <v>6</v>
      </c>
      <c r="V254" s="20" t="s">
        <v>31</v>
      </c>
      <c r="W254">
        <v>1375</v>
      </c>
      <c r="X254">
        <v>1375</v>
      </c>
      <c r="Y254">
        <v>1369</v>
      </c>
      <c r="Z254" s="7">
        <v>0.24652777777777779</v>
      </c>
      <c r="AA254" s="7">
        <v>0.24652777777777779</v>
      </c>
      <c r="AB254" s="7">
        <v>0.24236111111111111</v>
      </c>
      <c r="AC25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255" spans="2:29" x14ac:dyDescent="0.25">
      <c r="B255" s="3">
        <v>2</v>
      </c>
      <c r="C255">
        <v>2</v>
      </c>
      <c r="D255">
        <v>0</v>
      </c>
      <c r="E255" s="29" t="s">
        <v>20</v>
      </c>
      <c r="F255" s="3">
        <v>1192</v>
      </c>
      <c r="G255" s="3">
        <v>1192</v>
      </c>
      <c r="H255" s="29" t="s">
        <v>51</v>
      </c>
      <c r="I255" s="3">
        <v>1</v>
      </c>
      <c r="J255" s="7">
        <v>0.11944444444444445</v>
      </c>
      <c r="K255" s="7">
        <v>0.11944444444444445</v>
      </c>
      <c r="L255" s="3">
        <f t="shared" si="7"/>
        <v>0</v>
      </c>
      <c r="M255" s="3">
        <f t="shared" si="8"/>
        <v>1</v>
      </c>
      <c r="N255" s="29">
        <f>_xlfn.MAXIFS($G$7:G254,$E$7:E254,detalhe_carro1[[#This Row],[Nó]],$B$7:B254,detalhe_carro1[[#This Row],[Numero Voltas]],$L$7:L254,1)</f>
        <v>873</v>
      </c>
      <c r="O255" s="3">
        <f>IF(OR(detalhe_carro1[[#This Row],[Ultima Chegada]]=0,detalhe_carro1[[#This Row],[Chegada]]=0),"",detalhe_carro1[[#This Row],[Hora Inicio]]-detalhe_carro1[[#This Row],[Ultima Chegada]])</f>
        <v>319</v>
      </c>
      <c r="P255" s="3">
        <f>IF(detalhe_carro1[[#This Row],[Tipo]]="Visitar Nó",((detalhe_carro1[[#This Row],[Hora Fim]]-detalhe_carro1[[#This Row],[Hora Inicio]])/60*velocidade_nos),0)</f>
        <v>0</v>
      </c>
      <c r="Q255" s="29">
        <f>detalhe_carro1[[#This Row],[Kms Nós]]+detalhe_carro1[[#This Row],[kms]]</f>
        <v>1</v>
      </c>
      <c r="S255" s="20">
        <v>3</v>
      </c>
      <c r="T255" s="20">
        <v>2</v>
      </c>
      <c r="U255" s="20">
        <v>5</v>
      </c>
      <c r="V255" s="20" t="s">
        <v>29</v>
      </c>
      <c r="W255">
        <v>1378</v>
      </c>
      <c r="X255">
        <v>1378</v>
      </c>
      <c r="Y255">
        <v>1366</v>
      </c>
      <c r="Z255" s="7">
        <v>0.24861111111111112</v>
      </c>
      <c r="AA255" s="7">
        <v>0.24861111111111112</v>
      </c>
      <c r="AB255" s="7">
        <v>0.24027777777777778</v>
      </c>
      <c r="AC25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256" spans="2:29" x14ac:dyDescent="0.25">
      <c r="B256" s="3">
        <v>2</v>
      </c>
      <c r="C256">
        <v>2</v>
      </c>
      <c r="D256">
        <v>0</v>
      </c>
      <c r="E256" s="29" t="s">
        <v>20</v>
      </c>
      <c r="F256" s="3">
        <v>1192</v>
      </c>
      <c r="G256" s="3">
        <v>1207</v>
      </c>
      <c r="H256" s="29" t="s">
        <v>50</v>
      </c>
      <c r="I256" s="3">
        <v>0</v>
      </c>
      <c r="J256" s="7">
        <v>0.11944444444444445</v>
      </c>
      <c r="K256" s="7">
        <v>0.12986111111111112</v>
      </c>
      <c r="L256" s="3">
        <f t="shared" si="7"/>
        <v>0</v>
      </c>
      <c r="M256" s="3">
        <f t="shared" si="8"/>
        <v>0</v>
      </c>
      <c r="N256" s="29">
        <f>_xlfn.MAXIFS($G$7:G255,$E$7:E255,detalhe_carro1[[#This Row],[Nó]],$B$7:B255,detalhe_carro1[[#This Row],[Numero Voltas]],$L$7:L255,1)</f>
        <v>873</v>
      </c>
      <c r="O256" s="3" t="str">
        <f>IF(OR(detalhe_carro1[[#This Row],[Ultima Chegada]]=0,detalhe_carro1[[#This Row],[Chegada]]=0),"",detalhe_carro1[[#This Row],[Hora Inicio]]-detalhe_carro1[[#This Row],[Ultima Chegada]])</f>
        <v/>
      </c>
      <c r="P256" s="3">
        <f>IF(detalhe_carro1[[#This Row],[Tipo]]="Visitar Nó",((detalhe_carro1[[#This Row],[Hora Fim]]-detalhe_carro1[[#This Row],[Hora Inicio]])/60*velocidade_nos),0)</f>
        <v>7.5</v>
      </c>
      <c r="Q256" s="29">
        <f>detalhe_carro1[[#This Row],[Kms Nós]]+detalhe_carro1[[#This Row],[kms]]</f>
        <v>7.5</v>
      </c>
      <c r="S256" s="20">
        <v>3</v>
      </c>
      <c r="T256" s="20">
        <v>2</v>
      </c>
      <c r="U256" s="20">
        <v>4</v>
      </c>
      <c r="V256" s="20" t="s">
        <v>27</v>
      </c>
      <c r="W256">
        <v>1381</v>
      </c>
      <c r="X256">
        <v>1381</v>
      </c>
      <c r="Y256">
        <v>1363</v>
      </c>
      <c r="Z256" s="7">
        <v>0.25069444444444444</v>
      </c>
      <c r="AA256" s="7">
        <v>0.25069444444444444</v>
      </c>
      <c r="AB256" s="7">
        <v>0.23819444444444443</v>
      </c>
      <c r="AC25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57" spans="2:29" x14ac:dyDescent="0.25">
      <c r="B257" s="3">
        <v>2</v>
      </c>
      <c r="C257">
        <v>2</v>
      </c>
      <c r="D257">
        <v>0</v>
      </c>
      <c r="E257" s="29" t="s">
        <v>20</v>
      </c>
      <c r="F257" s="3">
        <v>1207</v>
      </c>
      <c r="G257" s="3">
        <v>1207</v>
      </c>
      <c r="H257" s="29" t="s">
        <v>51</v>
      </c>
      <c r="I257" s="3">
        <v>1</v>
      </c>
      <c r="J257" s="7">
        <v>0.12986111111111112</v>
      </c>
      <c r="K257" s="7">
        <v>0.12986111111111112</v>
      </c>
      <c r="L257" s="3">
        <f t="shared" si="7"/>
        <v>1</v>
      </c>
      <c r="M257" s="3">
        <f t="shared" si="8"/>
        <v>0</v>
      </c>
      <c r="N257" s="29">
        <f>_xlfn.MAXIFS($G$7:G256,$E$7:E256,detalhe_carro1[[#This Row],[Nó]],$B$7:B256,detalhe_carro1[[#This Row],[Numero Voltas]],$L$7:L256,1)</f>
        <v>873</v>
      </c>
      <c r="O257" s="3" t="str">
        <f>IF(OR(detalhe_carro1[[#This Row],[Ultima Chegada]]=0,detalhe_carro1[[#This Row],[Chegada]]=0),"",detalhe_carro1[[#This Row],[Hora Inicio]]-detalhe_carro1[[#This Row],[Ultima Chegada]])</f>
        <v/>
      </c>
      <c r="P257" s="3">
        <f>IF(detalhe_carro1[[#This Row],[Tipo]]="Visitar Nó",((detalhe_carro1[[#This Row],[Hora Fim]]-detalhe_carro1[[#This Row],[Hora Inicio]])/60*velocidade_nos),0)</f>
        <v>0</v>
      </c>
      <c r="Q257" s="29">
        <f>detalhe_carro1[[#This Row],[Kms Nós]]+detalhe_carro1[[#This Row],[kms]]</f>
        <v>1</v>
      </c>
      <c r="S257" s="20">
        <v>3</v>
      </c>
      <c r="T257" s="20">
        <v>2</v>
      </c>
      <c r="U257" s="20">
        <v>3</v>
      </c>
      <c r="V257" s="20" t="s">
        <v>26</v>
      </c>
      <c r="W257">
        <v>1382</v>
      </c>
      <c r="X257">
        <v>1382</v>
      </c>
      <c r="Y257">
        <v>1362</v>
      </c>
      <c r="Z257" s="7">
        <v>0.25138888888888888</v>
      </c>
      <c r="AA257" s="7">
        <v>0.25138888888888888</v>
      </c>
      <c r="AB257" s="7">
        <v>0.23749999999999999</v>
      </c>
      <c r="AC25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58" spans="2:29" x14ac:dyDescent="0.25">
      <c r="B258" s="3">
        <v>2</v>
      </c>
      <c r="C258">
        <v>2</v>
      </c>
      <c r="D258">
        <v>1</v>
      </c>
      <c r="E258" s="29" t="s">
        <v>22</v>
      </c>
      <c r="F258" s="3">
        <v>1208</v>
      </c>
      <c r="G258" s="3">
        <v>1213</v>
      </c>
      <c r="H258" s="29" t="s">
        <v>50</v>
      </c>
      <c r="I258" s="3">
        <v>0</v>
      </c>
      <c r="J258" s="7">
        <v>0.13055555555555556</v>
      </c>
      <c r="K258" s="7">
        <v>0.13402777777777777</v>
      </c>
      <c r="L258" s="3">
        <f t="shared" si="7"/>
        <v>0</v>
      </c>
      <c r="M258" s="3">
        <f t="shared" si="8"/>
        <v>1</v>
      </c>
      <c r="N258" s="29">
        <f>_xlfn.MAXIFS($G$7:G257,$E$7:E257,detalhe_carro1[[#This Row],[Nó]],$B$7:B257,detalhe_carro1[[#This Row],[Numero Voltas]],$L$7:L257,1)</f>
        <v>1191</v>
      </c>
      <c r="O258" s="3">
        <f>IF(OR(detalhe_carro1[[#This Row],[Ultima Chegada]]=0,detalhe_carro1[[#This Row],[Chegada]]=0),"",detalhe_carro1[[#This Row],[Hora Inicio]]-detalhe_carro1[[#This Row],[Ultima Chegada]])</f>
        <v>17</v>
      </c>
      <c r="P258" s="3">
        <f>IF(detalhe_carro1[[#This Row],[Tipo]]="Visitar Nó",((detalhe_carro1[[#This Row],[Hora Fim]]-detalhe_carro1[[#This Row],[Hora Inicio]])/60*velocidade_nos),0)</f>
        <v>2.5</v>
      </c>
      <c r="Q258" s="29">
        <f>detalhe_carro1[[#This Row],[Kms Nós]]+detalhe_carro1[[#This Row],[kms]]</f>
        <v>2.5</v>
      </c>
      <c r="S258" s="20">
        <v>3</v>
      </c>
      <c r="T258" s="20">
        <v>2</v>
      </c>
      <c r="U258" s="20">
        <v>2</v>
      </c>
      <c r="V258" s="20" t="s">
        <v>24</v>
      </c>
      <c r="W258">
        <v>1383</v>
      </c>
      <c r="X258">
        <v>1383</v>
      </c>
      <c r="Y258">
        <v>1361</v>
      </c>
      <c r="Z258" s="7">
        <v>0.25208333333333333</v>
      </c>
      <c r="AA258" s="7">
        <v>0.25208333333333333</v>
      </c>
      <c r="AB258" s="7">
        <v>0.23680555555555555</v>
      </c>
      <c r="AC25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259" spans="2:29" x14ac:dyDescent="0.25">
      <c r="B259" s="3">
        <v>2</v>
      </c>
      <c r="C259">
        <v>2</v>
      </c>
      <c r="D259">
        <v>1</v>
      </c>
      <c r="E259" s="29" t="s">
        <v>22</v>
      </c>
      <c r="F259" s="3">
        <v>1214</v>
      </c>
      <c r="G259" s="3">
        <v>1214</v>
      </c>
      <c r="H259" s="29" t="s">
        <v>51</v>
      </c>
      <c r="I259" s="3">
        <v>1</v>
      </c>
      <c r="J259" s="7">
        <v>0.13472222222222222</v>
      </c>
      <c r="K259" s="7">
        <v>0.13472222222222222</v>
      </c>
      <c r="L259" s="3">
        <f t="shared" si="7"/>
        <v>1</v>
      </c>
      <c r="M259" s="3">
        <f t="shared" si="8"/>
        <v>0</v>
      </c>
      <c r="N259" s="29">
        <f>_xlfn.MAXIFS($G$7:G258,$E$7:E258,detalhe_carro1[[#This Row],[Nó]],$B$7:B258,detalhe_carro1[[#This Row],[Numero Voltas]],$L$7:L258,1)</f>
        <v>1191</v>
      </c>
      <c r="O259" s="3" t="str">
        <f>IF(OR(detalhe_carro1[[#This Row],[Ultima Chegada]]=0,detalhe_carro1[[#This Row],[Chegada]]=0),"",detalhe_carro1[[#This Row],[Hora Inicio]]-detalhe_carro1[[#This Row],[Ultima Chegada]])</f>
        <v/>
      </c>
      <c r="P259" s="3">
        <f>IF(detalhe_carro1[[#This Row],[Tipo]]="Visitar Nó",((detalhe_carro1[[#This Row],[Hora Fim]]-detalhe_carro1[[#This Row],[Hora Inicio]])/60*velocidade_nos),0)</f>
        <v>0</v>
      </c>
      <c r="Q259" s="29">
        <f>detalhe_carro1[[#This Row],[Kms Nós]]+detalhe_carro1[[#This Row],[kms]]</f>
        <v>1</v>
      </c>
      <c r="S259" s="20">
        <v>3</v>
      </c>
      <c r="T259" s="20">
        <v>2</v>
      </c>
      <c r="U259" s="20">
        <v>1</v>
      </c>
      <c r="V259" s="20" t="s">
        <v>22</v>
      </c>
      <c r="W259">
        <v>1390</v>
      </c>
      <c r="X259">
        <v>1390</v>
      </c>
      <c r="Y259">
        <v>1354</v>
      </c>
      <c r="Z259" s="7">
        <v>0.25694444444444442</v>
      </c>
      <c r="AA259" s="7">
        <v>0.25694444444444442</v>
      </c>
      <c r="AB259" s="7">
        <v>0.23194444444444445</v>
      </c>
      <c r="AC25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260" spans="2:29" x14ac:dyDescent="0.25">
      <c r="B260" s="3">
        <v>2</v>
      </c>
      <c r="C260">
        <v>2</v>
      </c>
      <c r="D260">
        <v>2</v>
      </c>
      <c r="E260" s="29" t="s">
        <v>24</v>
      </c>
      <c r="F260" s="3">
        <v>1221</v>
      </c>
      <c r="G260" s="3">
        <v>1235</v>
      </c>
      <c r="H260" s="29" t="s">
        <v>50</v>
      </c>
      <c r="I260" s="3">
        <v>0</v>
      </c>
      <c r="J260" s="7">
        <v>0.13958333333333334</v>
      </c>
      <c r="K260" s="7">
        <v>0.14930555555555555</v>
      </c>
      <c r="L260" s="3">
        <f t="shared" si="7"/>
        <v>0</v>
      </c>
      <c r="M260" s="3">
        <f t="shared" si="8"/>
        <v>1</v>
      </c>
      <c r="N260" s="29">
        <f>_xlfn.MAXIFS($G$7:G259,$E$7:E259,detalhe_carro1[[#This Row],[Nó]],$B$7:B259,detalhe_carro1[[#This Row],[Numero Voltas]],$L$7:L259,1)</f>
        <v>1172</v>
      </c>
      <c r="O260" s="3">
        <f>IF(OR(detalhe_carro1[[#This Row],[Ultima Chegada]]=0,detalhe_carro1[[#This Row],[Chegada]]=0),"",detalhe_carro1[[#This Row],[Hora Inicio]]-detalhe_carro1[[#This Row],[Ultima Chegada]])</f>
        <v>49</v>
      </c>
      <c r="P260" s="3">
        <f>IF(detalhe_carro1[[#This Row],[Tipo]]="Visitar Nó",((detalhe_carro1[[#This Row],[Hora Fim]]-detalhe_carro1[[#This Row],[Hora Inicio]])/60*velocidade_nos),0)</f>
        <v>7</v>
      </c>
      <c r="Q260" s="29">
        <f>detalhe_carro1[[#This Row],[Kms Nós]]+detalhe_carro1[[#This Row],[kms]]</f>
        <v>7</v>
      </c>
      <c r="S260" s="20">
        <v>3</v>
      </c>
      <c r="T260" s="20">
        <v>2</v>
      </c>
      <c r="U260" s="20">
        <v>0</v>
      </c>
      <c r="V260" s="20" t="s">
        <v>20</v>
      </c>
      <c r="W260">
        <v>1391</v>
      </c>
      <c r="X260">
        <v>1391</v>
      </c>
      <c r="Y260">
        <v>1353</v>
      </c>
      <c r="Z260" s="7">
        <v>0.25763888888888886</v>
      </c>
      <c r="AA260" s="7">
        <v>0.25763888888888886</v>
      </c>
      <c r="AB260" s="7">
        <v>0.23125000000000001</v>
      </c>
      <c r="AC26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61" spans="2:29" x14ac:dyDescent="0.25">
      <c r="B261" s="3">
        <v>2</v>
      </c>
      <c r="C261">
        <v>2</v>
      </c>
      <c r="D261">
        <v>2</v>
      </c>
      <c r="E261" s="29" t="s">
        <v>24</v>
      </c>
      <c r="F261" s="3">
        <v>1242</v>
      </c>
      <c r="G261" s="3">
        <v>1242</v>
      </c>
      <c r="H261" s="29" t="s">
        <v>51</v>
      </c>
      <c r="I261" s="3">
        <v>7</v>
      </c>
      <c r="J261" s="7">
        <v>0.15416666666666667</v>
      </c>
      <c r="K261" s="7">
        <v>0.15416666666666667</v>
      </c>
      <c r="L261" s="3">
        <f t="shared" si="7"/>
        <v>1</v>
      </c>
      <c r="M261" s="3">
        <f t="shared" si="8"/>
        <v>0</v>
      </c>
      <c r="N261" s="29">
        <f>_xlfn.MAXIFS($G$7:G260,$E$7:E260,detalhe_carro1[[#This Row],[Nó]],$B$7:B260,detalhe_carro1[[#This Row],[Numero Voltas]],$L$7:L260,1)</f>
        <v>1172</v>
      </c>
      <c r="O261" s="3" t="str">
        <f>IF(OR(detalhe_carro1[[#This Row],[Ultima Chegada]]=0,detalhe_carro1[[#This Row],[Chegada]]=0),"",detalhe_carro1[[#This Row],[Hora Inicio]]-detalhe_carro1[[#This Row],[Ultima Chegada]])</f>
        <v/>
      </c>
      <c r="P261" s="3">
        <f>IF(detalhe_carro1[[#This Row],[Tipo]]="Visitar Nó",((detalhe_carro1[[#This Row],[Hora Fim]]-detalhe_carro1[[#This Row],[Hora Inicio]])/60*velocidade_nos),0)</f>
        <v>0</v>
      </c>
      <c r="Q261" s="29">
        <f>detalhe_carro1[[#This Row],[Kms Nós]]+detalhe_carro1[[#This Row],[kms]]</f>
        <v>7</v>
      </c>
      <c r="S261" s="20">
        <v>3</v>
      </c>
      <c r="T261" s="20">
        <v>2</v>
      </c>
      <c r="U261" s="20">
        <v>1</v>
      </c>
      <c r="V261" s="20" t="s">
        <v>22</v>
      </c>
      <c r="W261">
        <v>1392</v>
      </c>
      <c r="X261">
        <v>1453</v>
      </c>
      <c r="Y261">
        <v>1390</v>
      </c>
      <c r="Z261" s="7">
        <v>0.25833333333333336</v>
      </c>
      <c r="AA261" s="7">
        <v>0.30069444444444443</v>
      </c>
      <c r="AB261" s="7">
        <v>0.25694444444444442</v>
      </c>
      <c r="AC26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62" spans="2:29" x14ac:dyDescent="0.25">
      <c r="B262" s="3">
        <v>2</v>
      </c>
      <c r="C262">
        <v>2</v>
      </c>
      <c r="D262">
        <v>3</v>
      </c>
      <c r="E262" s="29" t="s">
        <v>26</v>
      </c>
      <c r="F262" s="3">
        <v>1243</v>
      </c>
      <c r="G262" s="3">
        <v>1253</v>
      </c>
      <c r="H262" s="29" t="s">
        <v>50</v>
      </c>
      <c r="I262" s="3">
        <v>0</v>
      </c>
      <c r="J262" s="7">
        <v>0.15486111111111112</v>
      </c>
      <c r="K262" s="7">
        <v>0.16180555555555556</v>
      </c>
      <c r="L262" s="3">
        <f t="shared" si="7"/>
        <v>0</v>
      </c>
      <c r="M262" s="3">
        <f t="shared" si="8"/>
        <v>1</v>
      </c>
      <c r="N262" s="29">
        <f>_xlfn.MAXIFS($G$7:G261,$E$7:E261,detalhe_carro1[[#This Row],[Nó]],$B$7:B261,detalhe_carro1[[#This Row],[Numero Voltas]],$L$7:L261,1)</f>
        <v>1156</v>
      </c>
      <c r="O262" s="3">
        <f>IF(OR(detalhe_carro1[[#This Row],[Ultima Chegada]]=0,detalhe_carro1[[#This Row],[Chegada]]=0),"",detalhe_carro1[[#This Row],[Hora Inicio]]-detalhe_carro1[[#This Row],[Ultima Chegada]])</f>
        <v>87</v>
      </c>
      <c r="P262" s="3">
        <f>IF(detalhe_carro1[[#This Row],[Tipo]]="Visitar Nó",((detalhe_carro1[[#This Row],[Hora Fim]]-detalhe_carro1[[#This Row],[Hora Inicio]])/60*velocidade_nos),0)</f>
        <v>5</v>
      </c>
      <c r="Q262" s="29">
        <f>detalhe_carro1[[#This Row],[Kms Nós]]+detalhe_carro1[[#This Row],[kms]]</f>
        <v>5</v>
      </c>
      <c r="S262" s="20">
        <v>3</v>
      </c>
      <c r="T262" s="20">
        <v>2</v>
      </c>
      <c r="U262" s="20">
        <v>2</v>
      </c>
      <c r="V262" s="20" t="s">
        <v>24</v>
      </c>
      <c r="W262">
        <v>1460</v>
      </c>
      <c r="X262">
        <v>1460</v>
      </c>
      <c r="Y262">
        <v>1383</v>
      </c>
      <c r="Z262" s="7">
        <v>0.30555555555555558</v>
      </c>
      <c r="AA262" s="7">
        <v>0.30555555555555558</v>
      </c>
      <c r="AB262" s="7">
        <v>0.25208333333333333</v>
      </c>
      <c r="AC26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1.2833333333333334</v>
      </c>
    </row>
    <row r="263" spans="2:29" x14ac:dyDescent="0.25">
      <c r="B263" s="3">
        <v>2</v>
      </c>
      <c r="C263">
        <v>2</v>
      </c>
      <c r="D263">
        <v>3</v>
      </c>
      <c r="E263" s="29" t="s">
        <v>26</v>
      </c>
      <c r="F263" s="3">
        <v>1254</v>
      </c>
      <c r="G263" s="3">
        <v>1254</v>
      </c>
      <c r="H263" s="29" t="s">
        <v>51</v>
      </c>
      <c r="I263" s="3">
        <v>1</v>
      </c>
      <c r="J263" s="7">
        <v>0.16250000000000001</v>
      </c>
      <c r="K263" s="7">
        <v>0.16250000000000001</v>
      </c>
      <c r="L263" s="3">
        <f t="shared" ref="L263:L326" si="9">IF(E263&lt;&gt;E264,1,0)</f>
        <v>1</v>
      </c>
      <c r="M263" s="3">
        <f t="shared" ref="M263:M326" si="10">IF(E263&lt;&gt;E262,1,0)</f>
        <v>0</v>
      </c>
      <c r="N263" s="29">
        <f>_xlfn.MAXIFS($G$7:G262,$E$7:E262,detalhe_carro1[[#This Row],[Nó]],$B$7:B262,detalhe_carro1[[#This Row],[Numero Voltas]],$L$7:L262,1)</f>
        <v>1156</v>
      </c>
      <c r="O263" s="3" t="str">
        <f>IF(OR(detalhe_carro1[[#This Row],[Ultima Chegada]]=0,detalhe_carro1[[#This Row],[Chegada]]=0),"",detalhe_carro1[[#This Row],[Hora Inicio]]-detalhe_carro1[[#This Row],[Ultima Chegada]])</f>
        <v/>
      </c>
      <c r="P263" s="3">
        <f>IF(detalhe_carro1[[#This Row],[Tipo]]="Visitar Nó",((detalhe_carro1[[#This Row],[Hora Fim]]-detalhe_carro1[[#This Row],[Hora Inicio]])/60*velocidade_nos),0)</f>
        <v>0</v>
      </c>
      <c r="Q263" s="29">
        <f>detalhe_carro1[[#This Row],[Kms Nós]]+detalhe_carro1[[#This Row],[kms]]</f>
        <v>1</v>
      </c>
      <c r="S263" s="20">
        <v>3</v>
      </c>
      <c r="T263" s="20">
        <v>2</v>
      </c>
      <c r="U263" s="20">
        <v>3</v>
      </c>
      <c r="V263" s="20" t="s">
        <v>26</v>
      </c>
      <c r="W263">
        <v>1461</v>
      </c>
      <c r="X263">
        <v>1461</v>
      </c>
      <c r="Y263">
        <v>1382</v>
      </c>
      <c r="Z263" s="7">
        <v>0.30625000000000002</v>
      </c>
      <c r="AA263" s="7">
        <v>0.30625000000000002</v>
      </c>
      <c r="AB263" s="7">
        <v>0.25138888888888888</v>
      </c>
      <c r="AC26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1.3166666666666667</v>
      </c>
    </row>
    <row r="264" spans="2:29" x14ac:dyDescent="0.25">
      <c r="B264" s="3">
        <v>2</v>
      </c>
      <c r="C264">
        <v>2</v>
      </c>
      <c r="D264">
        <v>4</v>
      </c>
      <c r="E264" s="29" t="s">
        <v>27</v>
      </c>
      <c r="F264" s="3">
        <v>1255</v>
      </c>
      <c r="G264" s="3">
        <v>1268</v>
      </c>
      <c r="H264" s="29" t="s">
        <v>50</v>
      </c>
      <c r="I264" s="3">
        <v>0</v>
      </c>
      <c r="J264" s="7">
        <v>0.16319444444444445</v>
      </c>
      <c r="K264" s="7">
        <v>0.17222222222222222</v>
      </c>
      <c r="L264" s="3">
        <f t="shared" si="9"/>
        <v>0</v>
      </c>
      <c r="M264" s="3">
        <f t="shared" si="10"/>
        <v>1</v>
      </c>
      <c r="N264" s="29">
        <f>_xlfn.MAXIFS($G$7:G263,$E$7:E263,detalhe_carro1[[#This Row],[Nó]],$B$7:B263,detalhe_carro1[[#This Row],[Numero Voltas]],$L$7:L263,1)</f>
        <v>1144</v>
      </c>
      <c r="O264" s="3">
        <f>IF(OR(detalhe_carro1[[#This Row],[Ultima Chegada]]=0,detalhe_carro1[[#This Row],[Chegada]]=0),"",detalhe_carro1[[#This Row],[Hora Inicio]]-detalhe_carro1[[#This Row],[Ultima Chegada]])</f>
        <v>111</v>
      </c>
      <c r="P264" s="3">
        <f>IF(detalhe_carro1[[#This Row],[Tipo]]="Visitar Nó",((detalhe_carro1[[#This Row],[Hora Fim]]-detalhe_carro1[[#This Row],[Hora Inicio]])/60*velocidade_nos),0)</f>
        <v>6.5</v>
      </c>
      <c r="Q264" s="29">
        <f>detalhe_carro1[[#This Row],[Kms Nós]]+detalhe_carro1[[#This Row],[kms]]</f>
        <v>6.5</v>
      </c>
      <c r="S264" s="20">
        <v>3</v>
      </c>
      <c r="T264" s="20">
        <v>2</v>
      </c>
      <c r="U264" s="20">
        <v>4</v>
      </c>
      <c r="V264" s="20" t="s">
        <v>27</v>
      </c>
      <c r="W264">
        <v>1462</v>
      </c>
      <c r="X264">
        <v>1462</v>
      </c>
      <c r="Y264">
        <v>1381</v>
      </c>
      <c r="Z264" s="7">
        <v>0.30694444444444446</v>
      </c>
      <c r="AA264" s="7">
        <v>0.30694444444444446</v>
      </c>
      <c r="AB264" s="7">
        <v>0.25069444444444444</v>
      </c>
      <c r="AC26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1.35</v>
      </c>
    </row>
    <row r="265" spans="2:29" x14ac:dyDescent="0.25">
      <c r="B265" s="3">
        <v>2</v>
      </c>
      <c r="C265">
        <v>2</v>
      </c>
      <c r="D265">
        <v>4</v>
      </c>
      <c r="E265" s="29" t="s">
        <v>27</v>
      </c>
      <c r="F265" s="3">
        <v>1269</v>
      </c>
      <c r="G265" s="3">
        <v>1269</v>
      </c>
      <c r="H265" s="29" t="s">
        <v>51</v>
      </c>
      <c r="I265" s="3">
        <v>1</v>
      </c>
      <c r="J265" s="7">
        <v>0.17291666666666666</v>
      </c>
      <c r="K265" s="7">
        <v>0.17291666666666666</v>
      </c>
      <c r="L265" s="3">
        <f t="shared" si="9"/>
        <v>1</v>
      </c>
      <c r="M265" s="3">
        <f t="shared" si="10"/>
        <v>0</v>
      </c>
      <c r="N265" s="29">
        <f>_xlfn.MAXIFS($G$7:G264,$E$7:E264,detalhe_carro1[[#This Row],[Nó]],$B$7:B264,detalhe_carro1[[#This Row],[Numero Voltas]],$L$7:L264,1)</f>
        <v>1144</v>
      </c>
      <c r="O265" s="3" t="str">
        <f>IF(OR(detalhe_carro1[[#This Row],[Ultima Chegada]]=0,detalhe_carro1[[#This Row],[Chegada]]=0),"",detalhe_carro1[[#This Row],[Hora Inicio]]-detalhe_carro1[[#This Row],[Ultima Chegada]])</f>
        <v/>
      </c>
      <c r="P265" s="3">
        <f>IF(detalhe_carro1[[#This Row],[Tipo]]="Visitar Nó",((detalhe_carro1[[#This Row],[Hora Fim]]-detalhe_carro1[[#This Row],[Hora Inicio]])/60*velocidade_nos),0)</f>
        <v>0</v>
      </c>
      <c r="Q265" s="29">
        <f>detalhe_carro1[[#This Row],[Kms Nós]]+detalhe_carro1[[#This Row],[kms]]</f>
        <v>1</v>
      </c>
      <c r="S265" s="20">
        <v>3</v>
      </c>
      <c r="T265" s="20">
        <v>2</v>
      </c>
      <c r="U265" s="20">
        <v>5</v>
      </c>
      <c r="V265" s="20" t="s">
        <v>29</v>
      </c>
      <c r="W265">
        <v>1465</v>
      </c>
      <c r="X265">
        <v>1465</v>
      </c>
      <c r="Y265">
        <v>1378</v>
      </c>
      <c r="Z265" s="7">
        <v>0.30902777777777779</v>
      </c>
      <c r="AA265" s="7">
        <v>0.30902777777777779</v>
      </c>
      <c r="AB265" s="7">
        <v>0.24861111111111112</v>
      </c>
      <c r="AC26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266" spans="2:29" x14ac:dyDescent="0.25">
      <c r="B266" s="3">
        <v>2</v>
      </c>
      <c r="C266">
        <v>2</v>
      </c>
      <c r="D266">
        <v>5</v>
      </c>
      <c r="E266" s="29" t="s">
        <v>29</v>
      </c>
      <c r="F266" s="3">
        <v>1272</v>
      </c>
      <c r="G266" s="3">
        <v>1282</v>
      </c>
      <c r="H266" s="29" t="s">
        <v>297</v>
      </c>
      <c r="I266" s="3">
        <v>0</v>
      </c>
      <c r="J266" s="7">
        <v>0.17499999999999999</v>
      </c>
      <c r="K266" s="7">
        <v>0.18194444444444444</v>
      </c>
      <c r="L266" s="3">
        <f t="shared" si="9"/>
        <v>0</v>
      </c>
      <c r="M266" s="3">
        <f t="shared" si="10"/>
        <v>1</v>
      </c>
      <c r="N266" s="29">
        <f>_xlfn.MAXIFS($G$7:G265,$E$7:E265,detalhe_carro1[[#This Row],[Nó]],$B$7:B265,detalhe_carro1[[#This Row],[Numero Voltas]],$L$7:L265,1)</f>
        <v>1125</v>
      </c>
      <c r="O266" s="3">
        <f>IF(OR(detalhe_carro1[[#This Row],[Ultima Chegada]]=0,detalhe_carro1[[#This Row],[Chegada]]=0),"",detalhe_carro1[[#This Row],[Hora Inicio]]-detalhe_carro1[[#This Row],[Ultima Chegada]])</f>
        <v>147</v>
      </c>
      <c r="P266" s="3">
        <f>IF(detalhe_carro1[[#This Row],[Tipo]]="Visitar Nó",((detalhe_carro1[[#This Row],[Hora Fim]]-detalhe_carro1[[#This Row],[Hora Inicio]])/60*velocidade_nos),0)</f>
        <v>0</v>
      </c>
      <c r="Q266" s="29">
        <f>detalhe_carro1[[#This Row],[Kms Nós]]+detalhe_carro1[[#This Row],[kms]]</f>
        <v>0</v>
      </c>
      <c r="S266" s="20">
        <v>3</v>
      </c>
      <c r="T266" s="20">
        <v>2</v>
      </c>
      <c r="U266" s="20">
        <v>6</v>
      </c>
      <c r="V266" s="20" t="s">
        <v>31</v>
      </c>
      <c r="W266">
        <v>1468</v>
      </c>
      <c r="X266">
        <v>1531</v>
      </c>
      <c r="Y266">
        <v>1375</v>
      </c>
      <c r="Z266" s="7">
        <v>0.31111111111111112</v>
      </c>
      <c r="AA266" s="7">
        <v>0.35486111111111113</v>
      </c>
      <c r="AB266" s="7">
        <v>0.24652777777777779</v>
      </c>
      <c r="AC26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1.55</v>
      </c>
    </row>
    <row r="267" spans="2:29" x14ac:dyDescent="0.25">
      <c r="B267" s="3">
        <v>2</v>
      </c>
      <c r="C267">
        <v>2</v>
      </c>
      <c r="D267">
        <v>5</v>
      </c>
      <c r="E267" s="29" t="s">
        <v>29</v>
      </c>
      <c r="F267" s="3">
        <v>1285</v>
      </c>
      <c r="G267" s="3">
        <v>1313</v>
      </c>
      <c r="H267" s="29" t="s">
        <v>50</v>
      </c>
      <c r="I267" s="3">
        <v>0</v>
      </c>
      <c r="J267" s="7">
        <v>0.18402777777777779</v>
      </c>
      <c r="K267" s="7">
        <v>0.20347222222222222</v>
      </c>
      <c r="L267" s="3">
        <f t="shared" si="9"/>
        <v>0</v>
      </c>
      <c r="M267" s="3">
        <f t="shared" si="10"/>
        <v>0</v>
      </c>
      <c r="N267" s="29">
        <f>_xlfn.MAXIFS($G$7:G266,$E$7:E266,detalhe_carro1[[#This Row],[Nó]],$B$7:B266,detalhe_carro1[[#This Row],[Numero Voltas]],$L$7:L266,1)</f>
        <v>1125</v>
      </c>
      <c r="O267" s="3" t="str">
        <f>IF(OR(detalhe_carro1[[#This Row],[Ultima Chegada]]=0,detalhe_carro1[[#This Row],[Chegada]]=0),"",detalhe_carro1[[#This Row],[Hora Inicio]]-detalhe_carro1[[#This Row],[Ultima Chegada]])</f>
        <v/>
      </c>
      <c r="P267" s="3">
        <f>IF(detalhe_carro1[[#This Row],[Tipo]]="Visitar Nó",((detalhe_carro1[[#This Row],[Hora Fim]]-detalhe_carro1[[#This Row],[Hora Inicio]])/60*velocidade_nos),0)</f>
        <v>14</v>
      </c>
      <c r="Q267" s="29">
        <f>detalhe_carro1[[#This Row],[Kms Nós]]+detalhe_carro1[[#This Row],[kms]]</f>
        <v>14</v>
      </c>
      <c r="S267" s="20">
        <v>3</v>
      </c>
      <c r="T267" s="20">
        <v>2</v>
      </c>
      <c r="U267" s="20">
        <v>7</v>
      </c>
      <c r="V267" s="20" t="s">
        <v>33</v>
      </c>
      <c r="W267">
        <v>1534</v>
      </c>
      <c r="X267">
        <v>1534</v>
      </c>
      <c r="Y267">
        <v>1372</v>
      </c>
      <c r="Z267" s="7">
        <v>0.35694444444444445</v>
      </c>
      <c r="AA267" s="7">
        <v>0.35694444444444445</v>
      </c>
      <c r="AB267" s="7">
        <v>0.24444444444444444</v>
      </c>
      <c r="AC26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</v>
      </c>
    </row>
    <row r="268" spans="2:29" x14ac:dyDescent="0.25">
      <c r="B268" s="3">
        <v>2</v>
      </c>
      <c r="C268">
        <v>2</v>
      </c>
      <c r="D268">
        <v>5</v>
      </c>
      <c r="E268" s="29" t="s">
        <v>29</v>
      </c>
      <c r="F268" s="3">
        <v>1316</v>
      </c>
      <c r="G268" s="3">
        <v>1316</v>
      </c>
      <c r="H268" s="29" t="s">
        <v>51</v>
      </c>
      <c r="I268" s="3">
        <v>3</v>
      </c>
      <c r="J268" s="7">
        <v>0.20555555555555555</v>
      </c>
      <c r="K268" s="7">
        <v>0.20555555555555555</v>
      </c>
      <c r="L268" s="3">
        <f t="shared" si="9"/>
        <v>1</v>
      </c>
      <c r="M268" s="3">
        <f t="shared" si="10"/>
        <v>0</v>
      </c>
      <c r="N268" s="29">
        <f>_xlfn.MAXIFS($G$7:G267,$E$7:E267,detalhe_carro1[[#This Row],[Nó]],$B$7:B267,detalhe_carro1[[#This Row],[Numero Voltas]],$L$7:L267,1)</f>
        <v>1125</v>
      </c>
      <c r="O268" s="3" t="str">
        <f>IF(OR(detalhe_carro1[[#This Row],[Ultima Chegada]]=0,detalhe_carro1[[#This Row],[Chegada]]=0),"",detalhe_carro1[[#This Row],[Hora Inicio]]-detalhe_carro1[[#This Row],[Ultima Chegada]])</f>
        <v/>
      </c>
      <c r="P268" s="3">
        <f>IF(detalhe_carro1[[#This Row],[Tipo]]="Visitar Nó",((detalhe_carro1[[#This Row],[Hora Fim]]-detalhe_carro1[[#This Row],[Hora Inicio]])/60*velocidade_nos),0)</f>
        <v>0</v>
      </c>
      <c r="Q268" s="29">
        <f>detalhe_carro1[[#This Row],[Kms Nós]]+detalhe_carro1[[#This Row],[kms]]</f>
        <v>3</v>
      </c>
      <c r="S268" s="20">
        <v>4</v>
      </c>
      <c r="T268" s="20">
        <v>0</v>
      </c>
      <c r="U268" s="20">
        <v>7</v>
      </c>
      <c r="V268" s="20" t="s">
        <v>33</v>
      </c>
      <c r="W268">
        <v>30</v>
      </c>
      <c r="X268">
        <v>103</v>
      </c>
      <c r="Y268">
        <v>0</v>
      </c>
      <c r="Z268" s="7">
        <v>0.3125</v>
      </c>
      <c r="AA268" s="7">
        <v>0.36319444444444443</v>
      </c>
      <c r="AB268" s="7">
        <v>0.29166666666666669</v>
      </c>
      <c r="AC268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69" spans="2:29" x14ac:dyDescent="0.25">
      <c r="B269" s="3">
        <v>2</v>
      </c>
      <c r="C269">
        <v>2</v>
      </c>
      <c r="D269">
        <v>6</v>
      </c>
      <c r="E269" s="29" t="s">
        <v>31</v>
      </c>
      <c r="F269" s="3">
        <v>1319</v>
      </c>
      <c r="G269" s="3">
        <v>1328</v>
      </c>
      <c r="H269" s="29" t="s">
        <v>50</v>
      </c>
      <c r="I269" s="3">
        <v>0</v>
      </c>
      <c r="J269" s="7">
        <v>0.2076388888888889</v>
      </c>
      <c r="K269" s="7">
        <v>0.21388888888888888</v>
      </c>
      <c r="L269" s="3">
        <f t="shared" si="9"/>
        <v>0</v>
      </c>
      <c r="M269" s="3">
        <f t="shared" si="10"/>
        <v>1</v>
      </c>
      <c r="N269" s="29">
        <f>_xlfn.MAXIFS($G$7:G268,$E$7:E268,detalhe_carro1[[#This Row],[Nó]],$B$7:B268,detalhe_carro1[[#This Row],[Numero Voltas]],$L$7:L268,1)</f>
        <v>1091</v>
      </c>
      <c r="O269" s="3">
        <f>IF(OR(detalhe_carro1[[#This Row],[Ultima Chegada]]=0,detalhe_carro1[[#This Row],[Chegada]]=0),"",detalhe_carro1[[#This Row],[Hora Inicio]]-detalhe_carro1[[#This Row],[Ultima Chegada]])</f>
        <v>228</v>
      </c>
      <c r="P269" s="3">
        <f>IF(detalhe_carro1[[#This Row],[Tipo]]="Visitar Nó",((detalhe_carro1[[#This Row],[Hora Fim]]-detalhe_carro1[[#This Row],[Hora Inicio]])/60*velocidade_nos),0)</f>
        <v>4.5</v>
      </c>
      <c r="Q269" s="29">
        <f>detalhe_carro1[[#This Row],[Kms Nós]]+detalhe_carro1[[#This Row],[kms]]</f>
        <v>4.5</v>
      </c>
      <c r="S269" s="20">
        <v>4</v>
      </c>
      <c r="T269" s="20">
        <v>0</v>
      </c>
      <c r="U269" s="20">
        <v>6</v>
      </c>
      <c r="V269" s="20" t="s">
        <v>31</v>
      </c>
      <c r="W269">
        <v>116</v>
      </c>
      <c r="X269">
        <v>226</v>
      </c>
      <c r="Y269">
        <v>0</v>
      </c>
      <c r="Z269" s="7">
        <v>0.37222222222222223</v>
      </c>
      <c r="AA269" s="7">
        <v>0.44861111111111113</v>
      </c>
      <c r="AB269" s="7">
        <v>0.29166666666666669</v>
      </c>
      <c r="AC269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0" spans="2:29" x14ac:dyDescent="0.25">
      <c r="B270" s="3">
        <v>2</v>
      </c>
      <c r="C270">
        <v>2</v>
      </c>
      <c r="D270">
        <v>6</v>
      </c>
      <c r="E270" s="29" t="s">
        <v>31</v>
      </c>
      <c r="F270" s="3">
        <v>1331</v>
      </c>
      <c r="G270" s="3">
        <v>1331</v>
      </c>
      <c r="H270" s="29" t="s">
        <v>51</v>
      </c>
      <c r="I270" s="3">
        <v>3</v>
      </c>
      <c r="J270" s="7">
        <v>0.21597222222222223</v>
      </c>
      <c r="K270" s="7">
        <v>0.21597222222222223</v>
      </c>
      <c r="L270" s="3">
        <f t="shared" si="9"/>
        <v>1</v>
      </c>
      <c r="M270" s="3">
        <f t="shared" si="10"/>
        <v>0</v>
      </c>
      <c r="N270" s="29">
        <f>_xlfn.MAXIFS($G$7:G269,$E$7:E269,detalhe_carro1[[#This Row],[Nó]],$B$7:B269,detalhe_carro1[[#This Row],[Numero Voltas]],$L$7:L269,1)</f>
        <v>1091</v>
      </c>
      <c r="O270" s="3" t="str">
        <f>IF(OR(detalhe_carro1[[#This Row],[Ultima Chegada]]=0,detalhe_carro1[[#This Row],[Chegada]]=0),"",detalhe_carro1[[#This Row],[Hora Inicio]]-detalhe_carro1[[#This Row],[Ultima Chegada]])</f>
        <v/>
      </c>
      <c r="P270" s="3">
        <f>IF(detalhe_carro1[[#This Row],[Tipo]]="Visitar Nó",((detalhe_carro1[[#This Row],[Hora Fim]]-detalhe_carro1[[#This Row],[Hora Inicio]])/60*velocidade_nos),0)</f>
        <v>0</v>
      </c>
      <c r="Q270" s="29">
        <f>detalhe_carro1[[#This Row],[Kms Nós]]+detalhe_carro1[[#This Row],[kms]]</f>
        <v>3</v>
      </c>
      <c r="S270" s="20">
        <v>4</v>
      </c>
      <c r="T270" s="20">
        <v>0</v>
      </c>
      <c r="U270" s="20">
        <v>5</v>
      </c>
      <c r="V270" s="20" t="s">
        <v>29</v>
      </c>
      <c r="W270">
        <v>229</v>
      </c>
      <c r="X270">
        <v>260</v>
      </c>
      <c r="Y270">
        <v>0</v>
      </c>
      <c r="Z270" s="7">
        <v>0.45069444444444445</v>
      </c>
      <c r="AA270" s="7">
        <v>0.47222222222222221</v>
      </c>
      <c r="AB270" s="7">
        <v>0.29166666666666669</v>
      </c>
      <c r="AC270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1" spans="2:29" x14ac:dyDescent="0.25">
      <c r="B271" s="3">
        <v>2</v>
      </c>
      <c r="C271">
        <v>2</v>
      </c>
      <c r="D271">
        <v>7</v>
      </c>
      <c r="E271" s="29" t="s">
        <v>33</v>
      </c>
      <c r="F271" s="3">
        <v>1334</v>
      </c>
      <c r="G271" s="3">
        <v>1334</v>
      </c>
      <c r="H271" s="29" t="s">
        <v>51</v>
      </c>
      <c r="I271" s="3">
        <v>3</v>
      </c>
      <c r="J271" s="7">
        <v>0.21805555555555556</v>
      </c>
      <c r="K271" s="7">
        <v>0.21805555555555556</v>
      </c>
      <c r="L271" s="3">
        <f t="shared" si="9"/>
        <v>0</v>
      </c>
      <c r="M271" s="3">
        <f t="shared" si="10"/>
        <v>1</v>
      </c>
      <c r="N271" s="29">
        <f>_xlfn.MAXIFS($G$7:G270,$E$7:E270,detalhe_carro1[[#This Row],[Nó]],$B$7:B270,detalhe_carro1[[#This Row],[Numero Voltas]],$L$7:L270,1)</f>
        <v>1063</v>
      </c>
      <c r="O271" s="3">
        <f>IF(OR(detalhe_carro1[[#This Row],[Ultima Chegada]]=0,detalhe_carro1[[#This Row],[Chegada]]=0),"",detalhe_carro1[[#This Row],[Hora Inicio]]-detalhe_carro1[[#This Row],[Ultima Chegada]])</f>
        <v>271</v>
      </c>
      <c r="P271" s="3">
        <f>IF(detalhe_carro1[[#This Row],[Tipo]]="Visitar Nó",((detalhe_carro1[[#This Row],[Hora Fim]]-detalhe_carro1[[#This Row],[Hora Inicio]])/60*velocidade_nos),0)</f>
        <v>0</v>
      </c>
      <c r="Q271" s="29">
        <f>detalhe_carro1[[#This Row],[Kms Nós]]+detalhe_carro1[[#This Row],[kms]]</f>
        <v>3</v>
      </c>
      <c r="S271" s="20">
        <v>4</v>
      </c>
      <c r="T271" s="20">
        <v>0</v>
      </c>
      <c r="U271" s="20">
        <v>4</v>
      </c>
      <c r="V271" s="20" t="s">
        <v>27</v>
      </c>
      <c r="W271">
        <v>263</v>
      </c>
      <c r="X271">
        <v>279</v>
      </c>
      <c r="Y271">
        <v>0</v>
      </c>
      <c r="Z271" s="7">
        <v>0.47430555555555554</v>
      </c>
      <c r="AA271" s="7">
        <v>0.48541666666666666</v>
      </c>
      <c r="AB271" s="7">
        <v>0.29166666666666669</v>
      </c>
      <c r="AC271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2" spans="2:29" x14ac:dyDescent="0.25">
      <c r="B272" s="3">
        <v>2</v>
      </c>
      <c r="C272">
        <v>2</v>
      </c>
      <c r="D272">
        <v>7</v>
      </c>
      <c r="E272" s="29" t="s">
        <v>33</v>
      </c>
      <c r="F272" s="3">
        <v>1334</v>
      </c>
      <c r="G272" s="3">
        <v>1334</v>
      </c>
      <c r="H272" s="29" t="s">
        <v>51</v>
      </c>
      <c r="I272" s="3">
        <v>3</v>
      </c>
      <c r="J272" s="7">
        <v>0.21805555555555556</v>
      </c>
      <c r="K272" s="7">
        <v>0.21805555555555556</v>
      </c>
      <c r="L272" s="3">
        <f t="shared" si="9"/>
        <v>1</v>
      </c>
      <c r="M272" s="3">
        <f t="shared" si="10"/>
        <v>0</v>
      </c>
      <c r="N272" s="29">
        <f>_xlfn.MAXIFS($G$7:G271,$E$7:E271,detalhe_carro1[[#This Row],[Nó]],$B$7:B271,detalhe_carro1[[#This Row],[Numero Voltas]],$L$7:L271,1)</f>
        <v>1063</v>
      </c>
      <c r="O272" s="3" t="str">
        <f>IF(OR(detalhe_carro1[[#This Row],[Ultima Chegada]]=0,detalhe_carro1[[#This Row],[Chegada]]=0),"",detalhe_carro1[[#This Row],[Hora Inicio]]-detalhe_carro1[[#This Row],[Ultima Chegada]])</f>
        <v/>
      </c>
      <c r="P272" s="3">
        <f>IF(detalhe_carro1[[#This Row],[Tipo]]="Visitar Nó",((detalhe_carro1[[#This Row],[Hora Fim]]-detalhe_carro1[[#This Row],[Hora Inicio]])/60*velocidade_nos),0)</f>
        <v>0</v>
      </c>
      <c r="Q272" s="29">
        <f>detalhe_carro1[[#This Row],[Kms Nós]]+detalhe_carro1[[#This Row],[kms]]</f>
        <v>3</v>
      </c>
      <c r="S272" s="20">
        <v>4</v>
      </c>
      <c r="T272" s="20">
        <v>0</v>
      </c>
      <c r="U272" s="20">
        <v>3</v>
      </c>
      <c r="V272" s="20" t="s">
        <v>26</v>
      </c>
      <c r="W272">
        <v>280</v>
      </c>
      <c r="X272">
        <v>291</v>
      </c>
      <c r="Y272">
        <v>0</v>
      </c>
      <c r="Z272" s="7">
        <v>0.4861111111111111</v>
      </c>
      <c r="AA272" s="7">
        <v>0.49375000000000002</v>
      </c>
      <c r="AB272" s="7">
        <v>0.29166666666666669</v>
      </c>
      <c r="AC272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3" spans="2:29" x14ac:dyDescent="0.25">
      <c r="B273" s="3">
        <v>2</v>
      </c>
      <c r="C273">
        <v>2</v>
      </c>
      <c r="D273">
        <v>6</v>
      </c>
      <c r="E273" s="29" t="s">
        <v>31</v>
      </c>
      <c r="F273" s="3">
        <v>1337</v>
      </c>
      <c r="G273" s="3">
        <v>1337</v>
      </c>
      <c r="H273" s="29" t="s">
        <v>51</v>
      </c>
      <c r="I273" s="3">
        <v>3</v>
      </c>
      <c r="J273" s="7">
        <v>0.22013888888888888</v>
      </c>
      <c r="K273" s="7">
        <v>0.22013888888888888</v>
      </c>
      <c r="L273" s="3">
        <f t="shared" si="9"/>
        <v>1</v>
      </c>
      <c r="M273" s="3">
        <f t="shared" si="10"/>
        <v>1</v>
      </c>
      <c r="N273" s="29">
        <f>_xlfn.MAXIFS($G$7:G272,$E$7:E272,detalhe_carro1[[#This Row],[Nó]],$B$7:B272,detalhe_carro1[[#This Row],[Numero Voltas]],$L$7:L272,1)</f>
        <v>1331</v>
      </c>
      <c r="O273" s="3">
        <f>IF(OR(detalhe_carro1[[#This Row],[Ultima Chegada]]=0,detalhe_carro1[[#This Row],[Chegada]]=0),"",detalhe_carro1[[#This Row],[Hora Inicio]]-detalhe_carro1[[#This Row],[Ultima Chegada]])</f>
        <v>6</v>
      </c>
      <c r="P273" s="3">
        <f>IF(detalhe_carro1[[#This Row],[Tipo]]="Visitar Nó",((detalhe_carro1[[#This Row],[Hora Fim]]-detalhe_carro1[[#This Row],[Hora Inicio]])/60*velocidade_nos),0)</f>
        <v>0</v>
      </c>
      <c r="Q273" s="29">
        <f>detalhe_carro1[[#This Row],[Kms Nós]]+detalhe_carro1[[#This Row],[kms]]</f>
        <v>3</v>
      </c>
      <c r="S273" s="20">
        <v>4</v>
      </c>
      <c r="T273" s="20">
        <v>0</v>
      </c>
      <c r="U273" s="20">
        <v>2</v>
      </c>
      <c r="V273" s="20" t="s">
        <v>24</v>
      </c>
      <c r="W273">
        <v>292</v>
      </c>
      <c r="X273">
        <v>307</v>
      </c>
      <c r="Y273">
        <v>0</v>
      </c>
      <c r="Z273" s="7">
        <v>0.49444444444444446</v>
      </c>
      <c r="AA273" s="7">
        <v>0.50486111111111109</v>
      </c>
      <c r="AB273" s="7">
        <v>0.29166666666666669</v>
      </c>
      <c r="AC273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4" spans="2:29" x14ac:dyDescent="0.25">
      <c r="B274" s="3">
        <v>2</v>
      </c>
      <c r="C274">
        <v>2</v>
      </c>
      <c r="D274">
        <v>5</v>
      </c>
      <c r="E274" s="29" t="s">
        <v>29</v>
      </c>
      <c r="F274" s="3">
        <v>1340</v>
      </c>
      <c r="G274" s="3">
        <v>1340</v>
      </c>
      <c r="H274" s="29" t="s">
        <v>51</v>
      </c>
      <c r="I274" s="3">
        <v>3</v>
      </c>
      <c r="J274" s="7">
        <v>0.22222222222222221</v>
      </c>
      <c r="K274" s="7">
        <v>0.22222222222222221</v>
      </c>
      <c r="L274" s="3">
        <f t="shared" si="9"/>
        <v>1</v>
      </c>
      <c r="M274" s="3">
        <f t="shared" si="10"/>
        <v>1</v>
      </c>
      <c r="N274" s="29">
        <f>_xlfn.MAXIFS($G$7:G273,$E$7:E273,detalhe_carro1[[#This Row],[Nó]],$B$7:B273,detalhe_carro1[[#This Row],[Numero Voltas]],$L$7:L273,1)</f>
        <v>1316</v>
      </c>
      <c r="O274" s="3">
        <f>IF(OR(detalhe_carro1[[#This Row],[Ultima Chegada]]=0,detalhe_carro1[[#This Row],[Chegada]]=0),"",detalhe_carro1[[#This Row],[Hora Inicio]]-detalhe_carro1[[#This Row],[Ultima Chegada]])</f>
        <v>24</v>
      </c>
      <c r="P274" s="3">
        <f>IF(detalhe_carro1[[#This Row],[Tipo]]="Visitar Nó",((detalhe_carro1[[#This Row],[Hora Fim]]-detalhe_carro1[[#This Row],[Hora Inicio]])/60*velocidade_nos),0)</f>
        <v>0</v>
      </c>
      <c r="Q274" s="29">
        <f>detalhe_carro1[[#This Row],[Kms Nós]]+detalhe_carro1[[#This Row],[kms]]</f>
        <v>3</v>
      </c>
      <c r="S274" s="20">
        <v>4</v>
      </c>
      <c r="T274" s="20">
        <v>0</v>
      </c>
      <c r="U274" s="20">
        <v>1</v>
      </c>
      <c r="V274" s="20" t="s">
        <v>22</v>
      </c>
      <c r="W274">
        <v>314</v>
      </c>
      <c r="X274">
        <v>326</v>
      </c>
      <c r="Y274">
        <v>0</v>
      </c>
      <c r="Z274" s="7">
        <v>0.50972222222222219</v>
      </c>
      <c r="AA274" s="7">
        <v>0.5180555555555556</v>
      </c>
      <c r="AB274" s="7">
        <v>0.29166666666666669</v>
      </c>
      <c r="AC274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5" spans="2:29" x14ac:dyDescent="0.25">
      <c r="B275" s="3">
        <v>2</v>
      </c>
      <c r="C275">
        <v>2</v>
      </c>
      <c r="D275">
        <v>4</v>
      </c>
      <c r="E275" s="29" t="s">
        <v>27</v>
      </c>
      <c r="F275" s="3">
        <v>1343</v>
      </c>
      <c r="G275" s="3">
        <v>1343</v>
      </c>
      <c r="H275" s="29" t="s">
        <v>51</v>
      </c>
      <c r="I275" s="3">
        <v>3</v>
      </c>
      <c r="J275" s="7">
        <v>0.22430555555555556</v>
      </c>
      <c r="K275" s="7">
        <v>0.22430555555555556</v>
      </c>
      <c r="L275" s="3">
        <f t="shared" si="9"/>
        <v>1</v>
      </c>
      <c r="M275" s="3">
        <f t="shared" si="10"/>
        <v>1</v>
      </c>
      <c r="N275" s="29">
        <f>_xlfn.MAXIFS($G$7:G274,$E$7:E274,detalhe_carro1[[#This Row],[Nó]],$B$7:B274,detalhe_carro1[[#This Row],[Numero Voltas]],$L$7:L274,1)</f>
        <v>1269</v>
      </c>
      <c r="O275" s="3">
        <f>IF(OR(detalhe_carro1[[#This Row],[Ultima Chegada]]=0,detalhe_carro1[[#This Row],[Chegada]]=0),"",detalhe_carro1[[#This Row],[Hora Inicio]]-detalhe_carro1[[#This Row],[Ultima Chegada]])</f>
        <v>74</v>
      </c>
      <c r="P275" s="3">
        <f>IF(detalhe_carro1[[#This Row],[Tipo]]="Visitar Nó",((detalhe_carro1[[#This Row],[Hora Fim]]-detalhe_carro1[[#This Row],[Hora Inicio]])/60*velocidade_nos),0)</f>
        <v>0</v>
      </c>
      <c r="Q275" s="29">
        <f>detalhe_carro1[[#This Row],[Kms Nós]]+detalhe_carro1[[#This Row],[kms]]</f>
        <v>3</v>
      </c>
      <c r="S275" s="20">
        <v>4</v>
      </c>
      <c r="T275" s="20">
        <v>0</v>
      </c>
      <c r="U275" s="20">
        <v>0</v>
      </c>
      <c r="V275" s="20" t="s">
        <v>20</v>
      </c>
      <c r="W275">
        <v>327</v>
      </c>
      <c r="X275">
        <v>342</v>
      </c>
      <c r="Y275">
        <v>0</v>
      </c>
      <c r="Z275" s="7">
        <v>0.51875000000000004</v>
      </c>
      <c r="AA275" s="7">
        <v>0.52916666666666667</v>
      </c>
      <c r="AB275" s="7">
        <v>0.29166666666666669</v>
      </c>
      <c r="AC275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6" spans="2:29" x14ac:dyDescent="0.25">
      <c r="B276" s="3">
        <v>2</v>
      </c>
      <c r="C276">
        <v>2</v>
      </c>
      <c r="D276">
        <v>3</v>
      </c>
      <c r="E276" s="29" t="s">
        <v>26</v>
      </c>
      <c r="F276" s="3">
        <v>1344</v>
      </c>
      <c r="G276" s="3">
        <v>1344</v>
      </c>
      <c r="H276" s="29" t="s">
        <v>51</v>
      </c>
      <c r="I276" s="3">
        <v>1</v>
      </c>
      <c r="J276" s="7">
        <v>0.22500000000000001</v>
      </c>
      <c r="K276" s="7">
        <v>0.22500000000000001</v>
      </c>
      <c r="L276" s="3">
        <f t="shared" si="9"/>
        <v>1</v>
      </c>
      <c r="M276" s="3">
        <f t="shared" si="10"/>
        <v>1</v>
      </c>
      <c r="N276" s="29">
        <f>_xlfn.MAXIFS($G$7:G275,$E$7:E275,detalhe_carro1[[#This Row],[Nó]],$B$7:B275,detalhe_carro1[[#This Row],[Numero Voltas]],$L$7:L275,1)</f>
        <v>1254</v>
      </c>
      <c r="O276" s="3">
        <f>IF(OR(detalhe_carro1[[#This Row],[Ultima Chegada]]=0,detalhe_carro1[[#This Row],[Chegada]]=0),"",detalhe_carro1[[#This Row],[Hora Inicio]]-detalhe_carro1[[#This Row],[Ultima Chegada]])</f>
        <v>90</v>
      </c>
      <c r="P276" s="3">
        <f>IF(detalhe_carro1[[#This Row],[Tipo]]="Visitar Nó",((detalhe_carro1[[#This Row],[Hora Fim]]-detalhe_carro1[[#This Row],[Hora Inicio]])/60*velocidade_nos),0)</f>
        <v>0</v>
      </c>
      <c r="Q276" s="29">
        <f>detalhe_carro1[[#This Row],[Kms Nós]]+detalhe_carro1[[#This Row],[kms]]</f>
        <v>1</v>
      </c>
      <c r="S276" s="20">
        <v>4</v>
      </c>
      <c r="T276" s="20">
        <v>0</v>
      </c>
      <c r="U276" s="20">
        <v>1</v>
      </c>
      <c r="V276" s="20" t="s">
        <v>22</v>
      </c>
      <c r="W276">
        <v>343</v>
      </c>
      <c r="X276">
        <v>349</v>
      </c>
      <c r="Y276">
        <v>326</v>
      </c>
      <c r="Z276" s="7">
        <v>0.52986111111111112</v>
      </c>
      <c r="AA276" s="7">
        <v>0.53402777777777777</v>
      </c>
      <c r="AB276" s="7">
        <v>0.5180555555555556</v>
      </c>
      <c r="AC27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277" spans="2:29" x14ac:dyDescent="0.25">
      <c r="B277" s="3">
        <v>2</v>
      </c>
      <c r="C277">
        <v>2</v>
      </c>
      <c r="D277">
        <v>2</v>
      </c>
      <c r="E277" s="29" t="s">
        <v>24</v>
      </c>
      <c r="F277" s="3">
        <v>1345</v>
      </c>
      <c r="G277" s="3">
        <v>1345</v>
      </c>
      <c r="H277" s="29" t="s">
        <v>51</v>
      </c>
      <c r="I277" s="3">
        <v>1</v>
      </c>
      <c r="J277" s="7">
        <v>0.22569444444444445</v>
      </c>
      <c r="K277" s="7">
        <v>0.22569444444444445</v>
      </c>
      <c r="L277" s="3">
        <f t="shared" si="9"/>
        <v>1</v>
      </c>
      <c r="M277" s="3">
        <f t="shared" si="10"/>
        <v>1</v>
      </c>
      <c r="N277" s="29">
        <f>_xlfn.MAXIFS($G$7:G276,$E$7:E276,detalhe_carro1[[#This Row],[Nó]],$B$7:B276,detalhe_carro1[[#This Row],[Numero Voltas]],$L$7:L276,1)</f>
        <v>1242</v>
      </c>
      <c r="O277" s="3">
        <f>IF(OR(detalhe_carro1[[#This Row],[Ultima Chegada]]=0,detalhe_carro1[[#This Row],[Chegada]]=0),"",detalhe_carro1[[#This Row],[Hora Inicio]]-detalhe_carro1[[#This Row],[Ultima Chegada]])</f>
        <v>103</v>
      </c>
      <c r="P277" s="3">
        <f>IF(detalhe_carro1[[#This Row],[Tipo]]="Visitar Nó",((detalhe_carro1[[#This Row],[Hora Fim]]-detalhe_carro1[[#This Row],[Hora Inicio]])/60*velocidade_nos),0)</f>
        <v>0</v>
      </c>
      <c r="Q277" s="29">
        <f>detalhe_carro1[[#This Row],[Kms Nós]]+detalhe_carro1[[#This Row],[kms]]</f>
        <v>1</v>
      </c>
      <c r="S277" s="20">
        <v>4</v>
      </c>
      <c r="T277" s="20">
        <v>0</v>
      </c>
      <c r="U277" s="20">
        <v>2</v>
      </c>
      <c r="V277" s="20" t="s">
        <v>24</v>
      </c>
      <c r="W277">
        <v>356</v>
      </c>
      <c r="X277">
        <v>377</v>
      </c>
      <c r="Y277">
        <v>307</v>
      </c>
      <c r="Z277" s="7">
        <v>0.53888888888888886</v>
      </c>
      <c r="AA277" s="7">
        <v>0.55347222222222225</v>
      </c>
      <c r="AB277" s="7">
        <v>0.50486111111111109</v>
      </c>
      <c r="AC27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0.81666666666666665</v>
      </c>
    </row>
    <row r="278" spans="2:29" x14ac:dyDescent="0.25">
      <c r="B278" s="3">
        <v>2</v>
      </c>
      <c r="C278">
        <v>2</v>
      </c>
      <c r="D278">
        <v>1</v>
      </c>
      <c r="E278" s="29" t="s">
        <v>22</v>
      </c>
      <c r="F278" s="3">
        <v>1352</v>
      </c>
      <c r="G278" s="3">
        <v>1352</v>
      </c>
      <c r="H278" s="29" t="s">
        <v>51</v>
      </c>
      <c r="I278" s="3">
        <v>7</v>
      </c>
      <c r="J278" s="7">
        <v>0.23055555555555557</v>
      </c>
      <c r="K278" s="7">
        <v>0.23055555555555557</v>
      </c>
      <c r="L278" s="3">
        <f t="shared" si="9"/>
        <v>1</v>
      </c>
      <c r="M278" s="3">
        <f t="shared" si="10"/>
        <v>1</v>
      </c>
      <c r="N278" s="29">
        <f>_xlfn.MAXIFS($G$7:G277,$E$7:E277,detalhe_carro1[[#This Row],[Nó]],$B$7:B277,detalhe_carro1[[#This Row],[Numero Voltas]],$L$7:L277,1)</f>
        <v>1214</v>
      </c>
      <c r="O278" s="3">
        <f>IF(OR(detalhe_carro1[[#This Row],[Ultima Chegada]]=0,detalhe_carro1[[#This Row],[Chegada]]=0),"",detalhe_carro1[[#This Row],[Hora Inicio]]-detalhe_carro1[[#This Row],[Ultima Chegada]])</f>
        <v>138</v>
      </c>
      <c r="P278" s="3">
        <f>IF(detalhe_carro1[[#This Row],[Tipo]]="Visitar Nó",((detalhe_carro1[[#This Row],[Hora Fim]]-detalhe_carro1[[#This Row],[Hora Inicio]])/60*velocidade_nos),0)</f>
        <v>0</v>
      </c>
      <c r="Q278" s="29">
        <f>detalhe_carro1[[#This Row],[Kms Nós]]+detalhe_carro1[[#This Row],[kms]]</f>
        <v>7</v>
      </c>
      <c r="S278" s="20">
        <v>4</v>
      </c>
      <c r="T278" s="20">
        <v>0</v>
      </c>
      <c r="U278" s="20">
        <v>3</v>
      </c>
      <c r="V278" s="20" t="s">
        <v>26</v>
      </c>
      <c r="W278">
        <v>378</v>
      </c>
      <c r="X278">
        <v>389</v>
      </c>
      <c r="Y278">
        <v>291</v>
      </c>
      <c r="Z278" s="7">
        <v>0.5541666666666667</v>
      </c>
      <c r="AA278" s="7">
        <v>0.56180555555555556</v>
      </c>
      <c r="AB278" s="7">
        <v>0.49375000000000002</v>
      </c>
      <c r="AC27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279" spans="2:29" x14ac:dyDescent="0.25">
      <c r="B279" s="3">
        <v>2</v>
      </c>
      <c r="C279">
        <v>2</v>
      </c>
      <c r="D279">
        <v>0</v>
      </c>
      <c r="E279" s="29" t="s">
        <v>20</v>
      </c>
      <c r="F279" s="3">
        <v>1353</v>
      </c>
      <c r="G279" s="3">
        <v>1353</v>
      </c>
      <c r="H279" s="29" t="s">
        <v>51</v>
      </c>
      <c r="I279" s="3">
        <v>1</v>
      </c>
      <c r="J279" s="7">
        <v>0.23125000000000001</v>
      </c>
      <c r="K279" s="7">
        <v>0.23125000000000001</v>
      </c>
      <c r="L279" s="3">
        <f t="shared" si="9"/>
        <v>0</v>
      </c>
      <c r="M279" s="3">
        <f t="shared" si="10"/>
        <v>1</v>
      </c>
      <c r="N279" s="29">
        <f>_xlfn.MAXIFS($G$7:G278,$E$7:E278,detalhe_carro1[[#This Row],[Nó]],$B$7:B278,detalhe_carro1[[#This Row],[Numero Voltas]],$L$7:L278,1)</f>
        <v>1207</v>
      </c>
      <c r="O279" s="3">
        <f>IF(OR(detalhe_carro1[[#This Row],[Ultima Chegada]]=0,detalhe_carro1[[#This Row],[Chegada]]=0),"",detalhe_carro1[[#This Row],[Hora Inicio]]-detalhe_carro1[[#This Row],[Ultima Chegada]])</f>
        <v>146</v>
      </c>
      <c r="P279" s="3">
        <f>IF(detalhe_carro1[[#This Row],[Tipo]]="Visitar Nó",((detalhe_carro1[[#This Row],[Hora Fim]]-detalhe_carro1[[#This Row],[Hora Inicio]])/60*velocidade_nos),0)</f>
        <v>0</v>
      </c>
      <c r="Q279" s="29">
        <f>detalhe_carro1[[#This Row],[Kms Nós]]+detalhe_carro1[[#This Row],[kms]]</f>
        <v>1</v>
      </c>
      <c r="S279" s="20">
        <v>4</v>
      </c>
      <c r="T279" s="20">
        <v>0</v>
      </c>
      <c r="U279" s="20">
        <v>4</v>
      </c>
      <c r="V279" s="20" t="s">
        <v>27</v>
      </c>
      <c r="W279">
        <v>390</v>
      </c>
      <c r="X279">
        <v>404</v>
      </c>
      <c r="Y279">
        <v>279</v>
      </c>
      <c r="Z279" s="7">
        <v>0.5625</v>
      </c>
      <c r="AA279" s="7">
        <v>0.57222222222222219</v>
      </c>
      <c r="AB279" s="7">
        <v>0.48541666666666666</v>
      </c>
      <c r="AC27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1.85</v>
      </c>
    </row>
    <row r="280" spans="2:29" x14ac:dyDescent="0.25">
      <c r="B280" s="3">
        <v>2</v>
      </c>
      <c r="C280">
        <v>2</v>
      </c>
      <c r="D280">
        <v>0</v>
      </c>
      <c r="E280" s="29" t="s">
        <v>20</v>
      </c>
      <c r="F280" s="3">
        <v>1353</v>
      </c>
      <c r="G280" s="3">
        <v>1353</v>
      </c>
      <c r="H280" s="29" t="s">
        <v>51</v>
      </c>
      <c r="I280" s="3">
        <v>1</v>
      </c>
      <c r="J280" s="7">
        <v>0.23125000000000001</v>
      </c>
      <c r="K280" s="7">
        <v>0.23125000000000001</v>
      </c>
      <c r="L280" s="3">
        <f t="shared" si="9"/>
        <v>1</v>
      </c>
      <c r="M280" s="3">
        <f t="shared" si="10"/>
        <v>0</v>
      </c>
      <c r="N280" s="29">
        <f>_xlfn.MAXIFS($G$7:G279,$E$7:E279,detalhe_carro1[[#This Row],[Nó]],$B$7:B279,detalhe_carro1[[#This Row],[Numero Voltas]],$L$7:L279,1)</f>
        <v>1207</v>
      </c>
      <c r="O280" s="3" t="str">
        <f>IF(OR(detalhe_carro1[[#This Row],[Ultima Chegada]]=0,detalhe_carro1[[#This Row],[Chegada]]=0),"",detalhe_carro1[[#This Row],[Hora Inicio]]-detalhe_carro1[[#This Row],[Ultima Chegada]])</f>
        <v/>
      </c>
      <c r="P280" s="3">
        <f>IF(detalhe_carro1[[#This Row],[Tipo]]="Visitar Nó",((detalhe_carro1[[#This Row],[Hora Fim]]-detalhe_carro1[[#This Row],[Hora Inicio]])/60*velocidade_nos),0)</f>
        <v>0</v>
      </c>
      <c r="Q280" s="29">
        <f>detalhe_carro1[[#This Row],[Kms Nós]]+detalhe_carro1[[#This Row],[kms]]</f>
        <v>1</v>
      </c>
      <c r="S280" s="20">
        <v>4</v>
      </c>
      <c r="T280" s="20">
        <v>0</v>
      </c>
      <c r="U280" s="20">
        <v>5</v>
      </c>
      <c r="V280" s="20" t="s">
        <v>29</v>
      </c>
      <c r="W280">
        <v>407</v>
      </c>
      <c r="X280">
        <v>451</v>
      </c>
      <c r="Y280">
        <v>260</v>
      </c>
      <c r="Z280" s="7">
        <v>0.57430555555555551</v>
      </c>
      <c r="AA280" s="7">
        <v>0.60486111111111107</v>
      </c>
      <c r="AB280" s="7">
        <v>0.47222222222222221</v>
      </c>
      <c r="AC28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2.4500000000000002</v>
      </c>
    </row>
    <row r="281" spans="2:29" x14ac:dyDescent="0.25">
      <c r="B281" s="3">
        <v>2</v>
      </c>
      <c r="C281">
        <v>2</v>
      </c>
      <c r="D281">
        <v>1</v>
      </c>
      <c r="E281" s="29" t="s">
        <v>22</v>
      </c>
      <c r="F281" s="3">
        <v>1354</v>
      </c>
      <c r="G281" s="3">
        <v>1433</v>
      </c>
      <c r="H281" s="29" t="s">
        <v>52</v>
      </c>
      <c r="I281" s="3">
        <v>0</v>
      </c>
      <c r="J281" s="7">
        <v>0.23194444444444445</v>
      </c>
      <c r="K281" s="7">
        <v>0.28680555555555554</v>
      </c>
      <c r="L281" s="3">
        <f t="shared" si="9"/>
        <v>0</v>
      </c>
      <c r="M281" s="3">
        <f t="shared" si="10"/>
        <v>1</v>
      </c>
      <c r="N281" s="29">
        <f>_xlfn.MAXIFS($G$7:G280,$E$7:E280,detalhe_carro1[[#This Row],[Nó]],$B$7:B280,detalhe_carro1[[#This Row],[Numero Voltas]],$L$7:L280,1)</f>
        <v>1352</v>
      </c>
      <c r="O281" s="3">
        <f>IF(OR(detalhe_carro1[[#This Row],[Ultima Chegada]]=0,detalhe_carro1[[#This Row],[Chegada]]=0),"",detalhe_carro1[[#This Row],[Hora Inicio]]-detalhe_carro1[[#This Row],[Ultima Chegada]])</f>
        <v>2</v>
      </c>
      <c r="P281" s="3">
        <f>IF(detalhe_carro1[[#This Row],[Tipo]]="Visitar Nó",((detalhe_carro1[[#This Row],[Hora Fim]]-detalhe_carro1[[#This Row],[Hora Inicio]])/60*velocidade_nos),0)</f>
        <v>0</v>
      </c>
      <c r="Q281" s="29">
        <f>detalhe_carro1[[#This Row],[Kms Nós]]+detalhe_carro1[[#This Row],[kms]]</f>
        <v>0</v>
      </c>
      <c r="S281" s="20">
        <v>4</v>
      </c>
      <c r="T281" s="20">
        <v>0</v>
      </c>
      <c r="U281" s="20">
        <v>6</v>
      </c>
      <c r="V281" s="20" t="s">
        <v>31</v>
      </c>
      <c r="W281">
        <v>454</v>
      </c>
      <c r="X281">
        <v>466</v>
      </c>
      <c r="Y281">
        <v>226</v>
      </c>
      <c r="Z281" s="7">
        <v>0.6069444444444444</v>
      </c>
      <c r="AA281" s="7">
        <v>0.61527777777777781</v>
      </c>
      <c r="AB281" s="7">
        <v>0.44861111111111113</v>
      </c>
      <c r="AC28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3.8</v>
      </c>
    </row>
    <row r="282" spans="2:29" x14ac:dyDescent="0.25">
      <c r="B282" s="3">
        <v>2</v>
      </c>
      <c r="C282">
        <v>2</v>
      </c>
      <c r="D282">
        <v>1</v>
      </c>
      <c r="E282" s="29" t="s">
        <v>22</v>
      </c>
      <c r="F282" s="3">
        <v>1434</v>
      </c>
      <c r="G282" s="3">
        <v>1434</v>
      </c>
      <c r="H282" s="29" t="s">
        <v>51</v>
      </c>
      <c r="I282" s="3">
        <v>1</v>
      </c>
      <c r="J282" s="7">
        <v>0.28749999999999998</v>
      </c>
      <c r="K282" s="7">
        <v>0.28749999999999998</v>
      </c>
      <c r="L282" s="3">
        <f t="shared" si="9"/>
        <v>1</v>
      </c>
      <c r="M282" s="3">
        <f t="shared" si="10"/>
        <v>0</v>
      </c>
      <c r="N282" s="29">
        <f>_xlfn.MAXIFS($G$7:G281,$E$7:E281,detalhe_carro1[[#This Row],[Nó]],$B$7:B281,detalhe_carro1[[#This Row],[Numero Voltas]],$L$7:L281,1)</f>
        <v>1352</v>
      </c>
      <c r="O282" s="3" t="str">
        <f>IF(OR(detalhe_carro1[[#This Row],[Ultima Chegada]]=0,detalhe_carro1[[#This Row],[Chegada]]=0),"",detalhe_carro1[[#This Row],[Hora Inicio]]-detalhe_carro1[[#This Row],[Ultima Chegada]])</f>
        <v/>
      </c>
      <c r="P282" s="3">
        <f>IF(detalhe_carro1[[#This Row],[Tipo]]="Visitar Nó",((detalhe_carro1[[#This Row],[Hora Fim]]-detalhe_carro1[[#This Row],[Hora Inicio]])/60*velocidade_nos),0)</f>
        <v>0</v>
      </c>
      <c r="Q282" s="29">
        <f>detalhe_carro1[[#This Row],[Kms Nós]]+detalhe_carro1[[#This Row],[kms]]</f>
        <v>1</v>
      </c>
      <c r="S282" s="20">
        <v>4</v>
      </c>
      <c r="T282" s="20">
        <v>0</v>
      </c>
      <c r="U282" s="20">
        <v>7</v>
      </c>
      <c r="V282" s="20" t="s">
        <v>33</v>
      </c>
      <c r="W282">
        <v>469</v>
      </c>
      <c r="X282">
        <v>469</v>
      </c>
      <c r="Y282">
        <v>103</v>
      </c>
      <c r="Z282" s="7">
        <v>0.61736111111111114</v>
      </c>
      <c r="AA282" s="7">
        <v>0.61736111111111114</v>
      </c>
      <c r="AB282" s="7">
        <v>0.36319444444444443</v>
      </c>
      <c r="AC28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6.1</v>
      </c>
    </row>
    <row r="283" spans="2:29" x14ac:dyDescent="0.25">
      <c r="B283" s="3">
        <v>2</v>
      </c>
      <c r="C283">
        <v>2</v>
      </c>
      <c r="D283">
        <v>2</v>
      </c>
      <c r="E283" s="29" t="s">
        <v>24</v>
      </c>
      <c r="F283" s="3">
        <v>1441</v>
      </c>
      <c r="G283" s="3">
        <v>1441</v>
      </c>
      <c r="H283" s="29" t="s">
        <v>51</v>
      </c>
      <c r="I283" s="3">
        <v>7</v>
      </c>
      <c r="J283" s="7">
        <v>0.29236111111111113</v>
      </c>
      <c r="K283" s="7">
        <v>0.29236111111111113</v>
      </c>
      <c r="L283" s="3">
        <f t="shared" si="9"/>
        <v>1</v>
      </c>
      <c r="M283" s="3">
        <f t="shared" si="10"/>
        <v>1</v>
      </c>
      <c r="N283" s="29">
        <f>_xlfn.MAXIFS($G$7:G282,$E$7:E282,detalhe_carro1[[#This Row],[Nó]],$B$7:B282,detalhe_carro1[[#This Row],[Numero Voltas]],$L$7:L282,1)</f>
        <v>1345</v>
      </c>
      <c r="O283" s="3">
        <f>IF(OR(detalhe_carro1[[#This Row],[Ultima Chegada]]=0,detalhe_carro1[[#This Row],[Chegada]]=0),"",detalhe_carro1[[#This Row],[Hora Inicio]]-detalhe_carro1[[#This Row],[Ultima Chegada]])</f>
        <v>96</v>
      </c>
      <c r="P283" s="3">
        <f>IF(detalhe_carro1[[#This Row],[Tipo]]="Visitar Nó",((detalhe_carro1[[#This Row],[Hora Fim]]-detalhe_carro1[[#This Row],[Hora Inicio]])/60*velocidade_nos),0)</f>
        <v>0</v>
      </c>
      <c r="Q283" s="29">
        <f>detalhe_carro1[[#This Row],[Kms Nós]]+detalhe_carro1[[#This Row],[kms]]</f>
        <v>7</v>
      </c>
      <c r="S283" s="20">
        <v>4</v>
      </c>
      <c r="T283" s="20">
        <v>0</v>
      </c>
      <c r="U283" s="20">
        <v>6</v>
      </c>
      <c r="V283" s="20" t="s">
        <v>31</v>
      </c>
      <c r="W283">
        <v>472</v>
      </c>
      <c r="X283">
        <v>472</v>
      </c>
      <c r="Y283">
        <v>466</v>
      </c>
      <c r="Z283" s="7">
        <v>0.61944444444444446</v>
      </c>
      <c r="AA283" s="7">
        <v>0.61944444444444446</v>
      </c>
      <c r="AB283" s="7">
        <v>0.61527777777777781</v>
      </c>
      <c r="AC28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284" spans="2:29" x14ac:dyDescent="0.25">
      <c r="B284" s="3">
        <v>2</v>
      </c>
      <c r="C284">
        <v>2</v>
      </c>
      <c r="D284">
        <v>3</v>
      </c>
      <c r="E284" s="29" t="s">
        <v>26</v>
      </c>
      <c r="F284" s="3">
        <v>1442</v>
      </c>
      <c r="G284" s="3">
        <v>1442</v>
      </c>
      <c r="H284" s="29" t="s">
        <v>51</v>
      </c>
      <c r="I284" s="3">
        <v>1</v>
      </c>
      <c r="J284" s="7">
        <v>0.29305555555555557</v>
      </c>
      <c r="K284" s="7">
        <v>0.29305555555555557</v>
      </c>
      <c r="L284" s="3">
        <f t="shared" si="9"/>
        <v>1</v>
      </c>
      <c r="M284" s="3">
        <f t="shared" si="10"/>
        <v>1</v>
      </c>
      <c r="N284" s="29">
        <f>_xlfn.MAXIFS($G$7:G283,$E$7:E283,detalhe_carro1[[#This Row],[Nó]],$B$7:B283,detalhe_carro1[[#This Row],[Numero Voltas]],$L$7:L283,1)</f>
        <v>1344</v>
      </c>
      <c r="O284" s="3">
        <f>IF(OR(detalhe_carro1[[#This Row],[Ultima Chegada]]=0,detalhe_carro1[[#This Row],[Chegada]]=0),"",detalhe_carro1[[#This Row],[Hora Inicio]]-detalhe_carro1[[#This Row],[Ultima Chegada]])</f>
        <v>98</v>
      </c>
      <c r="P284" s="3">
        <f>IF(detalhe_carro1[[#This Row],[Tipo]]="Visitar Nó",((detalhe_carro1[[#This Row],[Hora Fim]]-detalhe_carro1[[#This Row],[Hora Inicio]])/60*velocidade_nos),0)</f>
        <v>0</v>
      </c>
      <c r="Q284" s="29">
        <f>detalhe_carro1[[#This Row],[Kms Nós]]+detalhe_carro1[[#This Row],[kms]]</f>
        <v>1</v>
      </c>
      <c r="S284" s="20">
        <v>4</v>
      </c>
      <c r="T284" s="20">
        <v>0</v>
      </c>
      <c r="U284" s="20">
        <v>5</v>
      </c>
      <c r="V284" s="20" t="s">
        <v>29</v>
      </c>
      <c r="W284">
        <v>475</v>
      </c>
      <c r="X284">
        <v>475</v>
      </c>
      <c r="Y284">
        <v>451</v>
      </c>
      <c r="Z284" s="7">
        <v>0.62152777777777779</v>
      </c>
      <c r="AA284" s="7">
        <v>0.62152777777777779</v>
      </c>
      <c r="AB284" s="7">
        <v>0.60486111111111107</v>
      </c>
      <c r="AC28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</v>
      </c>
    </row>
    <row r="285" spans="2:29" x14ac:dyDescent="0.25">
      <c r="B285" s="3">
        <v>2</v>
      </c>
      <c r="C285">
        <v>2</v>
      </c>
      <c r="D285">
        <v>4</v>
      </c>
      <c r="E285" s="29" t="s">
        <v>27</v>
      </c>
      <c r="F285" s="3">
        <v>1443</v>
      </c>
      <c r="G285" s="3">
        <v>1443</v>
      </c>
      <c r="H285" s="29" t="s">
        <v>51</v>
      </c>
      <c r="I285" s="3">
        <v>1</v>
      </c>
      <c r="J285" s="7">
        <v>0.29375000000000001</v>
      </c>
      <c r="K285" s="7">
        <v>0.29375000000000001</v>
      </c>
      <c r="L285" s="3">
        <f t="shared" si="9"/>
        <v>1</v>
      </c>
      <c r="M285" s="3">
        <f t="shared" si="10"/>
        <v>1</v>
      </c>
      <c r="N285" s="29">
        <f>_xlfn.MAXIFS($G$7:G284,$E$7:E284,detalhe_carro1[[#This Row],[Nó]],$B$7:B284,detalhe_carro1[[#This Row],[Numero Voltas]],$L$7:L284,1)</f>
        <v>1343</v>
      </c>
      <c r="O285" s="3">
        <f>IF(OR(detalhe_carro1[[#This Row],[Ultima Chegada]]=0,detalhe_carro1[[#This Row],[Chegada]]=0),"",detalhe_carro1[[#This Row],[Hora Inicio]]-detalhe_carro1[[#This Row],[Ultima Chegada]])</f>
        <v>100</v>
      </c>
      <c r="P285" s="3">
        <f>IF(detalhe_carro1[[#This Row],[Tipo]]="Visitar Nó",((detalhe_carro1[[#This Row],[Hora Fim]]-detalhe_carro1[[#This Row],[Hora Inicio]])/60*velocidade_nos),0)</f>
        <v>0</v>
      </c>
      <c r="Q285" s="29">
        <f>detalhe_carro1[[#This Row],[Kms Nós]]+detalhe_carro1[[#This Row],[kms]]</f>
        <v>1</v>
      </c>
      <c r="S285" s="20">
        <v>4</v>
      </c>
      <c r="T285" s="20">
        <v>0</v>
      </c>
      <c r="U285" s="20">
        <v>4</v>
      </c>
      <c r="V285" s="20" t="s">
        <v>27</v>
      </c>
      <c r="W285">
        <v>478</v>
      </c>
      <c r="X285">
        <v>478</v>
      </c>
      <c r="Y285">
        <v>404</v>
      </c>
      <c r="Z285" s="7">
        <v>0.62361111111111112</v>
      </c>
      <c r="AA285" s="7">
        <v>0.62361111111111112</v>
      </c>
      <c r="AB285" s="7">
        <v>0.57222222222222219</v>
      </c>
      <c r="AC28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1.2333333333333334</v>
      </c>
    </row>
    <row r="286" spans="2:29" x14ac:dyDescent="0.25">
      <c r="B286" s="3">
        <v>2</v>
      </c>
      <c r="C286">
        <v>2</v>
      </c>
      <c r="D286">
        <v>5</v>
      </c>
      <c r="E286" s="29" t="s">
        <v>29</v>
      </c>
      <c r="F286" s="3">
        <v>1446</v>
      </c>
      <c r="G286" s="3">
        <v>1446</v>
      </c>
      <c r="H286" s="29" t="s">
        <v>51</v>
      </c>
      <c r="I286" s="3">
        <v>3</v>
      </c>
      <c r="J286" s="7">
        <v>0.29583333333333334</v>
      </c>
      <c r="K286" s="7">
        <v>0.29583333333333334</v>
      </c>
      <c r="L286" s="3">
        <f t="shared" si="9"/>
        <v>1</v>
      </c>
      <c r="M286" s="3">
        <f t="shared" si="10"/>
        <v>1</v>
      </c>
      <c r="N286" s="29">
        <f>_xlfn.MAXIFS($G$7:G285,$E$7:E285,detalhe_carro1[[#This Row],[Nó]],$B$7:B285,detalhe_carro1[[#This Row],[Numero Voltas]],$L$7:L285,1)</f>
        <v>1340</v>
      </c>
      <c r="O286" s="3">
        <f>IF(OR(detalhe_carro1[[#This Row],[Ultima Chegada]]=0,detalhe_carro1[[#This Row],[Chegada]]=0),"",detalhe_carro1[[#This Row],[Hora Inicio]]-detalhe_carro1[[#This Row],[Ultima Chegada]])</f>
        <v>106</v>
      </c>
      <c r="P286" s="3">
        <f>IF(detalhe_carro1[[#This Row],[Tipo]]="Visitar Nó",((detalhe_carro1[[#This Row],[Hora Fim]]-detalhe_carro1[[#This Row],[Hora Inicio]])/60*velocidade_nos),0)</f>
        <v>0</v>
      </c>
      <c r="Q286" s="29">
        <f>detalhe_carro1[[#This Row],[Kms Nós]]+detalhe_carro1[[#This Row],[kms]]</f>
        <v>3</v>
      </c>
      <c r="S286" s="20">
        <v>4</v>
      </c>
      <c r="T286" s="20">
        <v>0</v>
      </c>
      <c r="U286" s="20">
        <v>3</v>
      </c>
      <c r="V286" s="20" t="s">
        <v>26</v>
      </c>
      <c r="W286">
        <v>479</v>
      </c>
      <c r="X286">
        <v>479</v>
      </c>
      <c r="Y286">
        <v>389</v>
      </c>
      <c r="Z286" s="7">
        <v>0.62430555555555556</v>
      </c>
      <c r="AA286" s="7">
        <v>0.62430555555555556</v>
      </c>
      <c r="AB286" s="7">
        <v>0.56180555555555556</v>
      </c>
      <c r="AC28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</v>
      </c>
    </row>
    <row r="287" spans="2:29" x14ac:dyDescent="0.25">
      <c r="B287" s="3">
        <v>2</v>
      </c>
      <c r="C287">
        <v>2</v>
      </c>
      <c r="D287">
        <v>6</v>
      </c>
      <c r="E287" s="29" t="s">
        <v>31</v>
      </c>
      <c r="F287" s="3">
        <v>1449</v>
      </c>
      <c r="G287" s="3">
        <v>1528</v>
      </c>
      <c r="H287" s="29" t="s">
        <v>52</v>
      </c>
      <c r="I287" s="3">
        <v>0</v>
      </c>
      <c r="J287" s="7">
        <v>0.29791666666666666</v>
      </c>
      <c r="K287" s="7">
        <v>0.3527777777777778</v>
      </c>
      <c r="L287" s="3">
        <f t="shared" si="9"/>
        <v>0</v>
      </c>
      <c r="M287" s="3">
        <f t="shared" si="10"/>
        <v>1</v>
      </c>
      <c r="N287" s="29">
        <f>_xlfn.MAXIFS($G$7:G286,$E$7:E286,detalhe_carro1[[#This Row],[Nó]],$B$7:B286,detalhe_carro1[[#This Row],[Numero Voltas]],$L$7:L286,1)</f>
        <v>1337</v>
      </c>
      <c r="O287" s="3">
        <f>IF(OR(detalhe_carro1[[#This Row],[Ultima Chegada]]=0,detalhe_carro1[[#This Row],[Chegada]]=0),"",detalhe_carro1[[#This Row],[Hora Inicio]]-detalhe_carro1[[#This Row],[Ultima Chegada]])</f>
        <v>112</v>
      </c>
      <c r="P287" s="3">
        <f>IF(detalhe_carro1[[#This Row],[Tipo]]="Visitar Nó",((detalhe_carro1[[#This Row],[Hora Fim]]-detalhe_carro1[[#This Row],[Hora Inicio]])/60*velocidade_nos),0)</f>
        <v>0</v>
      </c>
      <c r="Q287" s="29">
        <f>detalhe_carro1[[#This Row],[Kms Nós]]+detalhe_carro1[[#This Row],[kms]]</f>
        <v>0</v>
      </c>
      <c r="S287" s="20">
        <v>4</v>
      </c>
      <c r="T287" s="20">
        <v>0</v>
      </c>
      <c r="U287" s="20">
        <v>2</v>
      </c>
      <c r="V287" s="20" t="s">
        <v>24</v>
      </c>
      <c r="W287">
        <v>480</v>
      </c>
      <c r="X287">
        <v>480</v>
      </c>
      <c r="Y287">
        <v>377</v>
      </c>
      <c r="Z287" s="7">
        <v>0.625</v>
      </c>
      <c r="AA287" s="7">
        <v>0.625</v>
      </c>
      <c r="AB287" s="7">
        <v>0.55347222222222225</v>
      </c>
      <c r="AC28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</row>
    <row r="288" spans="2:29" x14ac:dyDescent="0.25">
      <c r="B288" s="3">
        <v>2</v>
      </c>
      <c r="C288">
        <v>2</v>
      </c>
      <c r="D288">
        <v>6</v>
      </c>
      <c r="E288" s="29" t="s">
        <v>31</v>
      </c>
      <c r="F288" s="3">
        <v>1531</v>
      </c>
      <c r="G288" s="3">
        <v>1531</v>
      </c>
      <c r="H288" s="29" t="s">
        <v>51</v>
      </c>
      <c r="I288" s="3">
        <v>3</v>
      </c>
      <c r="J288" s="7">
        <v>0.35486111111111113</v>
      </c>
      <c r="K288" s="7">
        <v>0.35486111111111113</v>
      </c>
      <c r="L288" s="3">
        <f t="shared" si="9"/>
        <v>1</v>
      </c>
      <c r="M288" s="3">
        <f t="shared" si="10"/>
        <v>0</v>
      </c>
      <c r="N288" s="29">
        <f>_xlfn.MAXIFS($G$7:G287,$E$7:E287,detalhe_carro1[[#This Row],[Nó]],$B$7:B287,detalhe_carro1[[#This Row],[Numero Voltas]],$L$7:L287,1)</f>
        <v>1337</v>
      </c>
      <c r="O288" s="3" t="str">
        <f>IF(OR(detalhe_carro1[[#This Row],[Ultima Chegada]]=0,detalhe_carro1[[#This Row],[Chegada]]=0),"",detalhe_carro1[[#This Row],[Hora Inicio]]-detalhe_carro1[[#This Row],[Ultima Chegada]])</f>
        <v/>
      </c>
      <c r="P288" s="3">
        <f>IF(detalhe_carro1[[#This Row],[Tipo]]="Visitar Nó",((detalhe_carro1[[#This Row],[Hora Fim]]-detalhe_carro1[[#This Row],[Hora Inicio]])/60*velocidade_nos),0)</f>
        <v>0</v>
      </c>
      <c r="Q288" s="29">
        <f>detalhe_carro1[[#This Row],[Kms Nós]]+detalhe_carro1[[#This Row],[kms]]</f>
        <v>3</v>
      </c>
      <c r="S288" s="20">
        <v>4</v>
      </c>
      <c r="T288" s="20">
        <v>0</v>
      </c>
      <c r="U288" s="20">
        <v>1</v>
      </c>
      <c r="V288" s="20" t="s">
        <v>22</v>
      </c>
      <c r="W288">
        <v>487</v>
      </c>
      <c r="X288">
        <v>487</v>
      </c>
      <c r="Y288">
        <v>349</v>
      </c>
      <c r="Z288" s="7">
        <v>0.62986111111111109</v>
      </c>
      <c r="AA288" s="7">
        <v>0.62986111111111109</v>
      </c>
      <c r="AB288" s="7">
        <v>0.53402777777777777</v>
      </c>
      <c r="AC28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2.2999999999999998</v>
      </c>
    </row>
    <row r="289" spans="2:29" x14ac:dyDescent="0.25">
      <c r="B289" s="3">
        <v>2</v>
      </c>
      <c r="C289">
        <v>2</v>
      </c>
      <c r="D289">
        <v>7</v>
      </c>
      <c r="E289" s="29" t="s">
        <v>33</v>
      </c>
      <c r="F289" s="3">
        <v>1534</v>
      </c>
      <c r="G289" s="3">
        <v>1534</v>
      </c>
      <c r="H289" s="29" t="s">
        <v>51</v>
      </c>
      <c r="I289" s="3">
        <v>3</v>
      </c>
      <c r="J289" s="7">
        <v>0.35694444444444445</v>
      </c>
      <c r="K289" s="7">
        <v>0.35694444444444445</v>
      </c>
      <c r="L289" s="3">
        <f t="shared" si="9"/>
        <v>0</v>
      </c>
      <c r="M289" s="3">
        <f t="shared" si="10"/>
        <v>1</v>
      </c>
      <c r="N289" s="29">
        <f>_xlfn.MAXIFS($G$7:G288,$E$7:E288,detalhe_carro1[[#This Row],[Nó]],$B$7:B288,detalhe_carro1[[#This Row],[Numero Voltas]],$L$7:L288,1)</f>
        <v>1334</v>
      </c>
      <c r="O289" s="3">
        <f>IF(OR(detalhe_carro1[[#This Row],[Ultima Chegada]]=0,detalhe_carro1[[#This Row],[Chegada]]=0),"",detalhe_carro1[[#This Row],[Hora Inicio]]-detalhe_carro1[[#This Row],[Ultima Chegada]])</f>
        <v>200</v>
      </c>
      <c r="P289" s="3">
        <f>IF(detalhe_carro1[[#This Row],[Tipo]]="Visitar Nó",((detalhe_carro1[[#This Row],[Hora Fim]]-detalhe_carro1[[#This Row],[Hora Inicio]])/60*velocidade_nos),0)</f>
        <v>0</v>
      </c>
      <c r="Q289" s="29">
        <f>detalhe_carro1[[#This Row],[Kms Nós]]+detalhe_carro1[[#This Row],[kms]]</f>
        <v>3</v>
      </c>
      <c r="S289" s="20">
        <v>4</v>
      </c>
      <c r="T289" s="20">
        <v>0</v>
      </c>
      <c r="U289" s="20">
        <v>0</v>
      </c>
      <c r="V289" s="20" t="s">
        <v>20</v>
      </c>
      <c r="W289">
        <v>488</v>
      </c>
      <c r="X289">
        <v>488</v>
      </c>
      <c r="Y289">
        <v>342</v>
      </c>
      <c r="Z289" s="7">
        <v>0.63055555555555554</v>
      </c>
      <c r="AA289" s="7">
        <v>0.63055555555555554</v>
      </c>
      <c r="AB289" s="7">
        <v>0.52916666666666667</v>
      </c>
      <c r="AC28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2.4333333333333331</v>
      </c>
    </row>
    <row r="290" spans="2:29" x14ac:dyDescent="0.25">
      <c r="B290" s="3">
        <v>2</v>
      </c>
      <c r="C290">
        <v>2</v>
      </c>
      <c r="D290">
        <v>7</v>
      </c>
      <c r="E290" s="29" t="s">
        <v>33</v>
      </c>
      <c r="F290" s="3">
        <v>1534</v>
      </c>
      <c r="G290" s="3">
        <v>1534</v>
      </c>
      <c r="H290" s="29" t="s">
        <v>51</v>
      </c>
      <c r="I290" s="3">
        <v>3</v>
      </c>
      <c r="J290" s="7">
        <v>0.35694444444444445</v>
      </c>
      <c r="K290" s="7">
        <v>0.35694444444444445</v>
      </c>
      <c r="L290" s="3">
        <f t="shared" si="9"/>
        <v>0</v>
      </c>
      <c r="M290" s="3">
        <f t="shared" si="10"/>
        <v>0</v>
      </c>
      <c r="N290" s="29">
        <f>_xlfn.MAXIFS($G$7:G289,$E$7:E289,detalhe_carro1[[#This Row],[Nó]],$B$7:B289,detalhe_carro1[[#This Row],[Numero Voltas]],$L$7:L289,1)</f>
        <v>1334</v>
      </c>
      <c r="O290" s="3" t="str">
        <f>IF(OR(detalhe_carro1[[#This Row],[Ultima Chegada]]=0,detalhe_carro1[[#This Row],[Chegada]]=0),"",detalhe_carro1[[#This Row],[Hora Inicio]]-detalhe_carro1[[#This Row],[Ultima Chegada]])</f>
        <v/>
      </c>
      <c r="P290" s="3">
        <f>IF(detalhe_carro1[[#This Row],[Tipo]]="Visitar Nó",((detalhe_carro1[[#This Row],[Hora Fim]]-detalhe_carro1[[#This Row],[Hora Inicio]])/60*velocidade_nos),0)</f>
        <v>0</v>
      </c>
      <c r="Q290" s="29">
        <f>detalhe_carro1[[#This Row],[Kms Nós]]+detalhe_carro1[[#This Row],[kms]]</f>
        <v>3</v>
      </c>
      <c r="S290" s="20">
        <v>4</v>
      </c>
      <c r="T290" s="20">
        <v>0</v>
      </c>
      <c r="U290" s="20">
        <v>1</v>
      </c>
      <c r="V290" s="20" t="s">
        <v>22</v>
      </c>
      <c r="W290">
        <v>489</v>
      </c>
      <c r="X290">
        <v>489</v>
      </c>
      <c r="Y290">
        <v>487</v>
      </c>
      <c r="Z290" s="7">
        <v>0.63124999999999998</v>
      </c>
      <c r="AA290" s="7">
        <v>0.63124999999999998</v>
      </c>
      <c r="AB290" s="7">
        <v>0.62986111111111109</v>
      </c>
      <c r="AC29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91" spans="2:29" x14ac:dyDescent="0.25">
      <c r="B291" s="3">
        <v>2</v>
      </c>
      <c r="C291">
        <v>2</v>
      </c>
      <c r="D291">
        <v>7</v>
      </c>
      <c r="E291" s="29" t="s">
        <v>33</v>
      </c>
      <c r="F291" s="3">
        <v>1534</v>
      </c>
      <c r="G291" s="3">
        <v>1534</v>
      </c>
      <c r="H291" s="29" t="s">
        <v>51</v>
      </c>
      <c r="I291" s="3">
        <v>3</v>
      </c>
      <c r="J291" s="7">
        <v>0.35694444444444445</v>
      </c>
      <c r="K291" s="7">
        <v>0.35694444444444445</v>
      </c>
      <c r="L291" s="3">
        <f t="shared" si="9"/>
        <v>0</v>
      </c>
      <c r="M291" s="3">
        <f t="shared" si="10"/>
        <v>0</v>
      </c>
      <c r="N291" s="29">
        <f>_xlfn.MAXIFS($G$7:G290,$E$7:E290,detalhe_carro1[[#This Row],[Nó]],$B$7:B290,detalhe_carro1[[#This Row],[Numero Voltas]],$L$7:L290,1)</f>
        <v>1334</v>
      </c>
      <c r="O291" s="3" t="str">
        <f>IF(OR(detalhe_carro1[[#This Row],[Ultima Chegada]]=0,detalhe_carro1[[#This Row],[Chegada]]=0),"",detalhe_carro1[[#This Row],[Hora Inicio]]-detalhe_carro1[[#This Row],[Ultima Chegada]])</f>
        <v/>
      </c>
      <c r="P291" s="3">
        <f>IF(detalhe_carro1[[#This Row],[Tipo]]="Visitar Nó",((detalhe_carro1[[#This Row],[Hora Fim]]-detalhe_carro1[[#This Row],[Hora Inicio]])/60*velocidade_nos),0)</f>
        <v>0</v>
      </c>
      <c r="Q291" s="29">
        <f>detalhe_carro1[[#This Row],[Kms Nós]]+detalhe_carro1[[#This Row],[kms]]</f>
        <v>3</v>
      </c>
      <c r="S291" s="20">
        <v>4</v>
      </c>
      <c r="T291" s="20">
        <v>0</v>
      </c>
      <c r="U291" s="20">
        <v>2</v>
      </c>
      <c r="V291" s="20" t="s">
        <v>24</v>
      </c>
      <c r="W291">
        <v>496</v>
      </c>
      <c r="X291">
        <v>496</v>
      </c>
      <c r="Y291">
        <v>480</v>
      </c>
      <c r="Z291" s="7">
        <v>0.63611111111111107</v>
      </c>
      <c r="AA291" s="7">
        <v>0.63611111111111107</v>
      </c>
      <c r="AB291" s="7">
        <v>0.625</v>
      </c>
      <c r="AC29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92" spans="2:29" x14ac:dyDescent="0.25">
      <c r="B292" s="3">
        <v>3</v>
      </c>
      <c r="C292">
        <v>0</v>
      </c>
      <c r="D292">
        <v>7</v>
      </c>
      <c r="E292" s="29" t="s">
        <v>33</v>
      </c>
      <c r="F292" s="3">
        <v>30</v>
      </c>
      <c r="G292" s="3">
        <v>90</v>
      </c>
      <c r="H292" s="29" t="s">
        <v>54</v>
      </c>
      <c r="I292" s="3">
        <v>0</v>
      </c>
      <c r="J292" s="7">
        <v>0.3125</v>
      </c>
      <c r="K292" s="7">
        <v>0.35416666666666669</v>
      </c>
      <c r="L292" s="3">
        <f t="shared" si="9"/>
        <v>0</v>
      </c>
      <c r="M292" s="3">
        <f t="shared" si="10"/>
        <v>0</v>
      </c>
      <c r="N292" s="29">
        <f>_xlfn.MAXIFS($G$7:G291,$E$7:E291,detalhe_carro1[[#This Row],[Nó]],$B$7:B291,detalhe_carro1[[#This Row],[Numero Voltas]],$L$7:L291,1)</f>
        <v>0</v>
      </c>
      <c r="O292" s="3" t="str">
        <f>IF(OR(detalhe_carro1[[#This Row],[Ultima Chegada]]=0,detalhe_carro1[[#This Row],[Chegada]]=0),"",detalhe_carro1[[#This Row],[Hora Inicio]]-detalhe_carro1[[#This Row],[Ultima Chegada]])</f>
        <v/>
      </c>
      <c r="P292" s="3">
        <f>IF(detalhe_carro1[[#This Row],[Tipo]]="Visitar Nó",((detalhe_carro1[[#This Row],[Hora Fim]]-detalhe_carro1[[#This Row],[Hora Inicio]])/60*velocidade_nos),0)</f>
        <v>0</v>
      </c>
      <c r="Q292" s="29">
        <f>detalhe_carro1[[#This Row],[Kms Nós]]+detalhe_carro1[[#This Row],[kms]]</f>
        <v>0</v>
      </c>
      <c r="S292" s="20">
        <v>4</v>
      </c>
      <c r="T292" s="20">
        <v>0</v>
      </c>
      <c r="U292" s="20">
        <v>3</v>
      </c>
      <c r="V292" s="20" t="s">
        <v>26</v>
      </c>
      <c r="W292">
        <v>497</v>
      </c>
      <c r="X292">
        <v>497</v>
      </c>
      <c r="Y292">
        <v>479</v>
      </c>
      <c r="Z292" s="7">
        <v>0.63680555555555551</v>
      </c>
      <c r="AA292" s="7">
        <v>0.63680555555555551</v>
      </c>
      <c r="AB292" s="7">
        <v>0.62430555555555556</v>
      </c>
      <c r="AC29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93" spans="2:29" x14ac:dyDescent="0.25">
      <c r="B293" s="3">
        <v>3</v>
      </c>
      <c r="C293">
        <v>0</v>
      </c>
      <c r="D293">
        <v>7</v>
      </c>
      <c r="E293" s="29" t="s">
        <v>33</v>
      </c>
      <c r="F293" s="3">
        <v>60</v>
      </c>
      <c r="G293" s="3">
        <v>90</v>
      </c>
      <c r="H293" s="29" t="s">
        <v>54</v>
      </c>
      <c r="I293" s="3">
        <v>0</v>
      </c>
      <c r="J293" s="7">
        <v>0.33333333333333331</v>
      </c>
      <c r="K293" s="7">
        <v>0.35416666666666669</v>
      </c>
      <c r="L293" s="3">
        <f t="shared" si="9"/>
        <v>0</v>
      </c>
      <c r="M293" s="3">
        <f t="shared" si="10"/>
        <v>0</v>
      </c>
      <c r="N293" s="29">
        <f>_xlfn.MAXIFS($G$7:G292,$E$7:E292,detalhe_carro1[[#This Row],[Nó]],$B$7:B292,detalhe_carro1[[#This Row],[Numero Voltas]],$L$7:L292,1)</f>
        <v>0</v>
      </c>
      <c r="O293" s="3" t="str">
        <f>IF(OR(detalhe_carro1[[#This Row],[Ultima Chegada]]=0,detalhe_carro1[[#This Row],[Chegada]]=0),"",detalhe_carro1[[#This Row],[Hora Inicio]]-detalhe_carro1[[#This Row],[Ultima Chegada]])</f>
        <v/>
      </c>
      <c r="P293" s="3">
        <f>IF(detalhe_carro1[[#This Row],[Tipo]]="Visitar Nó",((detalhe_carro1[[#This Row],[Hora Fim]]-detalhe_carro1[[#This Row],[Hora Inicio]])/60*velocidade_nos),0)</f>
        <v>0</v>
      </c>
      <c r="Q293" s="29">
        <f>detalhe_carro1[[#This Row],[Kms Nós]]+detalhe_carro1[[#This Row],[kms]]</f>
        <v>0</v>
      </c>
      <c r="S293" s="20">
        <v>4</v>
      </c>
      <c r="T293" s="20">
        <v>0</v>
      </c>
      <c r="U293" s="20">
        <v>4</v>
      </c>
      <c r="V293" s="20" t="s">
        <v>27</v>
      </c>
      <c r="W293">
        <v>498</v>
      </c>
      <c r="X293">
        <v>498</v>
      </c>
      <c r="Y293">
        <v>478</v>
      </c>
      <c r="Z293" s="7">
        <v>0.63749999999999996</v>
      </c>
      <c r="AA293" s="7">
        <v>0.63749999999999996</v>
      </c>
      <c r="AB293" s="7">
        <v>0.62361111111111112</v>
      </c>
      <c r="AC29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94" spans="2:29" x14ac:dyDescent="0.25">
      <c r="B294" s="3">
        <v>3</v>
      </c>
      <c r="C294">
        <v>0</v>
      </c>
      <c r="D294">
        <v>7</v>
      </c>
      <c r="E294" s="29" t="s">
        <v>33</v>
      </c>
      <c r="F294" s="3">
        <v>90</v>
      </c>
      <c r="G294" s="3">
        <v>90</v>
      </c>
      <c r="H294" s="29" t="s">
        <v>49</v>
      </c>
      <c r="I294" s="3">
        <v>0</v>
      </c>
      <c r="J294" s="7">
        <v>0.35416666666666669</v>
      </c>
      <c r="K294" s="7">
        <v>0.35416666666666669</v>
      </c>
      <c r="L294" s="3">
        <f t="shared" si="9"/>
        <v>0</v>
      </c>
      <c r="M294" s="3">
        <f t="shared" si="10"/>
        <v>0</v>
      </c>
      <c r="N294" s="29">
        <f>_xlfn.MAXIFS($G$7:G293,$E$7:E293,detalhe_carro1[[#This Row],[Nó]],$B$7:B293,detalhe_carro1[[#This Row],[Numero Voltas]],$L$7:L293,1)</f>
        <v>0</v>
      </c>
      <c r="O294" s="3" t="str">
        <f>IF(OR(detalhe_carro1[[#This Row],[Ultima Chegada]]=0,detalhe_carro1[[#This Row],[Chegada]]=0),"",detalhe_carro1[[#This Row],[Hora Inicio]]-detalhe_carro1[[#This Row],[Ultima Chegada]])</f>
        <v/>
      </c>
      <c r="P294" s="3">
        <f>IF(detalhe_carro1[[#This Row],[Tipo]]="Visitar Nó",((detalhe_carro1[[#This Row],[Hora Fim]]-detalhe_carro1[[#This Row],[Hora Inicio]])/60*velocidade_nos),0)</f>
        <v>0</v>
      </c>
      <c r="Q294" s="29">
        <f>detalhe_carro1[[#This Row],[Kms Nós]]+detalhe_carro1[[#This Row],[kms]]</f>
        <v>0</v>
      </c>
      <c r="S294" s="20">
        <v>4</v>
      </c>
      <c r="T294" s="20">
        <v>0</v>
      </c>
      <c r="U294" s="20">
        <v>5</v>
      </c>
      <c r="V294" s="20" t="s">
        <v>29</v>
      </c>
      <c r="W294">
        <v>501</v>
      </c>
      <c r="X294">
        <v>501</v>
      </c>
      <c r="Y294">
        <v>475</v>
      </c>
      <c r="Z294" s="7">
        <v>0.63958333333333328</v>
      </c>
      <c r="AA294" s="7">
        <v>0.63958333333333328</v>
      </c>
      <c r="AB294" s="7">
        <v>0.62152777777777779</v>
      </c>
      <c r="AC29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95" spans="2:29" x14ac:dyDescent="0.25">
      <c r="B295" s="3">
        <v>3</v>
      </c>
      <c r="C295">
        <v>0</v>
      </c>
      <c r="D295">
        <v>7</v>
      </c>
      <c r="E295" s="29" t="s">
        <v>33</v>
      </c>
      <c r="F295" s="3">
        <v>90</v>
      </c>
      <c r="G295" s="3">
        <v>103</v>
      </c>
      <c r="H295" s="29" t="s">
        <v>50</v>
      </c>
      <c r="I295" s="3">
        <v>0</v>
      </c>
      <c r="J295" s="7">
        <v>0.35416666666666669</v>
      </c>
      <c r="K295" s="7">
        <v>0.36319444444444443</v>
      </c>
      <c r="L295" s="3">
        <f t="shared" si="9"/>
        <v>0</v>
      </c>
      <c r="M295" s="3">
        <f t="shared" si="10"/>
        <v>0</v>
      </c>
      <c r="N295" s="29">
        <f>_xlfn.MAXIFS($G$7:G294,$E$7:E294,detalhe_carro1[[#This Row],[Nó]],$B$7:B294,detalhe_carro1[[#This Row],[Numero Voltas]],$L$7:L294,1)</f>
        <v>0</v>
      </c>
      <c r="O295" s="3" t="str">
        <f>IF(OR(detalhe_carro1[[#This Row],[Ultima Chegada]]=0,detalhe_carro1[[#This Row],[Chegada]]=0),"",detalhe_carro1[[#This Row],[Hora Inicio]]-detalhe_carro1[[#This Row],[Ultima Chegada]])</f>
        <v/>
      </c>
      <c r="P295" s="3">
        <f>IF(detalhe_carro1[[#This Row],[Tipo]]="Visitar Nó",((detalhe_carro1[[#This Row],[Hora Fim]]-detalhe_carro1[[#This Row],[Hora Inicio]])/60*velocidade_nos),0)</f>
        <v>6.5</v>
      </c>
      <c r="Q295" s="29">
        <f>detalhe_carro1[[#This Row],[Kms Nós]]+detalhe_carro1[[#This Row],[kms]]</f>
        <v>6.5</v>
      </c>
      <c r="S295" s="20">
        <v>4</v>
      </c>
      <c r="T295" s="20">
        <v>0</v>
      </c>
      <c r="U295" s="20">
        <v>6</v>
      </c>
      <c r="V295" s="20" t="s">
        <v>31</v>
      </c>
      <c r="W295">
        <v>504</v>
      </c>
      <c r="X295">
        <v>504</v>
      </c>
      <c r="Y295">
        <v>472</v>
      </c>
      <c r="Z295" s="7">
        <v>0.64166666666666672</v>
      </c>
      <c r="AA295" s="7">
        <v>0.64166666666666672</v>
      </c>
      <c r="AB295" s="7">
        <v>0.61944444444444446</v>
      </c>
      <c r="AC29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96" spans="2:29" x14ac:dyDescent="0.25">
      <c r="B296" s="3">
        <v>3</v>
      </c>
      <c r="C296">
        <v>0</v>
      </c>
      <c r="D296">
        <v>7</v>
      </c>
      <c r="E296" s="29" t="s">
        <v>33</v>
      </c>
      <c r="F296" s="3">
        <v>103</v>
      </c>
      <c r="G296" s="3">
        <v>103</v>
      </c>
      <c r="H296" s="29" t="s">
        <v>51</v>
      </c>
      <c r="I296" s="3">
        <v>0</v>
      </c>
      <c r="J296" s="7">
        <v>0.36319444444444443</v>
      </c>
      <c r="K296" s="7">
        <v>0.36319444444444443</v>
      </c>
      <c r="L296" s="3">
        <f t="shared" si="9"/>
        <v>1</v>
      </c>
      <c r="M296" s="3">
        <f t="shared" si="10"/>
        <v>0</v>
      </c>
      <c r="N296" s="29">
        <f>_xlfn.MAXIFS($G$7:G295,$E$7:E295,detalhe_carro1[[#This Row],[Nó]],$B$7:B295,detalhe_carro1[[#This Row],[Numero Voltas]],$L$7:L295,1)</f>
        <v>0</v>
      </c>
      <c r="O296" s="3" t="str">
        <f>IF(OR(detalhe_carro1[[#This Row],[Ultima Chegada]]=0,detalhe_carro1[[#This Row],[Chegada]]=0),"",detalhe_carro1[[#This Row],[Hora Inicio]]-detalhe_carro1[[#This Row],[Ultima Chegada]])</f>
        <v/>
      </c>
      <c r="P296" s="3">
        <f>IF(detalhe_carro1[[#This Row],[Tipo]]="Visitar Nó",((detalhe_carro1[[#This Row],[Hora Fim]]-detalhe_carro1[[#This Row],[Hora Inicio]])/60*velocidade_nos),0)</f>
        <v>0</v>
      </c>
      <c r="Q296" s="29">
        <f>detalhe_carro1[[#This Row],[Kms Nós]]+detalhe_carro1[[#This Row],[kms]]</f>
        <v>0</v>
      </c>
      <c r="S296" s="20">
        <v>4</v>
      </c>
      <c r="T296" s="20">
        <v>0</v>
      </c>
      <c r="U296" s="20">
        <v>7</v>
      </c>
      <c r="V296" s="20" t="s">
        <v>33</v>
      </c>
      <c r="W296">
        <v>507</v>
      </c>
      <c r="X296">
        <v>507</v>
      </c>
      <c r="Y296">
        <v>469</v>
      </c>
      <c r="Z296" s="7">
        <v>0.64375000000000004</v>
      </c>
      <c r="AA296" s="7">
        <v>0.64375000000000004</v>
      </c>
      <c r="AB296" s="7">
        <v>0.61736111111111114</v>
      </c>
      <c r="AC29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97" spans="2:29" x14ac:dyDescent="0.25">
      <c r="B297" s="3">
        <v>3</v>
      </c>
      <c r="C297">
        <v>0</v>
      </c>
      <c r="D297">
        <v>6</v>
      </c>
      <c r="E297" s="29" t="s">
        <v>31</v>
      </c>
      <c r="F297" s="3">
        <v>116</v>
      </c>
      <c r="G297" s="3">
        <v>176</v>
      </c>
      <c r="H297" s="29" t="s">
        <v>52</v>
      </c>
      <c r="I297" s="3">
        <v>0</v>
      </c>
      <c r="J297" s="7">
        <v>0.37222222222222223</v>
      </c>
      <c r="K297" s="7">
        <v>0.41388888888888886</v>
      </c>
      <c r="L297" s="3">
        <f t="shared" si="9"/>
        <v>0</v>
      </c>
      <c r="M297" s="3">
        <f t="shared" si="10"/>
        <v>1</v>
      </c>
      <c r="N297" s="29">
        <f>_xlfn.MAXIFS($G$7:G296,$E$7:E296,detalhe_carro1[[#This Row],[Nó]],$B$7:B296,detalhe_carro1[[#This Row],[Numero Voltas]],$L$7:L296,1)</f>
        <v>0</v>
      </c>
      <c r="O297" s="3" t="str">
        <f>IF(OR(detalhe_carro1[[#This Row],[Ultima Chegada]]=0,detalhe_carro1[[#This Row],[Chegada]]=0),"",detalhe_carro1[[#This Row],[Hora Inicio]]-detalhe_carro1[[#This Row],[Ultima Chegada]])</f>
        <v/>
      </c>
      <c r="P297" s="3">
        <f>IF(detalhe_carro1[[#This Row],[Tipo]]="Visitar Nó",((detalhe_carro1[[#This Row],[Hora Fim]]-detalhe_carro1[[#This Row],[Hora Inicio]])/60*velocidade_nos),0)</f>
        <v>0</v>
      </c>
      <c r="Q297" s="29">
        <f>detalhe_carro1[[#This Row],[Kms Nós]]+detalhe_carro1[[#This Row],[kms]]</f>
        <v>0</v>
      </c>
      <c r="S297" s="20">
        <v>4</v>
      </c>
      <c r="T297" s="20">
        <v>0</v>
      </c>
      <c r="U297" s="20">
        <v>6</v>
      </c>
      <c r="V297" s="20" t="s">
        <v>31</v>
      </c>
      <c r="W297">
        <v>510</v>
      </c>
      <c r="X297">
        <v>510</v>
      </c>
      <c r="Y297">
        <v>504</v>
      </c>
      <c r="Z297" s="7">
        <v>0.64583333333333337</v>
      </c>
      <c r="AA297" s="7">
        <v>0.64583333333333337</v>
      </c>
      <c r="AB297" s="7">
        <v>0.64166666666666672</v>
      </c>
      <c r="AC29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298" spans="2:29" x14ac:dyDescent="0.25">
      <c r="B298" s="3">
        <v>3</v>
      </c>
      <c r="C298">
        <v>0</v>
      </c>
      <c r="D298">
        <v>6</v>
      </c>
      <c r="E298" s="29" t="s">
        <v>31</v>
      </c>
      <c r="F298" s="3">
        <v>179</v>
      </c>
      <c r="G298" s="3">
        <v>189</v>
      </c>
      <c r="H298" s="29" t="s">
        <v>297</v>
      </c>
      <c r="I298" s="3">
        <v>0</v>
      </c>
      <c r="J298" s="7">
        <v>0.41597222222222224</v>
      </c>
      <c r="K298" s="7">
        <v>0.42291666666666666</v>
      </c>
      <c r="L298" s="3">
        <f t="shared" si="9"/>
        <v>0</v>
      </c>
      <c r="M298" s="3">
        <f t="shared" si="10"/>
        <v>0</v>
      </c>
      <c r="N298" s="29">
        <f>_xlfn.MAXIFS($G$7:G297,$E$7:E297,detalhe_carro1[[#This Row],[Nó]],$B$7:B297,detalhe_carro1[[#This Row],[Numero Voltas]],$L$7:L297,1)</f>
        <v>0</v>
      </c>
      <c r="O298" s="3" t="str">
        <f>IF(OR(detalhe_carro1[[#This Row],[Ultima Chegada]]=0,detalhe_carro1[[#This Row],[Chegada]]=0),"",detalhe_carro1[[#This Row],[Hora Inicio]]-detalhe_carro1[[#This Row],[Ultima Chegada]])</f>
        <v/>
      </c>
      <c r="P298" s="3">
        <f>IF(detalhe_carro1[[#This Row],[Tipo]]="Visitar Nó",((detalhe_carro1[[#This Row],[Hora Fim]]-detalhe_carro1[[#This Row],[Hora Inicio]])/60*velocidade_nos),0)</f>
        <v>0</v>
      </c>
      <c r="Q298" s="29">
        <f>detalhe_carro1[[#This Row],[Kms Nós]]+detalhe_carro1[[#This Row],[kms]]</f>
        <v>0</v>
      </c>
      <c r="S298" s="20">
        <v>4</v>
      </c>
      <c r="T298" s="20">
        <v>0</v>
      </c>
      <c r="U298" s="20">
        <v>5</v>
      </c>
      <c r="V298" s="20" t="s">
        <v>29</v>
      </c>
      <c r="W298">
        <v>513</v>
      </c>
      <c r="X298">
        <v>513</v>
      </c>
      <c r="Y298">
        <v>501</v>
      </c>
      <c r="Z298" s="7">
        <v>0.6479166666666667</v>
      </c>
      <c r="AA298" s="7">
        <v>0.6479166666666667</v>
      </c>
      <c r="AB298" s="7">
        <v>0.63958333333333328</v>
      </c>
      <c r="AC29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299" spans="2:29" x14ac:dyDescent="0.25">
      <c r="B299" s="3">
        <v>3</v>
      </c>
      <c r="C299">
        <v>0</v>
      </c>
      <c r="D299">
        <v>6</v>
      </c>
      <c r="E299" s="29" t="s">
        <v>31</v>
      </c>
      <c r="F299" s="3">
        <v>192</v>
      </c>
      <c r="G299" s="3">
        <v>201</v>
      </c>
      <c r="H299" s="29" t="s">
        <v>50</v>
      </c>
      <c r="I299" s="3">
        <v>0</v>
      </c>
      <c r="J299" s="7">
        <v>0.42499999999999999</v>
      </c>
      <c r="K299" s="7">
        <v>0.43125000000000002</v>
      </c>
      <c r="L299" s="3">
        <f t="shared" si="9"/>
        <v>0</v>
      </c>
      <c r="M299" s="3">
        <f t="shared" si="10"/>
        <v>0</v>
      </c>
      <c r="N299" s="29">
        <f>_xlfn.MAXIFS($G$7:G298,$E$7:E298,detalhe_carro1[[#This Row],[Nó]],$B$7:B298,detalhe_carro1[[#This Row],[Numero Voltas]],$L$7:L298,1)</f>
        <v>0</v>
      </c>
      <c r="O299" s="3" t="str">
        <f>IF(OR(detalhe_carro1[[#This Row],[Ultima Chegada]]=0,detalhe_carro1[[#This Row],[Chegada]]=0),"",detalhe_carro1[[#This Row],[Hora Inicio]]-detalhe_carro1[[#This Row],[Ultima Chegada]])</f>
        <v/>
      </c>
      <c r="P299" s="3">
        <f>IF(detalhe_carro1[[#This Row],[Tipo]]="Visitar Nó",((detalhe_carro1[[#This Row],[Hora Fim]]-detalhe_carro1[[#This Row],[Hora Inicio]])/60*velocidade_nos),0)</f>
        <v>4.5</v>
      </c>
      <c r="Q299" s="29">
        <f>detalhe_carro1[[#This Row],[Kms Nós]]+detalhe_carro1[[#This Row],[kms]]</f>
        <v>4.5</v>
      </c>
      <c r="S299" s="20">
        <v>4</v>
      </c>
      <c r="T299" s="20">
        <v>0</v>
      </c>
      <c r="U299" s="20">
        <v>4</v>
      </c>
      <c r="V299" s="20" t="s">
        <v>27</v>
      </c>
      <c r="W299">
        <v>516</v>
      </c>
      <c r="X299">
        <v>516</v>
      </c>
      <c r="Y299">
        <v>498</v>
      </c>
      <c r="Z299" s="7">
        <v>0.65</v>
      </c>
      <c r="AA299" s="7">
        <v>0.65</v>
      </c>
      <c r="AB299" s="7">
        <v>0.63749999999999996</v>
      </c>
      <c r="AC29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00" spans="2:29" x14ac:dyDescent="0.25">
      <c r="B300" s="3">
        <v>3</v>
      </c>
      <c r="C300">
        <v>0</v>
      </c>
      <c r="D300">
        <v>6</v>
      </c>
      <c r="E300" s="29" t="s">
        <v>31</v>
      </c>
      <c r="F300" s="3">
        <v>204</v>
      </c>
      <c r="G300" s="3">
        <v>204</v>
      </c>
      <c r="H300" s="29" t="s">
        <v>51</v>
      </c>
      <c r="I300" s="3">
        <v>3</v>
      </c>
      <c r="J300" s="7">
        <v>0.43333333333333335</v>
      </c>
      <c r="K300" s="7">
        <v>0.43333333333333335</v>
      </c>
      <c r="L300" s="3">
        <f t="shared" si="9"/>
        <v>1</v>
      </c>
      <c r="M300" s="3">
        <f t="shared" si="10"/>
        <v>0</v>
      </c>
      <c r="N300" s="29">
        <f>_xlfn.MAXIFS($G$7:G299,$E$7:E299,detalhe_carro1[[#This Row],[Nó]],$B$7:B299,detalhe_carro1[[#This Row],[Numero Voltas]],$L$7:L299,1)</f>
        <v>0</v>
      </c>
      <c r="O300" s="3" t="str">
        <f>IF(OR(detalhe_carro1[[#This Row],[Ultima Chegada]]=0,detalhe_carro1[[#This Row],[Chegada]]=0),"",detalhe_carro1[[#This Row],[Hora Inicio]]-detalhe_carro1[[#This Row],[Ultima Chegada]])</f>
        <v/>
      </c>
      <c r="P300" s="3">
        <f>IF(detalhe_carro1[[#This Row],[Tipo]]="Visitar Nó",((detalhe_carro1[[#This Row],[Hora Fim]]-detalhe_carro1[[#This Row],[Hora Inicio]])/60*velocidade_nos),0)</f>
        <v>0</v>
      </c>
      <c r="Q300" s="29">
        <f>detalhe_carro1[[#This Row],[Kms Nós]]+detalhe_carro1[[#This Row],[kms]]</f>
        <v>3</v>
      </c>
      <c r="S300" s="20">
        <v>4</v>
      </c>
      <c r="T300" s="20">
        <v>0</v>
      </c>
      <c r="U300" s="20">
        <v>3</v>
      </c>
      <c r="V300" s="20" t="s">
        <v>26</v>
      </c>
      <c r="W300">
        <v>517</v>
      </c>
      <c r="X300">
        <v>517</v>
      </c>
      <c r="Y300">
        <v>497</v>
      </c>
      <c r="Z300" s="7">
        <v>0.65069444444444446</v>
      </c>
      <c r="AA300" s="7">
        <v>0.65069444444444446</v>
      </c>
      <c r="AB300" s="7">
        <v>0.63680555555555551</v>
      </c>
      <c r="AC30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01" spans="2:29" x14ac:dyDescent="0.25">
      <c r="B301" s="3">
        <v>3</v>
      </c>
      <c r="C301">
        <v>0</v>
      </c>
      <c r="D301">
        <v>5</v>
      </c>
      <c r="E301" s="29" t="s">
        <v>29</v>
      </c>
      <c r="F301" s="3">
        <v>207</v>
      </c>
      <c r="G301" s="3">
        <v>235</v>
      </c>
      <c r="H301" s="29" t="s">
        <v>50</v>
      </c>
      <c r="I301" s="3">
        <v>0</v>
      </c>
      <c r="J301" s="7">
        <v>0.43541666666666667</v>
      </c>
      <c r="K301" s="7">
        <v>0.4548611111111111</v>
      </c>
      <c r="L301" s="3">
        <f t="shared" si="9"/>
        <v>0</v>
      </c>
      <c r="M301" s="3">
        <f t="shared" si="10"/>
        <v>1</v>
      </c>
      <c r="N301" s="29">
        <f>_xlfn.MAXIFS($G$7:G300,$E$7:E300,detalhe_carro1[[#This Row],[Nó]],$B$7:B300,detalhe_carro1[[#This Row],[Numero Voltas]],$L$7:L300,1)</f>
        <v>0</v>
      </c>
      <c r="O301" s="3" t="str">
        <f>IF(OR(detalhe_carro1[[#This Row],[Ultima Chegada]]=0,detalhe_carro1[[#This Row],[Chegada]]=0),"",detalhe_carro1[[#This Row],[Hora Inicio]]-detalhe_carro1[[#This Row],[Ultima Chegada]])</f>
        <v/>
      </c>
      <c r="P301" s="3">
        <f>IF(detalhe_carro1[[#This Row],[Tipo]]="Visitar Nó",((detalhe_carro1[[#This Row],[Hora Fim]]-detalhe_carro1[[#This Row],[Hora Inicio]])/60*velocidade_nos),0)</f>
        <v>14</v>
      </c>
      <c r="Q301" s="29">
        <f>detalhe_carro1[[#This Row],[Kms Nós]]+detalhe_carro1[[#This Row],[kms]]</f>
        <v>14</v>
      </c>
      <c r="S301" s="20">
        <v>4</v>
      </c>
      <c r="T301" s="20">
        <v>0</v>
      </c>
      <c r="U301" s="20">
        <v>2</v>
      </c>
      <c r="V301" s="20" t="s">
        <v>24</v>
      </c>
      <c r="W301">
        <v>518</v>
      </c>
      <c r="X301">
        <v>518</v>
      </c>
      <c r="Y301">
        <v>496</v>
      </c>
      <c r="Z301" s="7">
        <v>0.65138888888888891</v>
      </c>
      <c r="AA301" s="7">
        <v>0.65138888888888891</v>
      </c>
      <c r="AB301" s="7">
        <v>0.63611111111111107</v>
      </c>
      <c r="AC30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302" spans="2:29" x14ac:dyDescent="0.25">
      <c r="B302" s="3">
        <v>3</v>
      </c>
      <c r="C302">
        <v>0</v>
      </c>
      <c r="D302">
        <v>5</v>
      </c>
      <c r="E302" s="29" t="s">
        <v>29</v>
      </c>
      <c r="F302" s="3">
        <v>238</v>
      </c>
      <c r="G302" s="3">
        <v>238</v>
      </c>
      <c r="H302" s="29" t="s">
        <v>51</v>
      </c>
      <c r="I302" s="3">
        <v>3</v>
      </c>
      <c r="J302" s="7">
        <v>0.45694444444444443</v>
      </c>
      <c r="K302" s="7">
        <v>0.45694444444444443</v>
      </c>
      <c r="L302" s="3">
        <f t="shared" si="9"/>
        <v>1</v>
      </c>
      <c r="M302" s="3">
        <f t="shared" si="10"/>
        <v>0</v>
      </c>
      <c r="N302" s="29">
        <f>_xlfn.MAXIFS($G$7:G301,$E$7:E301,detalhe_carro1[[#This Row],[Nó]],$B$7:B301,detalhe_carro1[[#This Row],[Numero Voltas]],$L$7:L301,1)</f>
        <v>0</v>
      </c>
      <c r="O302" s="3" t="str">
        <f>IF(OR(detalhe_carro1[[#This Row],[Ultima Chegada]]=0,detalhe_carro1[[#This Row],[Chegada]]=0),"",detalhe_carro1[[#This Row],[Hora Inicio]]-detalhe_carro1[[#This Row],[Ultima Chegada]])</f>
        <v/>
      </c>
      <c r="P302" s="3">
        <f>IF(detalhe_carro1[[#This Row],[Tipo]]="Visitar Nó",((detalhe_carro1[[#This Row],[Hora Fim]]-detalhe_carro1[[#This Row],[Hora Inicio]])/60*velocidade_nos),0)</f>
        <v>0</v>
      </c>
      <c r="Q302" s="29">
        <f>detalhe_carro1[[#This Row],[Kms Nós]]+detalhe_carro1[[#This Row],[kms]]</f>
        <v>3</v>
      </c>
      <c r="S302" s="20">
        <v>4</v>
      </c>
      <c r="T302" s="20">
        <v>0</v>
      </c>
      <c r="U302" s="20">
        <v>1</v>
      </c>
      <c r="V302" s="20" t="s">
        <v>22</v>
      </c>
      <c r="W302">
        <v>525</v>
      </c>
      <c r="X302">
        <v>525</v>
      </c>
      <c r="Y302">
        <v>489</v>
      </c>
      <c r="Z302" s="7">
        <v>0.65625</v>
      </c>
      <c r="AA302" s="7">
        <v>0.65625</v>
      </c>
      <c r="AB302" s="7">
        <v>0.63124999999999998</v>
      </c>
      <c r="AC30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303" spans="2:29" x14ac:dyDescent="0.25">
      <c r="B303" s="3">
        <v>3</v>
      </c>
      <c r="C303">
        <v>0</v>
      </c>
      <c r="D303">
        <v>4</v>
      </c>
      <c r="E303" s="29" t="s">
        <v>27</v>
      </c>
      <c r="F303" s="3">
        <v>241</v>
      </c>
      <c r="G303" s="3">
        <v>254</v>
      </c>
      <c r="H303" s="29" t="s">
        <v>50</v>
      </c>
      <c r="I303" s="3">
        <v>0</v>
      </c>
      <c r="J303" s="7">
        <v>0.45902777777777776</v>
      </c>
      <c r="K303" s="7">
        <v>0.46805555555555556</v>
      </c>
      <c r="L303" s="3">
        <f t="shared" si="9"/>
        <v>0</v>
      </c>
      <c r="M303" s="3">
        <f t="shared" si="10"/>
        <v>1</v>
      </c>
      <c r="N303" s="29">
        <f>_xlfn.MAXIFS($G$7:G302,$E$7:E302,detalhe_carro1[[#This Row],[Nó]],$B$7:B302,detalhe_carro1[[#This Row],[Numero Voltas]],$L$7:L302,1)</f>
        <v>0</v>
      </c>
      <c r="O303" s="3" t="str">
        <f>IF(OR(detalhe_carro1[[#This Row],[Ultima Chegada]]=0,detalhe_carro1[[#This Row],[Chegada]]=0),"",detalhe_carro1[[#This Row],[Hora Inicio]]-detalhe_carro1[[#This Row],[Ultima Chegada]])</f>
        <v/>
      </c>
      <c r="P303" s="3">
        <f>IF(detalhe_carro1[[#This Row],[Tipo]]="Visitar Nó",((detalhe_carro1[[#This Row],[Hora Fim]]-detalhe_carro1[[#This Row],[Hora Inicio]])/60*velocidade_nos),0)</f>
        <v>6.5</v>
      </c>
      <c r="Q303" s="29">
        <f>detalhe_carro1[[#This Row],[Kms Nós]]+detalhe_carro1[[#This Row],[kms]]</f>
        <v>6.5</v>
      </c>
      <c r="S303" s="20">
        <v>4</v>
      </c>
      <c r="T303" s="20">
        <v>0</v>
      </c>
      <c r="U303" s="20">
        <v>0</v>
      </c>
      <c r="V303" s="20" t="s">
        <v>20</v>
      </c>
      <c r="W303">
        <v>526</v>
      </c>
      <c r="X303">
        <v>526</v>
      </c>
      <c r="Y303">
        <v>488</v>
      </c>
      <c r="Z303" s="7">
        <v>0.65694444444444444</v>
      </c>
      <c r="AA303" s="7">
        <v>0.65694444444444444</v>
      </c>
      <c r="AB303" s="7">
        <v>0.63055555555555554</v>
      </c>
      <c r="AC30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04" spans="2:29" x14ac:dyDescent="0.25">
      <c r="B304" s="3">
        <v>3</v>
      </c>
      <c r="C304">
        <v>0</v>
      </c>
      <c r="D304">
        <v>4</v>
      </c>
      <c r="E304" s="29" t="s">
        <v>27</v>
      </c>
      <c r="F304" s="3">
        <v>257</v>
      </c>
      <c r="G304" s="3">
        <v>257</v>
      </c>
      <c r="H304" s="29" t="s">
        <v>51</v>
      </c>
      <c r="I304" s="3">
        <v>3</v>
      </c>
      <c r="J304" s="7">
        <v>0.47013888888888888</v>
      </c>
      <c r="K304" s="7">
        <v>0.47013888888888888</v>
      </c>
      <c r="L304" s="3">
        <f t="shared" si="9"/>
        <v>1</v>
      </c>
      <c r="M304" s="3">
        <f t="shared" si="10"/>
        <v>0</v>
      </c>
      <c r="N304" s="29">
        <f>_xlfn.MAXIFS($G$7:G303,$E$7:E303,detalhe_carro1[[#This Row],[Nó]],$B$7:B303,detalhe_carro1[[#This Row],[Numero Voltas]],$L$7:L303,1)</f>
        <v>0</v>
      </c>
      <c r="O304" s="3" t="str">
        <f>IF(OR(detalhe_carro1[[#This Row],[Ultima Chegada]]=0,detalhe_carro1[[#This Row],[Chegada]]=0),"",detalhe_carro1[[#This Row],[Hora Inicio]]-detalhe_carro1[[#This Row],[Ultima Chegada]])</f>
        <v/>
      </c>
      <c r="P304" s="3">
        <f>IF(detalhe_carro1[[#This Row],[Tipo]]="Visitar Nó",((detalhe_carro1[[#This Row],[Hora Fim]]-detalhe_carro1[[#This Row],[Hora Inicio]])/60*velocidade_nos),0)</f>
        <v>0</v>
      </c>
      <c r="Q304" s="29">
        <f>detalhe_carro1[[#This Row],[Kms Nós]]+detalhe_carro1[[#This Row],[kms]]</f>
        <v>3</v>
      </c>
      <c r="S304" s="20">
        <v>4</v>
      </c>
      <c r="T304" s="20">
        <v>0</v>
      </c>
      <c r="U304" s="20">
        <v>1</v>
      </c>
      <c r="V304" s="20" t="s">
        <v>22</v>
      </c>
      <c r="W304">
        <v>527</v>
      </c>
      <c r="X304">
        <v>527</v>
      </c>
      <c r="Y304">
        <v>525</v>
      </c>
      <c r="Z304" s="7">
        <v>0.65763888888888888</v>
      </c>
      <c r="AA304" s="7">
        <v>0.65763888888888888</v>
      </c>
      <c r="AB304" s="7">
        <v>0.65625</v>
      </c>
      <c r="AC30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05" spans="2:29" x14ac:dyDescent="0.25">
      <c r="B305" s="3">
        <v>3</v>
      </c>
      <c r="C305">
        <v>0</v>
      </c>
      <c r="D305">
        <v>3</v>
      </c>
      <c r="E305" s="29" t="s">
        <v>26</v>
      </c>
      <c r="F305" s="3">
        <v>258</v>
      </c>
      <c r="G305" s="3">
        <v>268</v>
      </c>
      <c r="H305" s="29" t="s">
        <v>50</v>
      </c>
      <c r="I305" s="3">
        <v>0</v>
      </c>
      <c r="J305" s="7">
        <v>0.47083333333333333</v>
      </c>
      <c r="K305" s="7">
        <v>0.4777777777777778</v>
      </c>
      <c r="L305" s="3">
        <f t="shared" si="9"/>
        <v>0</v>
      </c>
      <c r="M305" s="3">
        <f t="shared" si="10"/>
        <v>1</v>
      </c>
      <c r="N305" s="29">
        <f>_xlfn.MAXIFS($G$7:G304,$E$7:E304,detalhe_carro1[[#This Row],[Nó]],$B$7:B304,detalhe_carro1[[#This Row],[Numero Voltas]],$L$7:L304,1)</f>
        <v>0</v>
      </c>
      <c r="O305" s="3" t="str">
        <f>IF(OR(detalhe_carro1[[#This Row],[Ultima Chegada]]=0,detalhe_carro1[[#This Row],[Chegada]]=0),"",detalhe_carro1[[#This Row],[Hora Inicio]]-detalhe_carro1[[#This Row],[Ultima Chegada]])</f>
        <v/>
      </c>
      <c r="P305" s="3">
        <f>IF(detalhe_carro1[[#This Row],[Tipo]]="Visitar Nó",((detalhe_carro1[[#This Row],[Hora Fim]]-detalhe_carro1[[#This Row],[Hora Inicio]])/60*velocidade_nos),0)</f>
        <v>5</v>
      </c>
      <c r="Q305" s="29">
        <f>detalhe_carro1[[#This Row],[Kms Nós]]+detalhe_carro1[[#This Row],[kms]]</f>
        <v>5</v>
      </c>
      <c r="S305" s="20">
        <v>4</v>
      </c>
      <c r="T305" s="20">
        <v>0</v>
      </c>
      <c r="U305" s="20">
        <v>2</v>
      </c>
      <c r="V305" s="20" t="s">
        <v>24</v>
      </c>
      <c r="W305">
        <v>534</v>
      </c>
      <c r="X305">
        <v>534</v>
      </c>
      <c r="Y305">
        <v>518</v>
      </c>
      <c r="Z305" s="7">
        <v>0.66249999999999998</v>
      </c>
      <c r="AA305" s="7">
        <v>0.66249999999999998</v>
      </c>
      <c r="AB305" s="7">
        <v>0.65138888888888891</v>
      </c>
      <c r="AC30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06" spans="2:29" x14ac:dyDescent="0.25">
      <c r="B306" s="3">
        <v>3</v>
      </c>
      <c r="C306">
        <v>0</v>
      </c>
      <c r="D306">
        <v>3</v>
      </c>
      <c r="E306" s="29" t="s">
        <v>26</v>
      </c>
      <c r="F306" s="3">
        <v>269</v>
      </c>
      <c r="G306" s="3">
        <v>269</v>
      </c>
      <c r="H306" s="29" t="s">
        <v>51</v>
      </c>
      <c r="I306" s="3">
        <v>1</v>
      </c>
      <c r="J306" s="7">
        <v>0.47847222222222224</v>
      </c>
      <c r="K306" s="7">
        <v>0.47847222222222224</v>
      </c>
      <c r="L306" s="3">
        <f t="shared" si="9"/>
        <v>1</v>
      </c>
      <c r="M306" s="3">
        <f t="shared" si="10"/>
        <v>0</v>
      </c>
      <c r="N306" s="29">
        <f>_xlfn.MAXIFS($G$7:G305,$E$7:E305,detalhe_carro1[[#This Row],[Nó]],$B$7:B305,detalhe_carro1[[#This Row],[Numero Voltas]],$L$7:L305,1)</f>
        <v>0</v>
      </c>
      <c r="O306" s="3" t="str">
        <f>IF(OR(detalhe_carro1[[#This Row],[Ultima Chegada]]=0,detalhe_carro1[[#This Row],[Chegada]]=0),"",detalhe_carro1[[#This Row],[Hora Inicio]]-detalhe_carro1[[#This Row],[Ultima Chegada]])</f>
        <v/>
      </c>
      <c r="P306" s="3">
        <f>IF(detalhe_carro1[[#This Row],[Tipo]]="Visitar Nó",((detalhe_carro1[[#This Row],[Hora Fim]]-detalhe_carro1[[#This Row],[Hora Inicio]])/60*velocidade_nos),0)</f>
        <v>0</v>
      </c>
      <c r="Q306" s="29">
        <f>detalhe_carro1[[#This Row],[Kms Nós]]+detalhe_carro1[[#This Row],[kms]]</f>
        <v>1</v>
      </c>
      <c r="S306" s="20">
        <v>4</v>
      </c>
      <c r="T306" s="20">
        <v>0</v>
      </c>
      <c r="U306" s="20">
        <v>3</v>
      </c>
      <c r="V306" s="20" t="s">
        <v>26</v>
      </c>
      <c r="W306">
        <v>535</v>
      </c>
      <c r="X306">
        <v>535</v>
      </c>
      <c r="Y306">
        <v>517</v>
      </c>
      <c r="Z306" s="7">
        <v>0.66319444444444442</v>
      </c>
      <c r="AA306" s="7">
        <v>0.66319444444444442</v>
      </c>
      <c r="AB306" s="7">
        <v>0.65069444444444446</v>
      </c>
      <c r="AC30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07" spans="2:29" x14ac:dyDescent="0.25">
      <c r="B307" s="3">
        <v>3</v>
      </c>
      <c r="C307">
        <v>0</v>
      </c>
      <c r="D307">
        <v>2</v>
      </c>
      <c r="E307" s="29" t="s">
        <v>24</v>
      </c>
      <c r="F307" s="3">
        <v>270</v>
      </c>
      <c r="G307" s="3">
        <v>284</v>
      </c>
      <c r="H307" s="29" t="s">
        <v>50</v>
      </c>
      <c r="I307" s="3">
        <v>0</v>
      </c>
      <c r="J307" s="7">
        <v>0.47916666666666669</v>
      </c>
      <c r="K307" s="7">
        <v>0.48888888888888887</v>
      </c>
      <c r="L307" s="3">
        <f t="shared" si="9"/>
        <v>0</v>
      </c>
      <c r="M307" s="3">
        <f t="shared" si="10"/>
        <v>1</v>
      </c>
      <c r="N307" s="29">
        <f>_xlfn.MAXIFS($G$7:G306,$E$7:E306,detalhe_carro1[[#This Row],[Nó]],$B$7:B306,detalhe_carro1[[#This Row],[Numero Voltas]],$L$7:L306,1)</f>
        <v>0</v>
      </c>
      <c r="O307" s="3" t="str">
        <f>IF(OR(detalhe_carro1[[#This Row],[Ultima Chegada]]=0,detalhe_carro1[[#This Row],[Chegada]]=0),"",detalhe_carro1[[#This Row],[Hora Inicio]]-detalhe_carro1[[#This Row],[Ultima Chegada]])</f>
        <v/>
      </c>
      <c r="P307" s="3">
        <f>IF(detalhe_carro1[[#This Row],[Tipo]]="Visitar Nó",((detalhe_carro1[[#This Row],[Hora Fim]]-detalhe_carro1[[#This Row],[Hora Inicio]])/60*velocidade_nos),0)</f>
        <v>7</v>
      </c>
      <c r="Q307" s="29">
        <f>detalhe_carro1[[#This Row],[Kms Nós]]+detalhe_carro1[[#This Row],[kms]]</f>
        <v>7</v>
      </c>
      <c r="S307" s="20">
        <v>4</v>
      </c>
      <c r="T307" s="20">
        <v>0</v>
      </c>
      <c r="U307" s="20">
        <v>4</v>
      </c>
      <c r="V307" s="20" t="s">
        <v>27</v>
      </c>
      <c r="W307">
        <v>536</v>
      </c>
      <c r="X307">
        <v>536</v>
      </c>
      <c r="Y307">
        <v>516</v>
      </c>
      <c r="Z307" s="7">
        <v>0.66388888888888886</v>
      </c>
      <c r="AA307" s="7">
        <v>0.66388888888888886</v>
      </c>
      <c r="AB307" s="7">
        <v>0.65</v>
      </c>
      <c r="AC30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08" spans="2:29" x14ac:dyDescent="0.25">
      <c r="B308" s="3">
        <v>3</v>
      </c>
      <c r="C308">
        <v>0</v>
      </c>
      <c r="D308">
        <v>2</v>
      </c>
      <c r="E308" s="29" t="s">
        <v>24</v>
      </c>
      <c r="F308" s="3">
        <v>285</v>
      </c>
      <c r="G308" s="3">
        <v>285</v>
      </c>
      <c r="H308" s="29" t="s">
        <v>51</v>
      </c>
      <c r="I308" s="3">
        <v>1</v>
      </c>
      <c r="J308" s="7">
        <v>0.48958333333333331</v>
      </c>
      <c r="K308" s="7">
        <v>0.48958333333333331</v>
      </c>
      <c r="L308" s="3">
        <f t="shared" si="9"/>
        <v>1</v>
      </c>
      <c r="M308" s="3">
        <f t="shared" si="10"/>
        <v>0</v>
      </c>
      <c r="N308" s="29">
        <f>_xlfn.MAXIFS($G$7:G307,$E$7:E307,detalhe_carro1[[#This Row],[Nó]],$B$7:B307,detalhe_carro1[[#This Row],[Numero Voltas]],$L$7:L307,1)</f>
        <v>0</v>
      </c>
      <c r="O308" s="3" t="str">
        <f>IF(OR(detalhe_carro1[[#This Row],[Ultima Chegada]]=0,detalhe_carro1[[#This Row],[Chegada]]=0),"",detalhe_carro1[[#This Row],[Hora Inicio]]-detalhe_carro1[[#This Row],[Ultima Chegada]])</f>
        <v/>
      </c>
      <c r="P308" s="3">
        <f>IF(detalhe_carro1[[#This Row],[Tipo]]="Visitar Nó",((detalhe_carro1[[#This Row],[Hora Fim]]-detalhe_carro1[[#This Row],[Hora Inicio]])/60*velocidade_nos),0)</f>
        <v>0</v>
      </c>
      <c r="Q308" s="29">
        <f>detalhe_carro1[[#This Row],[Kms Nós]]+detalhe_carro1[[#This Row],[kms]]</f>
        <v>1</v>
      </c>
      <c r="S308" s="20">
        <v>4</v>
      </c>
      <c r="T308" s="20">
        <v>0</v>
      </c>
      <c r="U308" s="20">
        <v>5</v>
      </c>
      <c r="V308" s="20" t="s">
        <v>29</v>
      </c>
      <c r="W308">
        <v>539</v>
      </c>
      <c r="X308">
        <v>539</v>
      </c>
      <c r="Y308">
        <v>513</v>
      </c>
      <c r="Z308" s="7">
        <v>0.66597222222222219</v>
      </c>
      <c r="AA308" s="7">
        <v>0.66597222222222219</v>
      </c>
      <c r="AB308" s="7">
        <v>0.6479166666666667</v>
      </c>
      <c r="AC30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09" spans="2:29" x14ac:dyDescent="0.25">
      <c r="B309" s="3">
        <v>3</v>
      </c>
      <c r="C309">
        <v>0</v>
      </c>
      <c r="D309">
        <v>1</v>
      </c>
      <c r="E309" s="29" t="s">
        <v>22</v>
      </c>
      <c r="F309" s="3">
        <v>297</v>
      </c>
      <c r="G309" s="3">
        <v>357</v>
      </c>
      <c r="H309" s="29" t="s">
        <v>52</v>
      </c>
      <c r="I309" s="3">
        <v>0</v>
      </c>
      <c r="J309" s="7">
        <v>0.49791666666666667</v>
      </c>
      <c r="K309" s="7">
        <v>0.5395833333333333</v>
      </c>
      <c r="L309" s="3">
        <f t="shared" si="9"/>
        <v>0</v>
      </c>
      <c r="M309" s="3">
        <f t="shared" si="10"/>
        <v>1</v>
      </c>
      <c r="N309" s="29">
        <f>_xlfn.MAXIFS($G$7:G308,$E$7:E308,detalhe_carro1[[#This Row],[Nó]],$B$7:B308,detalhe_carro1[[#This Row],[Numero Voltas]],$L$7:L308,1)</f>
        <v>0</v>
      </c>
      <c r="O309" s="3" t="str">
        <f>IF(OR(detalhe_carro1[[#This Row],[Ultima Chegada]]=0,detalhe_carro1[[#This Row],[Chegada]]=0),"",detalhe_carro1[[#This Row],[Hora Inicio]]-detalhe_carro1[[#This Row],[Ultima Chegada]])</f>
        <v/>
      </c>
      <c r="P309" s="3">
        <f>IF(detalhe_carro1[[#This Row],[Tipo]]="Visitar Nó",((detalhe_carro1[[#This Row],[Hora Fim]]-detalhe_carro1[[#This Row],[Hora Inicio]])/60*velocidade_nos),0)</f>
        <v>0</v>
      </c>
      <c r="Q309" s="29">
        <f>detalhe_carro1[[#This Row],[Kms Nós]]+detalhe_carro1[[#This Row],[kms]]</f>
        <v>0</v>
      </c>
      <c r="S309" s="20">
        <v>4</v>
      </c>
      <c r="T309" s="20">
        <v>0</v>
      </c>
      <c r="U309" s="20">
        <v>6</v>
      </c>
      <c r="V309" s="20" t="s">
        <v>31</v>
      </c>
      <c r="W309">
        <v>542</v>
      </c>
      <c r="X309">
        <v>542</v>
      </c>
      <c r="Y309">
        <v>510</v>
      </c>
      <c r="Z309" s="7">
        <v>0.66805555555555551</v>
      </c>
      <c r="AA309" s="7">
        <v>0.66805555555555551</v>
      </c>
      <c r="AB309" s="7">
        <v>0.64583333333333337</v>
      </c>
      <c r="AC30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10" spans="2:29" x14ac:dyDescent="0.25">
      <c r="B310" s="3">
        <v>3</v>
      </c>
      <c r="C310">
        <v>0</v>
      </c>
      <c r="D310">
        <v>1</v>
      </c>
      <c r="E310" s="29" t="s">
        <v>22</v>
      </c>
      <c r="F310" s="3">
        <v>364</v>
      </c>
      <c r="G310" s="3">
        <v>369</v>
      </c>
      <c r="H310" s="29" t="s">
        <v>50</v>
      </c>
      <c r="I310" s="3">
        <v>0</v>
      </c>
      <c r="J310" s="7">
        <v>0.5444444444444444</v>
      </c>
      <c r="K310" s="7">
        <v>0.54791666666666672</v>
      </c>
      <c r="L310" s="3">
        <f t="shared" si="9"/>
        <v>0</v>
      </c>
      <c r="M310" s="3">
        <f t="shared" si="10"/>
        <v>0</v>
      </c>
      <c r="N310" s="29">
        <f>_xlfn.MAXIFS($G$7:G309,$E$7:E309,detalhe_carro1[[#This Row],[Nó]],$B$7:B309,detalhe_carro1[[#This Row],[Numero Voltas]],$L$7:L309,1)</f>
        <v>0</v>
      </c>
      <c r="O310" s="3" t="str">
        <f>IF(OR(detalhe_carro1[[#This Row],[Ultima Chegada]]=0,detalhe_carro1[[#This Row],[Chegada]]=0),"",detalhe_carro1[[#This Row],[Hora Inicio]]-detalhe_carro1[[#This Row],[Ultima Chegada]])</f>
        <v/>
      </c>
      <c r="P310" s="3">
        <f>IF(detalhe_carro1[[#This Row],[Tipo]]="Visitar Nó",((detalhe_carro1[[#This Row],[Hora Fim]]-detalhe_carro1[[#This Row],[Hora Inicio]])/60*velocidade_nos),0)</f>
        <v>2.5</v>
      </c>
      <c r="Q310" s="29">
        <f>detalhe_carro1[[#This Row],[Kms Nós]]+detalhe_carro1[[#This Row],[kms]]</f>
        <v>2.5</v>
      </c>
      <c r="S310" s="20">
        <v>4</v>
      </c>
      <c r="T310" s="20">
        <v>0</v>
      </c>
      <c r="U310" s="20">
        <v>7</v>
      </c>
      <c r="V310" s="20" t="s">
        <v>33</v>
      </c>
      <c r="W310">
        <v>545</v>
      </c>
      <c r="X310">
        <v>545</v>
      </c>
      <c r="Y310">
        <v>507</v>
      </c>
      <c r="Z310" s="7">
        <v>0.67013888888888884</v>
      </c>
      <c r="AA310" s="7">
        <v>0.67013888888888884</v>
      </c>
      <c r="AB310" s="7">
        <v>0.64375000000000004</v>
      </c>
      <c r="AC31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11" spans="2:29" x14ac:dyDescent="0.25">
      <c r="B311" s="3">
        <v>3</v>
      </c>
      <c r="C311">
        <v>0</v>
      </c>
      <c r="D311">
        <v>1</v>
      </c>
      <c r="E311" s="29" t="s">
        <v>22</v>
      </c>
      <c r="F311" s="3">
        <v>376</v>
      </c>
      <c r="G311" s="3">
        <v>376</v>
      </c>
      <c r="H311" s="29" t="s">
        <v>51</v>
      </c>
      <c r="I311" s="3">
        <v>7</v>
      </c>
      <c r="J311" s="7">
        <v>0.55277777777777781</v>
      </c>
      <c r="K311" s="7">
        <v>0.55277777777777781</v>
      </c>
      <c r="L311" s="3">
        <f t="shared" si="9"/>
        <v>1</v>
      </c>
      <c r="M311" s="3">
        <f t="shared" si="10"/>
        <v>0</v>
      </c>
      <c r="N311" s="29">
        <f>_xlfn.MAXIFS($G$7:G310,$E$7:E310,detalhe_carro1[[#This Row],[Nó]],$B$7:B310,detalhe_carro1[[#This Row],[Numero Voltas]],$L$7:L310,1)</f>
        <v>0</v>
      </c>
      <c r="O311" s="3" t="str">
        <f>IF(OR(detalhe_carro1[[#This Row],[Ultima Chegada]]=0,detalhe_carro1[[#This Row],[Chegada]]=0),"",detalhe_carro1[[#This Row],[Hora Inicio]]-detalhe_carro1[[#This Row],[Ultima Chegada]])</f>
        <v/>
      </c>
      <c r="P311" s="3">
        <f>IF(detalhe_carro1[[#This Row],[Tipo]]="Visitar Nó",((detalhe_carro1[[#This Row],[Hora Fim]]-detalhe_carro1[[#This Row],[Hora Inicio]])/60*velocidade_nos),0)</f>
        <v>0</v>
      </c>
      <c r="Q311" s="29">
        <f>detalhe_carro1[[#This Row],[Kms Nós]]+detalhe_carro1[[#This Row],[kms]]</f>
        <v>7</v>
      </c>
      <c r="S311" s="20">
        <v>4</v>
      </c>
      <c r="T311" s="20">
        <v>0</v>
      </c>
      <c r="U311" s="20">
        <v>6</v>
      </c>
      <c r="V311" s="20" t="s">
        <v>31</v>
      </c>
      <c r="W311">
        <v>548</v>
      </c>
      <c r="X311">
        <v>548</v>
      </c>
      <c r="Y311">
        <v>542</v>
      </c>
      <c r="Z311" s="7">
        <v>0.67222222222222228</v>
      </c>
      <c r="AA311" s="7">
        <v>0.67222222222222228</v>
      </c>
      <c r="AB311" s="7">
        <v>0.66805555555555551</v>
      </c>
      <c r="AC31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312" spans="2:29" x14ac:dyDescent="0.25">
      <c r="B312" s="3">
        <v>3</v>
      </c>
      <c r="C312">
        <v>0</v>
      </c>
      <c r="D312">
        <v>0</v>
      </c>
      <c r="E312" s="29" t="s">
        <v>20</v>
      </c>
      <c r="F312" s="3">
        <v>377</v>
      </c>
      <c r="G312" s="3">
        <v>377</v>
      </c>
      <c r="H312" s="29" t="s">
        <v>51</v>
      </c>
      <c r="I312" s="3">
        <v>1</v>
      </c>
      <c r="J312" s="7">
        <v>0.55347222222222225</v>
      </c>
      <c r="K312" s="7">
        <v>0.55347222222222225</v>
      </c>
      <c r="L312" s="3">
        <f t="shared" si="9"/>
        <v>0</v>
      </c>
      <c r="M312" s="3">
        <f t="shared" si="10"/>
        <v>1</v>
      </c>
      <c r="N312" s="29">
        <f>_xlfn.MAXIFS($G$7:G311,$E$7:E311,detalhe_carro1[[#This Row],[Nó]],$B$7:B311,detalhe_carro1[[#This Row],[Numero Voltas]],$L$7:L311,1)</f>
        <v>0</v>
      </c>
      <c r="O312" s="3" t="str">
        <f>IF(OR(detalhe_carro1[[#This Row],[Ultima Chegada]]=0,detalhe_carro1[[#This Row],[Chegada]]=0),"",detalhe_carro1[[#This Row],[Hora Inicio]]-detalhe_carro1[[#This Row],[Ultima Chegada]])</f>
        <v/>
      </c>
      <c r="P312" s="3">
        <f>IF(detalhe_carro1[[#This Row],[Tipo]]="Visitar Nó",((detalhe_carro1[[#This Row],[Hora Fim]]-detalhe_carro1[[#This Row],[Hora Inicio]])/60*velocidade_nos),0)</f>
        <v>0</v>
      </c>
      <c r="Q312" s="29">
        <f>detalhe_carro1[[#This Row],[Kms Nós]]+detalhe_carro1[[#This Row],[kms]]</f>
        <v>1</v>
      </c>
      <c r="S312" s="20">
        <v>4</v>
      </c>
      <c r="T312" s="20">
        <v>0</v>
      </c>
      <c r="U312" s="20">
        <v>5</v>
      </c>
      <c r="V312" s="20" t="s">
        <v>29</v>
      </c>
      <c r="W312">
        <v>551</v>
      </c>
      <c r="X312">
        <v>551</v>
      </c>
      <c r="Y312">
        <v>539</v>
      </c>
      <c r="Z312" s="7">
        <v>0.6743055555555556</v>
      </c>
      <c r="AA312" s="7">
        <v>0.6743055555555556</v>
      </c>
      <c r="AB312" s="7">
        <v>0.66597222222222219</v>
      </c>
      <c r="AC31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313" spans="2:29" x14ac:dyDescent="0.25">
      <c r="B313" s="3">
        <v>3</v>
      </c>
      <c r="C313">
        <v>0</v>
      </c>
      <c r="D313">
        <v>0</v>
      </c>
      <c r="E313" s="29" t="s">
        <v>20</v>
      </c>
      <c r="F313" s="3">
        <v>377</v>
      </c>
      <c r="G313" s="3">
        <v>392</v>
      </c>
      <c r="H313" s="29" t="s">
        <v>50</v>
      </c>
      <c r="I313" s="3">
        <v>0</v>
      </c>
      <c r="J313" s="7">
        <v>0.55347222222222225</v>
      </c>
      <c r="K313" s="7">
        <v>0.56388888888888888</v>
      </c>
      <c r="L313" s="3">
        <f t="shared" si="9"/>
        <v>0</v>
      </c>
      <c r="M313" s="3">
        <f t="shared" si="10"/>
        <v>0</v>
      </c>
      <c r="N313" s="29">
        <f>_xlfn.MAXIFS($G$7:G312,$E$7:E312,detalhe_carro1[[#This Row],[Nó]],$B$7:B312,detalhe_carro1[[#This Row],[Numero Voltas]],$L$7:L312,1)</f>
        <v>0</v>
      </c>
      <c r="O313" s="3" t="str">
        <f>IF(OR(detalhe_carro1[[#This Row],[Ultima Chegada]]=0,detalhe_carro1[[#This Row],[Chegada]]=0),"",detalhe_carro1[[#This Row],[Hora Inicio]]-detalhe_carro1[[#This Row],[Ultima Chegada]])</f>
        <v/>
      </c>
      <c r="P313" s="3">
        <f>IF(detalhe_carro1[[#This Row],[Tipo]]="Visitar Nó",((detalhe_carro1[[#This Row],[Hora Fim]]-detalhe_carro1[[#This Row],[Hora Inicio]])/60*velocidade_nos),0)</f>
        <v>7.5</v>
      </c>
      <c r="Q313" s="29">
        <f>detalhe_carro1[[#This Row],[Kms Nós]]+detalhe_carro1[[#This Row],[kms]]</f>
        <v>7.5</v>
      </c>
      <c r="S313" s="20">
        <v>4</v>
      </c>
      <c r="T313" s="20">
        <v>0</v>
      </c>
      <c r="U313" s="20">
        <v>4</v>
      </c>
      <c r="V313" s="20" t="s">
        <v>27</v>
      </c>
      <c r="W313">
        <v>554</v>
      </c>
      <c r="X313">
        <v>554</v>
      </c>
      <c r="Y313">
        <v>536</v>
      </c>
      <c r="Z313" s="7">
        <v>0.67638888888888893</v>
      </c>
      <c r="AA313" s="7">
        <v>0.67638888888888893</v>
      </c>
      <c r="AB313" s="7">
        <v>0.66388888888888886</v>
      </c>
      <c r="AC31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14" spans="2:29" x14ac:dyDescent="0.25">
      <c r="B314" s="3">
        <v>3</v>
      </c>
      <c r="C314">
        <v>0</v>
      </c>
      <c r="D314">
        <v>0</v>
      </c>
      <c r="E314" s="29" t="s">
        <v>20</v>
      </c>
      <c r="F314" s="3">
        <v>392</v>
      </c>
      <c r="G314" s="3">
        <v>392</v>
      </c>
      <c r="H314" s="29" t="s">
        <v>51</v>
      </c>
      <c r="I314" s="3">
        <v>1</v>
      </c>
      <c r="J314" s="7">
        <v>0.56388888888888888</v>
      </c>
      <c r="K314" s="7">
        <v>0.56388888888888888</v>
      </c>
      <c r="L314" s="3">
        <f t="shared" si="9"/>
        <v>1</v>
      </c>
      <c r="M314" s="3">
        <f t="shared" si="10"/>
        <v>0</v>
      </c>
      <c r="N314" s="29">
        <f>_xlfn.MAXIFS($G$7:G313,$E$7:E313,detalhe_carro1[[#This Row],[Nó]],$B$7:B313,detalhe_carro1[[#This Row],[Numero Voltas]],$L$7:L313,1)</f>
        <v>0</v>
      </c>
      <c r="O314" s="3" t="str">
        <f>IF(OR(detalhe_carro1[[#This Row],[Ultima Chegada]]=0,detalhe_carro1[[#This Row],[Chegada]]=0),"",detalhe_carro1[[#This Row],[Hora Inicio]]-detalhe_carro1[[#This Row],[Ultima Chegada]])</f>
        <v/>
      </c>
      <c r="P314" s="3">
        <f>IF(detalhe_carro1[[#This Row],[Tipo]]="Visitar Nó",((detalhe_carro1[[#This Row],[Hora Fim]]-detalhe_carro1[[#This Row],[Hora Inicio]])/60*velocidade_nos),0)</f>
        <v>0</v>
      </c>
      <c r="Q314" s="29">
        <f>detalhe_carro1[[#This Row],[Kms Nós]]+detalhe_carro1[[#This Row],[kms]]</f>
        <v>1</v>
      </c>
      <c r="S314" s="20">
        <v>4</v>
      </c>
      <c r="T314" s="20">
        <v>0</v>
      </c>
      <c r="U314" s="20">
        <v>3</v>
      </c>
      <c r="V314" s="20" t="s">
        <v>26</v>
      </c>
      <c r="W314">
        <v>555</v>
      </c>
      <c r="X314">
        <v>555</v>
      </c>
      <c r="Y314">
        <v>535</v>
      </c>
      <c r="Z314" s="7">
        <v>0.67708333333333337</v>
      </c>
      <c r="AA314" s="7">
        <v>0.67708333333333337</v>
      </c>
      <c r="AB314" s="7">
        <v>0.66319444444444442</v>
      </c>
      <c r="AC31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15" spans="2:29" x14ac:dyDescent="0.25">
      <c r="B315" s="3">
        <v>3</v>
      </c>
      <c r="C315">
        <v>0</v>
      </c>
      <c r="D315">
        <v>1</v>
      </c>
      <c r="E315" s="29" t="s">
        <v>22</v>
      </c>
      <c r="F315" s="3">
        <v>393</v>
      </c>
      <c r="G315" s="3">
        <v>398</v>
      </c>
      <c r="H315" s="29" t="s">
        <v>50</v>
      </c>
      <c r="I315" s="3">
        <v>0</v>
      </c>
      <c r="J315" s="7">
        <v>0.56458333333333333</v>
      </c>
      <c r="K315" s="7">
        <v>0.56805555555555554</v>
      </c>
      <c r="L315" s="3">
        <f t="shared" si="9"/>
        <v>0</v>
      </c>
      <c r="M315" s="3">
        <f t="shared" si="10"/>
        <v>1</v>
      </c>
      <c r="N315" s="29">
        <f>_xlfn.MAXIFS($G$7:G314,$E$7:E314,detalhe_carro1[[#This Row],[Nó]],$B$7:B314,detalhe_carro1[[#This Row],[Numero Voltas]],$L$7:L314,1)</f>
        <v>376</v>
      </c>
      <c r="O315" s="3">
        <f>IF(OR(detalhe_carro1[[#This Row],[Ultima Chegada]]=0,detalhe_carro1[[#This Row],[Chegada]]=0),"",detalhe_carro1[[#This Row],[Hora Inicio]]-detalhe_carro1[[#This Row],[Ultima Chegada]])</f>
        <v>17</v>
      </c>
      <c r="P315" s="3">
        <f>IF(detalhe_carro1[[#This Row],[Tipo]]="Visitar Nó",((detalhe_carro1[[#This Row],[Hora Fim]]-detalhe_carro1[[#This Row],[Hora Inicio]])/60*velocidade_nos),0)</f>
        <v>2.5</v>
      </c>
      <c r="Q315" s="29">
        <f>detalhe_carro1[[#This Row],[Kms Nós]]+detalhe_carro1[[#This Row],[kms]]</f>
        <v>2.5</v>
      </c>
      <c r="S315" s="20">
        <v>4</v>
      </c>
      <c r="T315" s="20">
        <v>0</v>
      </c>
      <c r="U315" s="20">
        <v>2</v>
      </c>
      <c r="V315" s="20" t="s">
        <v>24</v>
      </c>
      <c r="W315">
        <v>556</v>
      </c>
      <c r="X315">
        <v>556</v>
      </c>
      <c r="Y315">
        <v>534</v>
      </c>
      <c r="Z315" s="7">
        <v>0.67777777777777781</v>
      </c>
      <c r="AA315" s="7">
        <v>0.67777777777777781</v>
      </c>
      <c r="AB315" s="7">
        <v>0.66249999999999998</v>
      </c>
      <c r="AC3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316" spans="2:29" x14ac:dyDescent="0.25">
      <c r="B316" s="3">
        <v>3</v>
      </c>
      <c r="C316">
        <v>0</v>
      </c>
      <c r="D316">
        <v>1</v>
      </c>
      <c r="E316" s="29" t="s">
        <v>22</v>
      </c>
      <c r="F316" s="3">
        <v>399</v>
      </c>
      <c r="G316" s="3">
        <v>399</v>
      </c>
      <c r="H316" s="29" t="s">
        <v>51</v>
      </c>
      <c r="I316" s="3">
        <v>1</v>
      </c>
      <c r="J316" s="7">
        <v>0.56874999999999998</v>
      </c>
      <c r="K316" s="7">
        <v>0.56874999999999998</v>
      </c>
      <c r="L316" s="3">
        <f t="shared" si="9"/>
        <v>1</v>
      </c>
      <c r="M316" s="3">
        <f t="shared" si="10"/>
        <v>0</v>
      </c>
      <c r="N316" s="29">
        <f>_xlfn.MAXIFS($G$7:G315,$E$7:E315,detalhe_carro1[[#This Row],[Nó]],$B$7:B315,detalhe_carro1[[#This Row],[Numero Voltas]],$L$7:L315,1)</f>
        <v>376</v>
      </c>
      <c r="O316" s="3" t="str">
        <f>IF(OR(detalhe_carro1[[#This Row],[Ultima Chegada]]=0,detalhe_carro1[[#This Row],[Chegada]]=0),"",detalhe_carro1[[#This Row],[Hora Inicio]]-detalhe_carro1[[#This Row],[Ultima Chegada]])</f>
        <v/>
      </c>
      <c r="P316" s="3">
        <f>IF(detalhe_carro1[[#This Row],[Tipo]]="Visitar Nó",((detalhe_carro1[[#This Row],[Hora Fim]]-detalhe_carro1[[#This Row],[Hora Inicio]])/60*velocidade_nos),0)</f>
        <v>0</v>
      </c>
      <c r="Q316" s="29">
        <f>detalhe_carro1[[#This Row],[Kms Nós]]+detalhe_carro1[[#This Row],[kms]]</f>
        <v>1</v>
      </c>
      <c r="S316" s="20">
        <v>4</v>
      </c>
      <c r="T316" s="20">
        <v>0</v>
      </c>
      <c r="U316" s="20">
        <v>1</v>
      </c>
      <c r="V316" s="20" t="s">
        <v>22</v>
      </c>
      <c r="W316">
        <v>563</v>
      </c>
      <c r="X316">
        <v>563</v>
      </c>
      <c r="Y316">
        <v>527</v>
      </c>
      <c r="Z316" s="7">
        <v>0.68263888888888891</v>
      </c>
      <c r="AA316" s="7">
        <v>0.68263888888888891</v>
      </c>
      <c r="AB316" s="7">
        <v>0.65763888888888888</v>
      </c>
      <c r="AC3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317" spans="2:29" x14ac:dyDescent="0.25">
      <c r="B317" s="3">
        <v>3</v>
      </c>
      <c r="C317">
        <v>0</v>
      </c>
      <c r="D317">
        <v>2</v>
      </c>
      <c r="E317" s="29" t="s">
        <v>24</v>
      </c>
      <c r="F317" s="3">
        <v>406</v>
      </c>
      <c r="G317" s="3">
        <v>420</v>
      </c>
      <c r="H317" s="29" t="s">
        <v>50</v>
      </c>
      <c r="I317" s="3">
        <v>0</v>
      </c>
      <c r="J317" s="7">
        <v>0.57361111111111107</v>
      </c>
      <c r="K317" s="7">
        <v>0.58333333333333337</v>
      </c>
      <c r="L317" s="3">
        <f t="shared" si="9"/>
        <v>0</v>
      </c>
      <c r="M317" s="3">
        <f t="shared" si="10"/>
        <v>1</v>
      </c>
      <c r="N317" s="29">
        <f>_xlfn.MAXIFS($G$7:G316,$E$7:E316,detalhe_carro1[[#This Row],[Nó]],$B$7:B316,detalhe_carro1[[#This Row],[Numero Voltas]],$L$7:L316,1)</f>
        <v>285</v>
      </c>
      <c r="O317" s="3">
        <f>IF(OR(detalhe_carro1[[#This Row],[Ultima Chegada]]=0,detalhe_carro1[[#This Row],[Chegada]]=0),"",detalhe_carro1[[#This Row],[Hora Inicio]]-detalhe_carro1[[#This Row],[Ultima Chegada]])</f>
        <v>121</v>
      </c>
      <c r="P317" s="3">
        <f>IF(detalhe_carro1[[#This Row],[Tipo]]="Visitar Nó",((detalhe_carro1[[#This Row],[Hora Fim]]-detalhe_carro1[[#This Row],[Hora Inicio]])/60*velocidade_nos),0)</f>
        <v>7</v>
      </c>
      <c r="Q317" s="29">
        <f>detalhe_carro1[[#This Row],[Kms Nós]]+detalhe_carro1[[#This Row],[kms]]</f>
        <v>7</v>
      </c>
      <c r="S317" s="20">
        <v>4</v>
      </c>
      <c r="T317" s="20">
        <v>0</v>
      </c>
      <c r="U317" s="20">
        <v>0</v>
      </c>
      <c r="V317" s="20" t="s">
        <v>20</v>
      </c>
      <c r="W317">
        <v>564</v>
      </c>
      <c r="X317">
        <v>564</v>
      </c>
      <c r="Y317">
        <v>526</v>
      </c>
      <c r="Z317" s="7">
        <v>0.68333333333333335</v>
      </c>
      <c r="AA317" s="7">
        <v>0.68333333333333335</v>
      </c>
      <c r="AB317" s="7">
        <v>0.65694444444444444</v>
      </c>
      <c r="AC3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18" spans="2:29" x14ac:dyDescent="0.25">
      <c r="B318" s="3">
        <v>3</v>
      </c>
      <c r="C318">
        <v>0</v>
      </c>
      <c r="D318">
        <v>2</v>
      </c>
      <c r="E318" s="29" t="s">
        <v>24</v>
      </c>
      <c r="F318" s="3">
        <v>427</v>
      </c>
      <c r="G318" s="3">
        <v>427</v>
      </c>
      <c r="H318" s="29" t="s">
        <v>51</v>
      </c>
      <c r="I318" s="3">
        <v>7</v>
      </c>
      <c r="J318" s="7">
        <v>0.58819444444444446</v>
      </c>
      <c r="K318" s="7">
        <v>0.58819444444444446</v>
      </c>
      <c r="L318" s="3">
        <f t="shared" si="9"/>
        <v>1</v>
      </c>
      <c r="M318" s="3">
        <f t="shared" si="10"/>
        <v>0</v>
      </c>
      <c r="N318" s="29">
        <f>_xlfn.MAXIFS($G$7:G317,$E$7:E317,detalhe_carro1[[#This Row],[Nó]],$B$7:B317,detalhe_carro1[[#This Row],[Numero Voltas]],$L$7:L317,1)</f>
        <v>285</v>
      </c>
      <c r="O318" s="3" t="str">
        <f>IF(OR(detalhe_carro1[[#This Row],[Ultima Chegada]]=0,detalhe_carro1[[#This Row],[Chegada]]=0),"",detalhe_carro1[[#This Row],[Hora Inicio]]-detalhe_carro1[[#This Row],[Ultima Chegada]])</f>
        <v/>
      </c>
      <c r="P318" s="3">
        <f>IF(detalhe_carro1[[#This Row],[Tipo]]="Visitar Nó",((detalhe_carro1[[#This Row],[Hora Fim]]-detalhe_carro1[[#This Row],[Hora Inicio]])/60*velocidade_nos),0)</f>
        <v>0</v>
      </c>
      <c r="Q318" s="29">
        <f>detalhe_carro1[[#This Row],[Kms Nós]]+detalhe_carro1[[#This Row],[kms]]</f>
        <v>7</v>
      </c>
      <c r="S318" s="20">
        <v>4</v>
      </c>
      <c r="T318" s="20">
        <v>0</v>
      </c>
      <c r="U318" s="20">
        <v>1</v>
      </c>
      <c r="V318" s="20" t="s">
        <v>22</v>
      </c>
      <c r="W318">
        <v>565</v>
      </c>
      <c r="X318">
        <v>565</v>
      </c>
      <c r="Y318">
        <v>563</v>
      </c>
      <c r="Z318" s="7">
        <v>0.68402777777777779</v>
      </c>
      <c r="AA318" s="7">
        <v>0.68402777777777779</v>
      </c>
      <c r="AB318" s="7">
        <v>0.68263888888888891</v>
      </c>
      <c r="AC3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19" spans="2:29" x14ac:dyDescent="0.25">
      <c r="B319" s="3">
        <v>3</v>
      </c>
      <c r="C319">
        <v>0</v>
      </c>
      <c r="D319">
        <v>3</v>
      </c>
      <c r="E319" s="29" t="s">
        <v>26</v>
      </c>
      <c r="F319" s="3">
        <v>428</v>
      </c>
      <c r="G319" s="3">
        <v>438</v>
      </c>
      <c r="H319" s="29" t="s">
        <v>50</v>
      </c>
      <c r="I319" s="3">
        <v>0</v>
      </c>
      <c r="J319" s="7">
        <v>0.58888888888888891</v>
      </c>
      <c r="K319" s="7">
        <v>0.59583333333333333</v>
      </c>
      <c r="L319" s="3">
        <f t="shared" si="9"/>
        <v>0</v>
      </c>
      <c r="M319" s="3">
        <f t="shared" si="10"/>
        <v>1</v>
      </c>
      <c r="N319" s="29">
        <f>_xlfn.MAXIFS($G$7:G318,$E$7:E318,detalhe_carro1[[#This Row],[Nó]],$B$7:B318,detalhe_carro1[[#This Row],[Numero Voltas]],$L$7:L318,1)</f>
        <v>269</v>
      </c>
      <c r="O319" s="3">
        <f>IF(OR(detalhe_carro1[[#This Row],[Ultima Chegada]]=0,detalhe_carro1[[#This Row],[Chegada]]=0),"",detalhe_carro1[[#This Row],[Hora Inicio]]-detalhe_carro1[[#This Row],[Ultima Chegada]])</f>
        <v>159</v>
      </c>
      <c r="P319" s="3">
        <f>IF(detalhe_carro1[[#This Row],[Tipo]]="Visitar Nó",((detalhe_carro1[[#This Row],[Hora Fim]]-detalhe_carro1[[#This Row],[Hora Inicio]])/60*velocidade_nos),0)</f>
        <v>5</v>
      </c>
      <c r="Q319" s="29">
        <f>detalhe_carro1[[#This Row],[Kms Nós]]+detalhe_carro1[[#This Row],[kms]]</f>
        <v>5</v>
      </c>
      <c r="S319" s="20">
        <v>4</v>
      </c>
      <c r="T319" s="20">
        <v>0</v>
      </c>
      <c r="U319" s="20">
        <v>2</v>
      </c>
      <c r="V319" s="20" t="s">
        <v>24</v>
      </c>
      <c r="W319">
        <v>572</v>
      </c>
      <c r="X319">
        <v>572</v>
      </c>
      <c r="Y319">
        <v>556</v>
      </c>
      <c r="Z319" s="7">
        <v>0.68888888888888888</v>
      </c>
      <c r="AA319" s="7">
        <v>0.68888888888888888</v>
      </c>
      <c r="AB319" s="7">
        <v>0.67777777777777781</v>
      </c>
      <c r="AC3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20" spans="2:29" x14ac:dyDescent="0.25">
      <c r="B320" s="3">
        <v>3</v>
      </c>
      <c r="C320">
        <v>0</v>
      </c>
      <c r="D320">
        <v>3</v>
      </c>
      <c r="E320" s="29" t="s">
        <v>26</v>
      </c>
      <c r="F320" s="3">
        <v>439</v>
      </c>
      <c r="G320" s="3">
        <v>439</v>
      </c>
      <c r="H320" s="29" t="s">
        <v>51</v>
      </c>
      <c r="I320" s="3">
        <v>1</v>
      </c>
      <c r="J320" s="7">
        <v>0.59652777777777777</v>
      </c>
      <c r="K320" s="7">
        <v>0.59652777777777777</v>
      </c>
      <c r="L320" s="3">
        <f t="shared" si="9"/>
        <v>1</v>
      </c>
      <c r="M320" s="3">
        <f t="shared" si="10"/>
        <v>0</v>
      </c>
      <c r="N320" s="29">
        <f>_xlfn.MAXIFS($G$7:G319,$E$7:E319,detalhe_carro1[[#This Row],[Nó]],$B$7:B319,detalhe_carro1[[#This Row],[Numero Voltas]],$L$7:L319,1)</f>
        <v>269</v>
      </c>
      <c r="O320" s="3" t="str">
        <f>IF(OR(detalhe_carro1[[#This Row],[Ultima Chegada]]=0,detalhe_carro1[[#This Row],[Chegada]]=0),"",detalhe_carro1[[#This Row],[Hora Inicio]]-detalhe_carro1[[#This Row],[Ultima Chegada]])</f>
        <v/>
      </c>
      <c r="P320" s="3">
        <f>IF(detalhe_carro1[[#This Row],[Tipo]]="Visitar Nó",((detalhe_carro1[[#This Row],[Hora Fim]]-detalhe_carro1[[#This Row],[Hora Inicio]])/60*velocidade_nos),0)</f>
        <v>0</v>
      </c>
      <c r="Q320" s="29">
        <f>detalhe_carro1[[#This Row],[Kms Nós]]+detalhe_carro1[[#This Row],[kms]]</f>
        <v>1</v>
      </c>
      <c r="S320" s="20">
        <v>4</v>
      </c>
      <c r="T320" s="20">
        <v>0</v>
      </c>
      <c r="U320" s="20">
        <v>3</v>
      </c>
      <c r="V320" s="20" t="s">
        <v>26</v>
      </c>
      <c r="W320">
        <v>573</v>
      </c>
      <c r="X320">
        <v>573</v>
      </c>
      <c r="Y320">
        <v>555</v>
      </c>
      <c r="Z320" s="7">
        <v>0.68958333333333333</v>
      </c>
      <c r="AA320" s="7">
        <v>0.68958333333333333</v>
      </c>
      <c r="AB320" s="7">
        <v>0.67708333333333337</v>
      </c>
      <c r="AC3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21" spans="2:29" x14ac:dyDescent="0.25">
      <c r="B321" s="3">
        <v>3</v>
      </c>
      <c r="C321">
        <v>0</v>
      </c>
      <c r="D321">
        <v>4</v>
      </c>
      <c r="E321" s="29" t="s">
        <v>27</v>
      </c>
      <c r="F321" s="3">
        <v>440</v>
      </c>
      <c r="G321" s="3">
        <v>453</v>
      </c>
      <c r="H321" s="29" t="s">
        <v>50</v>
      </c>
      <c r="I321" s="3">
        <v>0</v>
      </c>
      <c r="J321" s="7">
        <v>0.59722222222222221</v>
      </c>
      <c r="K321" s="7">
        <v>0.60624999999999996</v>
      </c>
      <c r="L321" s="3">
        <f t="shared" si="9"/>
        <v>0</v>
      </c>
      <c r="M321" s="3">
        <f t="shared" si="10"/>
        <v>1</v>
      </c>
      <c r="N321" s="29">
        <f>_xlfn.MAXIFS($G$7:G320,$E$7:E320,detalhe_carro1[[#This Row],[Nó]],$B$7:B320,detalhe_carro1[[#This Row],[Numero Voltas]],$L$7:L320,1)</f>
        <v>257</v>
      </c>
      <c r="O321" s="3">
        <f>IF(OR(detalhe_carro1[[#This Row],[Ultima Chegada]]=0,detalhe_carro1[[#This Row],[Chegada]]=0),"",detalhe_carro1[[#This Row],[Hora Inicio]]-detalhe_carro1[[#This Row],[Ultima Chegada]])</f>
        <v>183</v>
      </c>
      <c r="P321" s="3">
        <f>IF(detalhe_carro1[[#This Row],[Tipo]]="Visitar Nó",((detalhe_carro1[[#This Row],[Hora Fim]]-detalhe_carro1[[#This Row],[Hora Inicio]])/60*velocidade_nos),0)</f>
        <v>6.5</v>
      </c>
      <c r="Q321" s="29">
        <f>detalhe_carro1[[#This Row],[Kms Nós]]+detalhe_carro1[[#This Row],[kms]]</f>
        <v>6.5</v>
      </c>
      <c r="S321" s="20">
        <v>4</v>
      </c>
      <c r="T321" s="20">
        <v>0</v>
      </c>
      <c r="U321" s="20">
        <v>4</v>
      </c>
      <c r="V321" s="20" t="s">
        <v>27</v>
      </c>
      <c r="W321">
        <v>574</v>
      </c>
      <c r="X321">
        <v>574</v>
      </c>
      <c r="Y321">
        <v>554</v>
      </c>
      <c r="Z321" s="7">
        <v>0.69027777777777777</v>
      </c>
      <c r="AA321" s="7">
        <v>0.69027777777777777</v>
      </c>
      <c r="AB321" s="7">
        <v>0.67638888888888893</v>
      </c>
      <c r="AC3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22" spans="2:29" x14ac:dyDescent="0.25">
      <c r="B322" s="3">
        <v>3</v>
      </c>
      <c r="C322">
        <v>0</v>
      </c>
      <c r="D322">
        <v>4</v>
      </c>
      <c r="E322" s="29" t="s">
        <v>27</v>
      </c>
      <c r="F322" s="3">
        <v>454</v>
      </c>
      <c r="G322" s="3">
        <v>454</v>
      </c>
      <c r="H322" s="29" t="s">
        <v>51</v>
      </c>
      <c r="I322" s="3">
        <v>1</v>
      </c>
      <c r="J322" s="7">
        <v>0.6069444444444444</v>
      </c>
      <c r="K322" s="7">
        <v>0.6069444444444444</v>
      </c>
      <c r="L322" s="3">
        <f t="shared" si="9"/>
        <v>1</v>
      </c>
      <c r="M322" s="3">
        <f t="shared" si="10"/>
        <v>0</v>
      </c>
      <c r="N322" s="29">
        <f>_xlfn.MAXIFS($G$7:G321,$E$7:E321,detalhe_carro1[[#This Row],[Nó]],$B$7:B321,detalhe_carro1[[#This Row],[Numero Voltas]],$L$7:L321,1)</f>
        <v>257</v>
      </c>
      <c r="O322" s="3" t="str">
        <f>IF(OR(detalhe_carro1[[#This Row],[Ultima Chegada]]=0,detalhe_carro1[[#This Row],[Chegada]]=0),"",detalhe_carro1[[#This Row],[Hora Inicio]]-detalhe_carro1[[#This Row],[Ultima Chegada]])</f>
        <v/>
      </c>
      <c r="P322" s="3">
        <f>IF(detalhe_carro1[[#This Row],[Tipo]]="Visitar Nó",((detalhe_carro1[[#This Row],[Hora Fim]]-detalhe_carro1[[#This Row],[Hora Inicio]])/60*velocidade_nos),0)</f>
        <v>0</v>
      </c>
      <c r="Q322" s="29">
        <f>detalhe_carro1[[#This Row],[Kms Nós]]+detalhe_carro1[[#This Row],[kms]]</f>
        <v>1</v>
      </c>
      <c r="S322" s="20">
        <v>4</v>
      </c>
      <c r="T322" s="20">
        <v>0</v>
      </c>
      <c r="U322" s="20">
        <v>5</v>
      </c>
      <c r="V322" s="20" t="s">
        <v>29</v>
      </c>
      <c r="W322">
        <v>577</v>
      </c>
      <c r="X322">
        <v>577</v>
      </c>
      <c r="Y322">
        <v>551</v>
      </c>
      <c r="Z322" s="7">
        <v>0.69236111111111109</v>
      </c>
      <c r="AA322" s="7">
        <v>0.69236111111111109</v>
      </c>
      <c r="AB322" s="7">
        <v>0.6743055555555556</v>
      </c>
      <c r="AC3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23" spans="2:29" x14ac:dyDescent="0.25">
      <c r="B323" s="3">
        <v>3</v>
      </c>
      <c r="C323">
        <v>0</v>
      </c>
      <c r="D323">
        <v>5</v>
      </c>
      <c r="E323" s="29" t="s">
        <v>29</v>
      </c>
      <c r="F323" s="3">
        <v>457</v>
      </c>
      <c r="G323" s="3">
        <v>467</v>
      </c>
      <c r="H323" s="29" t="s">
        <v>297</v>
      </c>
      <c r="I323" s="3">
        <v>0</v>
      </c>
      <c r="J323" s="7">
        <v>0.60902777777777772</v>
      </c>
      <c r="K323" s="7">
        <v>0.61597222222222225</v>
      </c>
      <c r="L323" s="3">
        <f t="shared" si="9"/>
        <v>0</v>
      </c>
      <c r="M323" s="3">
        <f t="shared" si="10"/>
        <v>1</v>
      </c>
      <c r="N323" s="29">
        <f>_xlfn.MAXIFS($G$7:G322,$E$7:E322,detalhe_carro1[[#This Row],[Nó]],$B$7:B322,detalhe_carro1[[#This Row],[Numero Voltas]],$L$7:L322,1)</f>
        <v>238</v>
      </c>
      <c r="O323" s="3">
        <f>IF(OR(detalhe_carro1[[#This Row],[Ultima Chegada]]=0,detalhe_carro1[[#This Row],[Chegada]]=0),"",detalhe_carro1[[#This Row],[Hora Inicio]]-detalhe_carro1[[#This Row],[Ultima Chegada]])</f>
        <v>219</v>
      </c>
      <c r="P323" s="3">
        <f>IF(detalhe_carro1[[#This Row],[Tipo]]="Visitar Nó",((detalhe_carro1[[#This Row],[Hora Fim]]-detalhe_carro1[[#This Row],[Hora Inicio]])/60*velocidade_nos),0)</f>
        <v>0</v>
      </c>
      <c r="Q323" s="29">
        <f>detalhe_carro1[[#This Row],[Kms Nós]]+detalhe_carro1[[#This Row],[kms]]</f>
        <v>0</v>
      </c>
      <c r="S323" s="20">
        <v>4</v>
      </c>
      <c r="T323" s="20">
        <v>0</v>
      </c>
      <c r="U323" s="20">
        <v>6</v>
      </c>
      <c r="V323" s="20" t="s">
        <v>31</v>
      </c>
      <c r="W323">
        <v>580</v>
      </c>
      <c r="X323">
        <v>580</v>
      </c>
      <c r="Y323">
        <v>548</v>
      </c>
      <c r="Z323" s="7">
        <v>0.69444444444444442</v>
      </c>
      <c r="AA323" s="7">
        <v>0.69444444444444442</v>
      </c>
      <c r="AB323" s="7">
        <v>0.67222222222222228</v>
      </c>
      <c r="AC3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24" spans="2:29" x14ac:dyDescent="0.25">
      <c r="B324" s="3">
        <v>3</v>
      </c>
      <c r="C324">
        <v>0</v>
      </c>
      <c r="D324">
        <v>5</v>
      </c>
      <c r="E324" s="29" t="s">
        <v>29</v>
      </c>
      <c r="F324" s="3">
        <v>470</v>
      </c>
      <c r="G324" s="3">
        <v>498</v>
      </c>
      <c r="H324" s="29" t="s">
        <v>50</v>
      </c>
      <c r="I324" s="3">
        <v>0</v>
      </c>
      <c r="J324" s="7">
        <v>0.61805555555555558</v>
      </c>
      <c r="K324" s="7">
        <v>0.63749999999999996</v>
      </c>
      <c r="L324" s="3">
        <f t="shared" si="9"/>
        <v>0</v>
      </c>
      <c r="M324" s="3">
        <f t="shared" si="10"/>
        <v>0</v>
      </c>
      <c r="N324" s="29">
        <f>_xlfn.MAXIFS($G$7:G323,$E$7:E323,detalhe_carro1[[#This Row],[Nó]],$B$7:B323,detalhe_carro1[[#This Row],[Numero Voltas]],$L$7:L323,1)</f>
        <v>238</v>
      </c>
      <c r="O324" s="3" t="str">
        <f>IF(OR(detalhe_carro1[[#This Row],[Ultima Chegada]]=0,detalhe_carro1[[#This Row],[Chegada]]=0),"",detalhe_carro1[[#This Row],[Hora Inicio]]-detalhe_carro1[[#This Row],[Ultima Chegada]])</f>
        <v/>
      </c>
      <c r="P324" s="3">
        <f>IF(detalhe_carro1[[#This Row],[Tipo]]="Visitar Nó",((detalhe_carro1[[#This Row],[Hora Fim]]-detalhe_carro1[[#This Row],[Hora Inicio]])/60*velocidade_nos),0)</f>
        <v>14</v>
      </c>
      <c r="Q324" s="29">
        <f>detalhe_carro1[[#This Row],[Kms Nós]]+detalhe_carro1[[#This Row],[kms]]</f>
        <v>14</v>
      </c>
      <c r="S324" s="20">
        <v>4</v>
      </c>
      <c r="T324" s="20">
        <v>0</v>
      </c>
      <c r="U324" s="20">
        <v>7</v>
      </c>
      <c r="V324" s="20" t="s">
        <v>33</v>
      </c>
      <c r="W324">
        <v>583</v>
      </c>
      <c r="X324">
        <v>583</v>
      </c>
      <c r="Y324">
        <v>545</v>
      </c>
      <c r="Z324" s="7">
        <v>0.69652777777777775</v>
      </c>
      <c r="AA324" s="7">
        <v>0.69652777777777775</v>
      </c>
      <c r="AB324" s="7">
        <v>0.67013888888888884</v>
      </c>
      <c r="AC3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25" spans="2:29" x14ac:dyDescent="0.25">
      <c r="B325" s="3">
        <v>3</v>
      </c>
      <c r="C325">
        <v>0</v>
      </c>
      <c r="D325">
        <v>5</v>
      </c>
      <c r="E325" s="29" t="s">
        <v>29</v>
      </c>
      <c r="F325" s="3">
        <v>501</v>
      </c>
      <c r="G325" s="3">
        <v>501</v>
      </c>
      <c r="H325" s="29" t="s">
        <v>51</v>
      </c>
      <c r="I325" s="3">
        <v>3</v>
      </c>
      <c r="J325" s="7">
        <v>0.63958333333333328</v>
      </c>
      <c r="K325" s="7">
        <v>0.63958333333333328</v>
      </c>
      <c r="L325" s="3">
        <f t="shared" si="9"/>
        <v>1</v>
      </c>
      <c r="M325" s="3">
        <f t="shared" si="10"/>
        <v>0</v>
      </c>
      <c r="N325" s="29">
        <f>_xlfn.MAXIFS($G$7:G324,$E$7:E324,detalhe_carro1[[#This Row],[Nó]],$B$7:B324,detalhe_carro1[[#This Row],[Numero Voltas]],$L$7:L324,1)</f>
        <v>238</v>
      </c>
      <c r="O325" s="3" t="str">
        <f>IF(OR(detalhe_carro1[[#This Row],[Ultima Chegada]]=0,detalhe_carro1[[#This Row],[Chegada]]=0),"",detalhe_carro1[[#This Row],[Hora Inicio]]-detalhe_carro1[[#This Row],[Ultima Chegada]])</f>
        <v/>
      </c>
      <c r="P325" s="3">
        <f>IF(detalhe_carro1[[#This Row],[Tipo]]="Visitar Nó",((detalhe_carro1[[#This Row],[Hora Fim]]-detalhe_carro1[[#This Row],[Hora Inicio]])/60*velocidade_nos),0)</f>
        <v>0</v>
      </c>
      <c r="Q325" s="29">
        <f>detalhe_carro1[[#This Row],[Kms Nós]]+detalhe_carro1[[#This Row],[kms]]</f>
        <v>3</v>
      </c>
      <c r="S325" s="20">
        <v>4</v>
      </c>
      <c r="T325" s="20">
        <v>1</v>
      </c>
      <c r="U325" s="20">
        <v>7</v>
      </c>
      <c r="V325" s="20" t="s">
        <v>33</v>
      </c>
      <c r="W325">
        <v>510</v>
      </c>
      <c r="X325">
        <v>583</v>
      </c>
      <c r="Y325">
        <v>583</v>
      </c>
      <c r="Z325" s="7">
        <v>0.64583333333333337</v>
      </c>
      <c r="AA325" s="7">
        <v>0.69652777777777775</v>
      </c>
      <c r="AB325" s="7">
        <v>0.69652777777777775</v>
      </c>
      <c r="AC3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-1.2166666666666666</v>
      </c>
    </row>
    <row r="326" spans="2:29" x14ac:dyDescent="0.25">
      <c r="B326" s="3">
        <v>3</v>
      </c>
      <c r="C326">
        <v>0</v>
      </c>
      <c r="D326">
        <v>6</v>
      </c>
      <c r="E326" s="29" t="s">
        <v>31</v>
      </c>
      <c r="F326" s="3">
        <v>504</v>
      </c>
      <c r="G326" s="3">
        <v>513</v>
      </c>
      <c r="H326" s="29" t="s">
        <v>50</v>
      </c>
      <c r="I326" s="3">
        <v>0</v>
      </c>
      <c r="J326" s="7">
        <v>0.64166666666666672</v>
      </c>
      <c r="K326" s="7">
        <v>0.6479166666666667</v>
      </c>
      <c r="L326" s="3">
        <f t="shared" si="9"/>
        <v>0</v>
      </c>
      <c r="M326" s="3">
        <f t="shared" si="10"/>
        <v>1</v>
      </c>
      <c r="N326" s="29">
        <f>_xlfn.MAXIFS($G$7:G325,$E$7:E325,detalhe_carro1[[#This Row],[Nó]],$B$7:B325,detalhe_carro1[[#This Row],[Numero Voltas]],$L$7:L325,1)</f>
        <v>204</v>
      </c>
      <c r="O326" s="3">
        <f>IF(OR(detalhe_carro1[[#This Row],[Ultima Chegada]]=0,detalhe_carro1[[#This Row],[Chegada]]=0),"",detalhe_carro1[[#This Row],[Hora Inicio]]-detalhe_carro1[[#This Row],[Ultima Chegada]])</f>
        <v>300</v>
      </c>
      <c r="P326" s="3">
        <f>IF(detalhe_carro1[[#This Row],[Tipo]]="Visitar Nó",((detalhe_carro1[[#This Row],[Hora Fim]]-detalhe_carro1[[#This Row],[Hora Inicio]])/60*velocidade_nos),0)</f>
        <v>4.5</v>
      </c>
      <c r="Q326" s="29">
        <f>detalhe_carro1[[#This Row],[Kms Nós]]+detalhe_carro1[[#This Row],[kms]]</f>
        <v>4.5</v>
      </c>
      <c r="S326" s="20">
        <v>4</v>
      </c>
      <c r="T326" s="20">
        <v>1</v>
      </c>
      <c r="U326" s="20">
        <v>6</v>
      </c>
      <c r="V326" s="20" t="s">
        <v>31</v>
      </c>
      <c r="W326">
        <v>586</v>
      </c>
      <c r="X326">
        <v>611</v>
      </c>
      <c r="Y326">
        <v>580</v>
      </c>
      <c r="Z326" s="7">
        <v>0.69861111111111107</v>
      </c>
      <c r="AA326" s="7">
        <v>0.71597222222222223</v>
      </c>
      <c r="AB326" s="7">
        <v>0.69444444444444442</v>
      </c>
      <c r="AC3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327" spans="2:29" x14ac:dyDescent="0.25">
      <c r="B327" s="3">
        <v>3</v>
      </c>
      <c r="C327">
        <v>0</v>
      </c>
      <c r="D327">
        <v>6</v>
      </c>
      <c r="E327" s="29" t="s">
        <v>31</v>
      </c>
      <c r="F327" s="3">
        <v>516</v>
      </c>
      <c r="G327" s="3">
        <v>516</v>
      </c>
      <c r="H327" s="29" t="s">
        <v>51</v>
      </c>
      <c r="I327" s="3">
        <v>3</v>
      </c>
      <c r="J327" s="7">
        <v>0.65</v>
      </c>
      <c r="K327" s="7">
        <v>0.65</v>
      </c>
      <c r="L327" s="3">
        <f t="shared" ref="L327:L390" si="11">IF(E327&lt;&gt;E328,1,0)</f>
        <v>1</v>
      </c>
      <c r="M327" s="3">
        <f t="shared" ref="M327:M390" si="12">IF(E327&lt;&gt;E326,1,0)</f>
        <v>0</v>
      </c>
      <c r="N327" s="29">
        <f>_xlfn.MAXIFS($G$7:G326,$E$7:E326,detalhe_carro1[[#This Row],[Nó]],$B$7:B326,detalhe_carro1[[#This Row],[Numero Voltas]],$L$7:L326,1)</f>
        <v>204</v>
      </c>
      <c r="O327" s="3" t="str">
        <f>IF(OR(detalhe_carro1[[#This Row],[Ultima Chegada]]=0,detalhe_carro1[[#This Row],[Chegada]]=0),"",detalhe_carro1[[#This Row],[Hora Inicio]]-detalhe_carro1[[#This Row],[Ultima Chegada]])</f>
        <v/>
      </c>
      <c r="P327" s="3">
        <f>IF(detalhe_carro1[[#This Row],[Tipo]]="Visitar Nó",((detalhe_carro1[[#This Row],[Hora Fim]]-detalhe_carro1[[#This Row],[Hora Inicio]])/60*velocidade_nos),0)</f>
        <v>0</v>
      </c>
      <c r="Q327" s="29">
        <f>detalhe_carro1[[#This Row],[Kms Nós]]+detalhe_carro1[[#This Row],[kms]]</f>
        <v>3</v>
      </c>
      <c r="S327" s="20">
        <v>4</v>
      </c>
      <c r="T327" s="20">
        <v>1</v>
      </c>
      <c r="U327" s="20">
        <v>5</v>
      </c>
      <c r="V327" s="20" t="s">
        <v>29</v>
      </c>
      <c r="W327">
        <v>614</v>
      </c>
      <c r="X327">
        <v>645</v>
      </c>
      <c r="Y327">
        <v>577</v>
      </c>
      <c r="Z327" s="7">
        <v>0.71805555555555556</v>
      </c>
      <c r="AA327" s="7">
        <v>0.73958333333333337</v>
      </c>
      <c r="AB327" s="7">
        <v>0.69236111111111109</v>
      </c>
      <c r="AC3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0.6166666666666667</v>
      </c>
    </row>
    <row r="328" spans="2:29" x14ac:dyDescent="0.25">
      <c r="B328" s="3">
        <v>3</v>
      </c>
      <c r="C328">
        <v>0</v>
      </c>
      <c r="D328">
        <v>7</v>
      </c>
      <c r="E328" s="29" t="s">
        <v>33</v>
      </c>
      <c r="F328" s="3">
        <v>519</v>
      </c>
      <c r="G328" s="3">
        <v>519</v>
      </c>
      <c r="H328" s="29" t="s">
        <v>51</v>
      </c>
      <c r="I328" s="3">
        <v>3</v>
      </c>
      <c r="J328" s="7">
        <v>0.65208333333333335</v>
      </c>
      <c r="K328" s="7">
        <v>0.65208333333333335</v>
      </c>
      <c r="L328" s="3">
        <f t="shared" si="11"/>
        <v>0</v>
      </c>
      <c r="M328" s="3">
        <f t="shared" si="12"/>
        <v>1</v>
      </c>
      <c r="N328" s="29">
        <f>_xlfn.MAXIFS($G$7:G327,$E$7:E327,detalhe_carro1[[#This Row],[Nó]],$B$7:B327,detalhe_carro1[[#This Row],[Numero Voltas]],$L$7:L327,1)</f>
        <v>103</v>
      </c>
      <c r="O328" s="3">
        <f>IF(OR(detalhe_carro1[[#This Row],[Ultima Chegada]]=0,detalhe_carro1[[#This Row],[Chegada]]=0),"",detalhe_carro1[[#This Row],[Hora Inicio]]-detalhe_carro1[[#This Row],[Ultima Chegada]])</f>
        <v>416</v>
      </c>
      <c r="P328" s="3">
        <f>IF(detalhe_carro1[[#This Row],[Tipo]]="Visitar Nó",((detalhe_carro1[[#This Row],[Hora Fim]]-detalhe_carro1[[#This Row],[Hora Inicio]])/60*velocidade_nos),0)</f>
        <v>0</v>
      </c>
      <c r="Q328" s="29">
        <f>detalhe_carro1[[#This Row],[Kms Nós]]+detalhe_carro1[[#This Row],[kms]]</f>
        <v>3</v>
      </c>
      <c r="S328" s="20">
        <v>4</v>
      </c>
      <c r="T328" s="20">
        <v>1</v>
      </c>
      <c r="U328" s="20">
        <v>4</v>
      </c>
      <c r="V328" s="20" t="s">
        <v>27</v>
      </c>
      <c r="W328">
        <v>648</v>
      </c>
      <c r="X328">
        <v>664</v>
      </c>
      <c r="Y328">
        <v>574</v>
      </c>
      <c r="Z328" s="7">
        <v>0.7416666666666667</v>
      </c>
      <c r="AA328" s="7">
        <v>0.75277777777777777</v>
      </c>
      <c r="AB328" s="7">
        <v>0.69027777777777777</v>
      </c>
      <c r="AC3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1.2333333333333334</v>
      </c>
    </row>
    <row r="329" spans="2:29" x14ac:dyDescent="0.25">
      <c r="B329" s="3">
        <v>3</v>
      </c>
      <c r="C329">
        <v>0</v>
      </c>
      <c r="D329">
        <v>7</v>
      </c>
      <c r="E329" s="29" t="s">
        <v>33</v>
      </c>
      <c r="F329" s="3">
        <v>519</v>
      </c>
      <c r="G329" s="3">
        <v>519</v>
      </c>
      <c r="H329" s="29" t="s">
        <v>51</v>
      </c>
      <c r="I329" s="3">
        <v>3</v>
      </c>
      <c r="J329" s="7">
        <v>0.65208333333333335</v>
      </c>
      <c r="K329" s="7">
        <v>0.65208333333333335</v>
      </c>
      <c r="L329" s="3">
        <f t="shared" si="11"/>
        <v>1</v>
      </c>
      <c r="M329" s="3">
        <f t="shared" si="12"/>
        <v>0</v>
      </c>
      <c r="N329" s="29">
        <f>_xlfn.MAXIFS($G$7:G328,$E$7:E328,detalhe_carro1[[#This Row],[Nó]],$B$7:B328,detalhe_carro1[[#This Row],[Numero Voltas]],$L$7:L328,1)</f>
        <v>103</v>
      </c>
      <c r="O329" s="3" t="str">
        <f>IF(OR(detalhe_carro1[[#This Row],[Ultima Chegada]]=0,detalhe_carro1[[#This Row],[Chegada]]=0),"",detalhe_carro1[[#This Row],[Hora Inicio]]-detalhe_carro1[[#This Row],[Ultima Chegada]])</f>
        <v/>
      </c>
      <c r="P329" s="3">
        <f>IF(detalhe_carro1[[#This Row],[Tipo]]="Visitar Nó",((detalhe_carro1[[#This Row],[Hora Fim]]-detalhe_carro1[[#This Row],[Hora Inicio]])/60*velocidade_nos),0)</f>
        <v>0</v>
      </c>
      <c r="Q329" s="29">
        <f>detalhe_carro1[[#This Row],[Kms Nós]]+detalhe_carro1[[#This Row],[kms]]</f>
        <v>3</v>
      </c>
      <c r="S329" s="20">
        <v>4</v>
      </c>
      <c r="T329" s="20">
        <v>1</v>
      </c>
      <c r="U329" s="20">
        <v>3</v>
      </c>
      <c r="V329" s="20" t="s">
        <v>26</v>
      </c>
      <c r="W329">
        <v>665</v>
      </c>
      <c r="X329">
        <v>676</v>
      </c>
      <c r="Y329">
        <v>573</v>
      </c>
      <c r="Z329" s="7">
        <v>0.75347222222222221</v>
      </c>
      <c r="AA329" s="7">
        <v>0.76111111111111107</v>
      </c>
      <c r="AB329" s="7">
        <v>0.68958333333333333</v>
      </c>
      <c r="AC3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1.5333333333333334</v>
      </c>
    </row>
    <row r="330" spans="2:29" x14ac:dyDescent="0.25">
      <c r="B330" s="3">
        <v>3</v>
      </c>
      <c r="C330">
        <v>0</v>
      </c>
      <c r="D330">
        <v>6</v>
      </c>
      <c r="E330" s="29" t="s">
        <v>31</v>
      </c>
      <c r="F330" s="3">
        <v>522</v>
      </c>
      <c r="G330" s="3">
        <v>522</v>
      </c>
      <c r="H330" s="29" t="s">
        <v>51</v>
      </c>
      <c r="I330" s="3">
        <v>3</v>
      </c>
      <c r="J330" s="7">
        <v>0.65416666666666667</v>
      </c>
      <c r="K330" s="7">
        <v>0.65416666666666667</v>
      </c>
      <c r="L330" s="3">
        <f t="shared" si="11"/>
        <v>1</v>
      </c>
      <c r="M330" s="3">
        <f t="shared" si="12"/>
        <v>1</v>
      </c>
      <c r="N330" s="29">
        <f>_xlfn.MAXIFS($G$7:G329,$E$7:E329,detalhe_carro1[[#This Row],[Nó]],$B$7:B329,detalhe_carro1[[#This Row],[Numero Voltas]],$L$7:L329,1)</f>
        <v>516</v>
      </c>
      <c r="O330" s="3">
        <f>IF(OR(detalhe_carro1[[#This Row],[Ultima Chegada]]=0,detalhe_carro1[[#This Row],[Chegada]]=0),"",detalhe_carro1[[#This Row],[Hora Inicio]]-detalhe_carro1[[#This Row],[Ultima Chegada]])</f>
        <v>6</v>
      </c>
      <c r="P330" s="3">
        <f>IF(detalhe_carro1[[#This Row],[Tipo]]="Visitar Nó",((detalhe_carro1[[#This Row],[Hora Fim]]-detalhe_carro1[[#This Row],[Hora Inicio]])/60*velocidade_nos),0)</f>
        <v>0</v>
      </c>
      <c r="Q330" s="29">
        <f>detalhe_carro1[[#This Row],[Kms Nós]]+detalhe_carro1[[#This Row],[kms]]</f>
        <v>3</v>
      </c>
      <c r="S330" s="20">
        <v>4</v>
      </c>
      <c r="T330" s="20">
        <v>1</v>
      </c>
      <c r="U330" s="20">
        <v>2</v>
      </c>
      <c r="V330" s="20" t="s">
        <v>24</v>
      </c>
      <c r="W330">
        <v>677</v>
      </c>
      <c r="X330">
        <v>692</v>
      </c>
      <c r="Y330">
        <v>572</v>
      </c>
      <c r="Z330" s="7">
        <v>0.76180555555555551</v>
      </c>
      <c r="AA330" s="7">
        <v>0.77222222222222225</v>
      </c>
      <c r="AB330" s="7">
        <v>0.68888888888888888</v>
      </c>
      <c r="AC3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1.75</v>
      </c>
    </row>
    <row r="331" spans="2:29" x14ac:dyDescent="0.25">
      <c r="B331" s="3">
        <v>3</v>
      </c>
      <c r="C331">
        <v>0</v>
      </c>
      <c r="D331">
        <v>5</v>
      </c>
      <c r="E331" s="29" t="s">
        <v>29</v>
      </c>
      <c r="F331" s="3">
        <v>525</v>
      </c>
      <c r="G331" s="3">
        <v>525</v>
      </c>
      <c r="H331" s="29" t="s">
        <v>51</v>
      </c>
      <c r="I331" s="3">
        <v>3</v>
      </c>
      <c r="J331" s="7">
        <v>0.65625</v>
      </c>
      <c r="K331" s="7">
        <v>0.65625</v>
      </c>
      <c r="L331" s="3">
        <f t="shared" si="11"/>
        <v>1</v>
      </c>
      <c r="M331" s="3">
        <f t="shared" si="12"/>
        <v>1</v>
      </c>
      <c r="N331" s="29">
        <f>_xlfn.MAXIFS($G$7:G330,$E$7:E330,detalhe_carro1[[#This Row],[Nó]],$B$7:B330,detalhe_carro1[[#This Row],[Numero Voltas]],$L$7:L330,1)</f>
        <v>501</v>
      </c>
      <c r="O331" s="3">
        <f>IF(OR(detalhe_carro1[[#This Row],[Ultima Chegada]]=0,detalhe_carro1[[#This Row],[Chegada]]=0),"",detalhe_carro1[[#This Row],[Hora Inicio]]-detalhe_carro1[[#This Row],[Ultima Chegada]])</f>
        <v>24</v>
      </c>
      <c r="P331" s="3">
        <f>IF(detalhe_carro1[[#This Row],[Tipo]]="Visitar Nó",((detalhe_carro1[[#This Row],[Hora Fim]]-detalhe_carro1[[#This Row],[Hora Inicio]])/60*velocidade_nos),0)</f>
        <v>0</v>
      </c>
      <c r="Q331" s="29">
        <f>detalhe_carro1[[#This Row],[Kms Nós]]+detalhe_carro1[[#This Row],[kms]]</f>
        <v>3</v>
      </c>
      <c r="S331" s="20">
        <v>4</v>
      </c>
      <c r="T331" s="20">
        <v>1</v>
      </c>
      <c r="U331" s="20">
        <v>1</v>
      </c>
      <c r="V331" s="20" t="s">
        <v>22</v>
      </c>
      <c r="W331">
        <v>699</v>
      </c>
      <c r="X331">
        <v>711</v>
      </c>
      <c r="Y331">
        <v>565</v>
      </c>
      <c r="Z331" s="7">
        <v>0.77708333333333335</v>
      </c>
      <c r="AA331" s="7">
        <v>0.78541666666666665</v>
      </c>
      <c r="AB331" s="7">
        <v>0.68402777777777779</v>
      </c>
      <c r="AC3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2.2333333333333334</v>
      </c>
    </row>
    <row r="332" spans="2:29" x14ac:dyDescent="0.25">
      <c r="B332" s="3">
        <v>3</v>
      </c>
      <c r="C332">
        <v>0</v>
      </c>
      <c r="D332">
        <v>4</v>
      </c>
      <c r="E332" s="29" t="s">
        <v>27</v>
      </c>
      <c r="F332" s="3">
        <v>528</v>
      </c>
      <c r="G332" s="3">
        <v>528</v>
      </c>
      <c r="H332" s="29" t="s">
        <v>51</v>
      </c>
      <c r="I332" s="3">
        <v>3</v>
      </c>
      <c r="J332" s="7">
        <v>0.65833333333333333</v>
      </c>
      <c r="K332" s="7">
        <v>0.65833333333333333</v>
      </c>
      <c r="L332" s="3">
        <f t="shared" si="11"/>
        <v>1</v>
      </c>
      <c r="M332" s="3">
        <f t="shared" si="12"/>
        <v>1</v>
      </c>
      <c r="N332" s="29">
        <f>_xlfn.MAXIFS($G$7:G331,$E$7:E331,detalhe_carro1[[#This Row],[Nó]],$B$7:B331,detalhe_carro1[[#This Row],[Numero Voltas]],$L$7:L331,1)</f>
        <v>454</v>
      </c>
      <c r="O332" s="3">
        <f>IF(OR(detalhe_carro1[[#This Row],[Ultima Chegada]]=0,detalhe_carro1[[#This Row],[Chegada]]=0),"",detalhe_carro1[[#This Row],[Hora Inicio]]-detalhe_carro1[[#This Row],[Ultima Chegada]])</f>
        <v>74</v>
      </c>
      <c r="P332" s="3">
        <f>IF(detalhe_carro1[[#This Row],[Tipo]]="Visitar Nó",((detalhe_carro1[[#This Row],[Hora Fim]]-detalhe_carro1[[#This Row],[Hora Inicio]])/60*velocidade_nos),0)</f>
        <v>0</v>
      </c>
      <c r="Q332" s="29">
        <f>detalhe_carro1[[#This Row],[Kms Nós]]+detalhe_carro1[[#This Row],[kms]]</f>
        <v>3</v>
      </c>
      <c r="S332" s="20">
        <v>4</v>
      </c>
      <c r="T332" s="20">
        <v>1</v>
      </c>
      <c r="U332" s="20">
        <v>0</v>
      </c>
      <c r="V332" s="20" t="s">
        <v>20</v>
      </c>
      <c r="W332">
        <v>712</v>
      </c>
      <c r="X332">
        <v>727</v>
      </c>
      <c r="Y332">
        <v>564</v>
      </c>
      <c r="Z332" s="7">
        <v>0.78611111111111109</v>
      </c>
      <c r="AA332" s="7">
        <v>0.79652777777777772</v>
      </c>
      <c r="AB332" s="7">
        <v>0.68333333333333335</v>
      </c>
      <c r="AC3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2.4666666666666668</v>
      </c>
    </row>
    <row r="333" spans="2:29" x14ac:dyDescent="0.25">
      <c r="B333" s="3">
        <v>3</v>
      </c>
      <c r="C333">
        <v>0</v>
      </c>
      <c r="D333">
        <v>3</v>
      </c>
      <c r="E333" s="29" t="s">
        <v>26</v>
      </c>
      <c r="F333" s="3">
        <v>529</v>
      </c>
      <c r="G333" s="3">
        <v>529</v>
      </c>
      <c r="H333" s="29" t="s">
        <v>51</v>
      </c>
      <c r="I333" s="3">
        <v>1</v>
      </c>
      <c r="J333" s="7">
        <v>0.65902777777777777</v>
      </c>
      <c r="K333" s="7">
        <v>0.65902777777777777</v>
      </c>
      <c r="L333" s="3">
        <f t="shared" si="11"/>
        <v>1</v>
      </c>
      <c r="M333" s="3">
        <f t="shared" si="12"/>
        <v>1</v>
      </c>
      <c r="N333" s="29">
        <f>_xlfn.MAXIFS($G$7:G332,$E$7:E332,detalhe_carro1[[#This Row],[Nó]],$B$7:B332,detalhe_carro1[[#This Row],[Numero Voltas]],$L$7:L332,1)</f>
        <v>439</v>
      </c>
      <c r="O333" s="3">
        <f>IF(OR(detalhe_carro1[[#This Row],[Ultima Chegada]]=0,detalhe_carro1[[#This Row],[Chegada]]=0),"",detalhe_carro1[[#This Row],[Hora Inicio]]-detalhe_carro1[[#This Row],[Ultima Chegada]])</f>
        <v>90</v>
      </c>
      <c r="P333" s="3">
        <f>IF(detalhe_carro1[[#This Row],[Tipo]]="Visitar Nó",((detalhe_carro1[[#This Row],[Hora Fim]]-detalhe_carro1[[#This Row],[Hora Inicio]])/60*velocidade_nos),0)</f>
        <v>0</v>
      </c>
      <c r="Q333" s="29">
        <f>detalhe_carro1[[#This Row],[Kms Nós]]+detalhe_carro1[[#This Row],[kms]]</f>
        <v>1</v>
      </c>
      <c r="S333" s="20">
        <v>4</v>
      </c>
      <c r="T333" s="20">
        <v>1</v>
      </c>
      <c r="U333" s="20">
        <v>1</v>
      </c>
      <c r="V333" s="20" t="s">
        <v>22</v>
      </c>
      <c r="W333">
        <v>728</v>
      </c>
      <c r="X333">
        <v>734</v>
      </c>
      <c r="Y333">
        <v>711</v>
      </c>
      <c r="Z333" s="7">
        <v>0.79722222222222228</v>
      </c>
      <c r="AA333" s="7">
        <v>0.80138888888888893</v>
      </c>
      <c r="AB333" s="7">
        <v>0.78541666666666665</v>
      </c>
      <c r="AC3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334" spans="2:29" x14ac:dyDescent="0.25">
      <c r="B334" s="3">
        <v>3</v>
      </c>
      <c r="C334">
        <v>0</v>
      </c>
      <c r="D334">
        <v>2</v>
      </c>
      <c r="E334" s="29" t="s">
        <v>24</v>
      </c>
      <c r="F334" s="3">
        <v>530</v>
      </c>
      <c r="G334" s="3">
        <v>530</v>
      </c>
      <c r="H334" s="29" t="s">
        <v>51</v>
      </c>
      <c r="I334" s="3">
        <v>1</v>
      </c>
      <c r="J334" s="7">
        <v>0.65972222222222221</v>
      </c>
      <c r="K334" s="7">
        <v>0.65972222222222221</v>
      </c>
      <c r="L334" s="3">
        <f t="shared" si="11"/>
        <v>1</v>
      </c>
      <c r="M334" s="3">
        <f t="shared" si="12"/>
        <v>1</v>
      </c>
      <c r="N334" s="29">
        <f>_xlfn.MAXIFS($G$7:G333,$E$7:E333,detalhe_carro1[[#This Row],[Nó]],$B$7:B333,detalhe_carro1[[#This Row],[Numero Voltas]],$L$7:L333,1)</f>
        <v>427</v>
      </c>
      <c r="O334" s="3">
        <f>IF(OR(detalhe_carro1[[#This Row],[Ultima Chegada]]=0,detalhe_carro1[[#This Row],[Chegada]]=0),"",detalhe_carro1[[#This Row],[Hora Inicio]]-detalhe_carro1[[#This Row],[Ultima Chegada]])</f>
        <v>103</v>
      </c>
      <c r="P334" s="3">
        <f>IF(detalhe_carro1[[#This Row],[Tipo]]="Visitar Nó",((detalhe_carro1[[#This Row],[Hora Fim]]-detalhe_carro1[[#This Row],[Hora Inicio]])/60*velocidade_nos),0)</f>
        <v>0</v>
      </c>
      <c r="Q334" s="29">
        <f>detalhe_carro1[[#This Row],[Kms Nós]]+detalhe_carro1[[#This Row],[kms]]</f>
        <v>1</v>
      </c>
      <c r="S334" s="20">
        <v>4</v>
      </c>
      <c r="T334" s="20">
        <v>1</v>
      </c>
      <c r="U334" s="20">
        <v>2</v>
      </c>
      <c r="V334" s="20" t="s">
        <v>24</v>
      </c>
      <c r="W334">
        <v>741</v>
      </c>
      <c r="X334">
        <v>762</v>
      </c>
      <c r="Y334">
        <v>692</v>
      </c>
      <c r="Z334" s="7">
        <v>0.80625000000000002</v>
      </c>
      <c r="AA334" s="7">
        <v>0.8208333333333333</v>
      </c>
      <c r="AB334" s="7">
        <v>0.77222222222222225</v>
      </c>
      <c r="AC3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0.81666666666666665</v>
      </c>
    </row>
    <row r="335" spans="2:29" x14ac:dyDescent="0.25">
      <c r="B335" s="3">
        <v>3</v>
      </c>
      <c r="C335">
        <v>0</v>
      </c>
      <c r="D335">
        <v>1</v>
      </c>
      <c r="E335" s="29" t="s">
        <v>22</v>
      </c>
      <c r="F335" s="3">
        <v>537</v>
      </c>
      <c r="G335" s="3">
        <v>537</v>
      </c>
      <c r="H335" s="29" t="s">
        <v>51</v>
      </c>
      <c r="I335" s="3">
        <v>7</v>
      </c>
      <c r="J335" s="7">
        <v>0.6645833333333333</v>
      </c>
      <c r="K335" s="7">
        <v>0.6645833333333333</v>
      </c>
      <c r="L335" s="3">
        <f t="shared" si="11"/>
        <v>1</v>
      </c>
      <c r="M335" s="3">
        <f t="shared" si="12"/>
        <v>1</v>
      </c>
      <c r="N335" s="29">
        <f>_xlfn.MAXIFS($G$7:G334,$E$7:E334,detalhe_carro1[[#This Row],[Nó]],$B$7:B334,detalhe_carro1[[#This Row],[Numero Voltas]],$L$7:L334,1)</f>
        <v>399</v>
      </c>
      <c r="O335" s="3">
        <f>IF(OR(detalhe_carro1[[#This Row],[Ultima Chegada]]=0,detalhe_carro1[[#This Row],[Chegada]]=0),"",detalhe_carro1[[#This Row],[Hora Inicio]]-detalhe_carro1[[#This Row],[Ultima Chegada]])</f>
        <v>138</v>
      </c>
      <c r="P335" s="3">
        <f>IF(detalhe_carro1[[#This Row],[Tipo]]="Visitar Nó",((detalhe_carro1[[#This Row],[Hora Fim]]-detalhe_carro1[[#This Row],[Hora Inicio]])/60*velocidade_nos),0)</f>
        <v>0</v>
      </c>
      <c r="Q335" s="29">
        <f>detalhe_carro1[[#This Row],[Kms Nós]]+detalhe_carro1[[#This Row],[kms]]</f>
        <v>7</v>
      </c>
      <c r="S335" s="20">
        <v>4</v>
      </c>
      <c r="T335" s="20">
        <v>1</v>
      </c>
      <c r="U335" s="20">
        <v>3</v>
      </c>
      <c r="V335" s="20" t="s">
        <v>26</v>
      </c>
      <c r="W335">
        <v>763</v>
      </c>
      <c r="X335">
        <v>774</v>
      </c>
      <c r="Y335">
        <v>676</v>
      </c>
      <c r="Z335" s="7">
        <v>0.82152777777777775</v>
      </c>
      <c r="AA335" s="7">
        <v>0.82916666666666672</v>
      </c>
      <c r="AB335" s="7">
        <v>0.76111111111111107</v>
      </c>
      <c r="AC3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336" spans="2:29" x14ac:dyDescent="0.25">
      <c r="B336" s="3">
        <v>3</v>
      </c>
      <c r="C336">
        <v>0</v>
      </c>
      <c r="D336">
        <v>0</v>
      </c>
      <c r="E336" s="29" t="s">
        <v>20</v>
      </c>
      <c r="F336" s="3">
        <v>538</v>
      </c>
      <c r="G336" s="3">
        <v>538</v>
      </c>
      <c r="H336" s="29" t="s">
        <v>51</v>
      </c>
      <c r="I336" s="3">
        <v>1</v>
      </c>
      <c r="J336" s="7">
        <v>0.66527777777777775</v>
      </c>
      <c r="K336" s="7">
        <v>0.66527777777777775</v>
      </c>
      <c r="L336" s="3">
        <f t="shared" si="11"/>
        <v>0</v>
      </c>
      <c r="M336" s="3">
        <f t="shared" si="12"/>
        <v>1</v>
      </c>
      <c r="N336" s="29">
        <f>_xlfn.MAXIFS($G$7:G335,$E$7:E335,detalhe_carro1[[#This Row],[Nó]],$B$7:B335,detalhe_carro1[[#This Row],[Numero Voltas]],$L$7:L335,1)</f>
        <v>392</v>
      </c>
      <c r="O336" s="3">
        <f>IF(OR(detalhe_carro1[[#This Row],[Ultima Chegada]]=0,detalhe_carro1[[#This Row],[Chegada]]=0),"",detalhe_carro1[[#This Row],[Hora Inicio]]-detalhe_carro1[[#This Row],[Ultima Chegada]])</f>
        <v>146</v>
      </c>
      <c r="P336" s="3">
        <f>IF(detalhe_carro1[[#This Row],[Tipo]]="Visitar Nó",((detalhe_carro1[[#This Row],[Hora Fim]]-detalhe_carro1[[#This Row],[Hora Inicio]])/60*velocidade_nos),0)</f>
        <v>0</v>
      </c>
      <c r="Q336" s="29">
        <f>detalhe_carro1[[#This Row],[Kms Nós]]+detalhe_carro1[[#This Row],[kms]]</f>
        <v>1</v>
      </c>
      <c r="S336" s="20">
        <v>4</v>
      </c>
      <c r="T336" s="20">
        <v>1</v>
      </c>
      <c r="U336" s="20">
        <v>4</v>
      </c>
      <c r="V336" s="20" t="s">
        <v>27</v>
      </c>
      <c r="W336">
        <v>775</v>
      </c>
      <c r="X336">
        <v>789</v>
      </c>
      <c r="Y336">
        <v>664</v>
      </c>
      <c r="Z336" s="7">
        <v>0.82986111111111116</v>
      </c>
      <c r="AA336" s="7">
        <v>0.83958333333333335</v>
      </c>
      <c r="AB336" s="7">
        <v>0.75277777777777777</v>
      </c>
      <c r="AC3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1.85</v>
      </c>
    </row>
    <row r="337" spans="2:29" x14ac:dyDescent="0.25">
      <c r="B337" s="3">
        <v>3</v>
      </c>
      <c r="C337">
        <v>0</v>
      </c>
      <c r="D337">
        <v>0</v>
      </c>
      <c r="E337" s="29" t="s">
        <v>20</v>
      </c>
      <c r="F337" s="3">
        <v>538</v>
      </c>
      <c r="G337" s="3">
        <v>538</v>
      </c>
      <c r="H337" s="29" t="s">
        <v>51</v>
      </c>
      <c r="I337" s="3">
        <v>1</v>
      </c>
      <c r="J337" s="7">
        <v>0.66527777777777775</v>
      </c>
      <c r="K337" s="7">
        <v>0.66527777777777775</v>
      </c>
      <c r="L337" s="3">
        <f t="shared" si="11"/>
        <v>1</v>
      </c>
      <c r="M337" s="3">
        <f t="shared" si="12"/>
        <v>0</v>
      </c>
      <c r="N337" s="29">
        <f>_xlfn.MAXIFS($G$7:G336,$E$7:E336,detalhe_carro1[[#This Row],[Nó]],$B$7:B336,detalhe_carro1[[#This Row],[Numero Voltas]],$L$7:L336,1)</f>
        <v>392</v>
      </c>
      <c r="O337" s="3" t="str">
        <f>IF(OR(detalhe_carro1[[#This Row],[Ultima Chegada]]=0,detalhe_carro1[[#This Row],[Chegada]]=0),"",detalhe_carro1[[#This Row],[Hora Inicio]]-detalhe_carro1[[#This Row],[Ultima Chegada]])</f>
        <v/>
      </c>
      <c r="P337" s="3">
        <f>IF(detalhe_carro1[[#This Row],[Tipo]]="Visitar Nó",((detalhe_carro1[[#This Row],[Hora Fim]]-detalhe_carro1[[#This Row],[Hora Inicio]])/60*velocidade_nos),0)</f>
        <v>0</v>
      </c>
      <c r="Q337" s="29">
        <f>detalhe_carro1[[#This Row],[Kms Nós]]+detalhe_carro1[[#This Row],[kms]]</f>
        <v>1</v>
      </c>
      <c r="S337" s="20">
        <v>4</v>
      </c>
      <c r="T337" s="20">
        <v>1</v>
      </c>
      <c r="U337" s="20">
        <v>5</v>
      </c>
      <c r="V337" s="20" t="s">
        <v>29</v>
      </c>
      <c r="W337">
        <v>792</v>
      </c>
      <c r="X337">
        <v>836</v>
      </c>
      <c r="Y337">
        <v>645</v>
      </c>
      <c r="Z337" s="7">
        <v>0.84166666666666667</v>
      </c>
      <c r="AA337" s="7">
        <v>0.87222222222222223</v>
      </c>
      <c r="AB337" s="7">
        <v>0.73958333333333337</v>
      </c>
      <c r="AC3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2.4500000000000002</v>
      </c>
    </row>
    <row r="338" spans="2:29" x14ac:dyDescent="0.25">
      <c r="B338" s="3">
        <v>3</v>
      </c>
      <c r="C338">
        <v>0</v>
      </c>
      <c r="D338">
        <v>1</v>
      </c>
      <c r="E338" s="29" t="s">
        <v>22</v>
      </c>
      <c r="F338" s="3">
        <v>539</v>
      </c>
      <c r="G338" s="3">
        <v>539</v>
      </c>
      <c r="H338" s="29" t="s">
        <v>51</v>
      </c>
      <c r="I338" s="3">
        <v>1</v>
      </c>
      <c r="J338" s="7">
        <v>0.66597222222222219</v>
      </c>
      <c r="K338" s="7">
        <v>0.66597222222222219</v>
      </c>
      <c r="L338" s="3">
        <f t="shared" si="11"/>
        <v>1</v>
      </c>
      <c r="M338" s="3">
        <f t="shared" si="12"/>
        <v>1</v>
      </c>
      <c r="N338" s="29">
        <f>_xlfn.MAXIFS($G$7:G337,$E$7:E337,detalhe_carro1[[#This Row],[Nó]],$B$7:B337,detalhe_carro1[[#This Row],[Numero Voltas]],$L$7:L337,1)</f>
        <v>537</v>
      </c>
      <c r="O338" s="3">
        <f>IF(OR(detalhe_carro1[[#This Row],[Ultima Chegada]]=0,detalhe_carro1[[#This Row],[Chegada]]=0),"",detalhe_carro1[[#This Row],[Hora Inicio]]-detalhe_carro1[[#This Row],[Ultima Chegada]])</f>
        <v>2</v>
      </c>
      <c r="P338" s="3">
        <f>IF(detalhe_carro1[[#This Row],[Tipo]]="Visitar Nó",((detalhe_carro1[[#This Row],[Hora Fim]]-detalhe_carro1[[#This Row],[Hora Inicio]])/60*velocidade_nos),0)</f>
        <v>0</v>
      </c>
      <c r="Q338" s="29">
        <f>detalhe_carro1[[#This Row],[Kms Nós]]+detalhe_carro1[[#This Row],[kms]]</f>
        <v>1</v>
      </c>
      <c r="S338" s="20">
        <v>4</v>
      </c>
      <c r="T338" s="20">
        <v>1</v>
      </c>
      <c r="U338" s="20">
        <v>6</v>
      </c>
      <c r="V338" s="20" t="s">
        <v>31</v>
      </c>
      <c r="W338">
        <v>839</v>
      </c>
      <c r="X338">
        <v>851</v>
      </c>
      <c r="Y338">
        <v>611</v>
      </c>
      <c r="Z338" s="7">
        <v>0.87430555555555556</v>
      </c>
      <c r="AA338" s="7">
        <v>0.88263888888888886</v>
      </c>
      <c r="AB338" s="7">
        <v>0.71597222222222223</v>
      </c>
      <c r="AC3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3.8</v>
      </c>
    </row>
    <row r="339" spans="2:29" x14ac:dyDescent="0.25">
      <c r="B339" s="3">
        <v>3</v>
      </c>
      <c r="C339">
        <v>0</v>
      </c>
      <c r="D339">
        <v>2</v>
      </c>
      <c r="E339" s="29" t="s">
        <v>24</v>
      </c>
      <c r="F339" s="3">
        <v>546</v>
      </c>
      <c r="G339" s="3">
        <v>546</v>
      </c>
      <c r="H339" s="29" t="s">
        <v>51</v>
      </c>
      <c r="I339" s="3">
        <v>7</v>
      </c>
      <c r="J339" s="7">
        <v>0.67083333333333328</v>
      </c>
      <c r="K339" s="7">
        <v>0.67083333333333328</v>
      </c>
      <c r="L339" s="3">
        <f t="shared" si="11"/>
        <v>1</v>
      </c>
      <c r="M339" s="3">
        <f t="shared" si="12"/>
        <v>1</v>
      </c>
      <c r="N339" s="29">
        <f>_xlfn.MAXIFS($G$7:G338,$E$7:E338,detalhe_carro1[[#This Row],[Nó]],$B$7:B338,detalhe_carro1[[#This Row],[Numero Voltas]],$L$7:L338,1)</f>
        <v>530</v>
      </c>
      <c r="O339" s="3">
        <f>IF(OR(detalhe_carro1[[#This Row],[Ultima Chegada]]=0,detalhe_carro1[[#This Row],[Chegada]]=0),"",detalhe_carro1[[#This Row],[Hora Inicio]]-detalhe_carro1[[#This Row],[Ultima Chegada]])</f>
        <v>16</v>
      </c>
      <c r="P339" s="3">
        <f>IF(detalhe_carro1[[#This Row],[Tipo]]="Visitar Nó",((detalhe_carro1[[#This Row],[Hora Fim]]-detalhe_carro1[[#This Row],[Hora Inicio]])/60*velocidade_nos),0)</f>
        <v>0</v>
      </c>
      <c r="Q339" s="29">
        <f>detalhe_carro1[[#This Row],[Kms Nós]]+detalhe_carro1[[#This Row],[kms]]</f>
        <v>7</v>
      </c>
      <c r="S339" s="20">
        <v>4</v>
      </c>
      <c r="T339" s="20">
        <v>1</v>
      </c>
      <c r="U339" s="20">
        <v>7</v>
      </c>
      <c r="V339" s="20" t="s">
        <v>33</v>
      </c>
      <c r="W339">
        <v>854</v>
      </c>
      <c r="X339">
        <v>854</v>
      </c>
      <c r="Y339">
        <v>583</v>
      </c>
      <c r="Z339" s="7">
        <v>0.88472222222222219</v>
      </c>
      <c r="AA339" s="7">
        <v>0.88472222222222219</v>
      </c>
      <c r="AB339" s="7">
        <v>0.69652777777777775</v>
      </c>
      <c r="AC33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4.5166666666666666</v>
      </c>
    </row>
    <row r="340" spans="2:29" x14ac:dyDescent="0.25">
      <c r="B340" s="3">
        <v>3</v>
      </c>
      <c r="C340">
        <v>0</v>
      </c>
      <c r="D340">
        <v>3</v>
      </c>
      <c r="E340" s="29" t="s">
        <v>26</v>
      </c>
      <c r="F340" s="3">
        <v>547</v>
      </c>
      <c r="G340" s="3">
        <v>547</v>
      </c>
      <c r="H340" s="29" t="s">
        <v>51</v>
      </c>
      <c r="I340" s="3">
        <v>1</v>
      </c>
      <c r="J340" s="7">
        <v>0.67152777777777772</v>
      </c>
      <c r="K340" s="7">
        <v>0.67152777777777772</v>
      </c>
      <c r="L340" s="3">
        <f t="shared" si="11"/>
        <v>1</v>
      </c>
      <c r="M340" s="3">
        <f t="shared" si="12"/>
        <v>1</v>
      </c>
      <c r="N340" s="29">
        <f>_xlfn.MAXIFS($G$7:G339,$E$7:E339,detalhe_carro1[[#This Row],[Nó]],$B$7:B339,detalhe_carro1[[#This Row],[Numero Voltas]],$L$7:L339,1)</f>
        <v>529</v>
      </c>
      <c r="O340" s="3">
        <f>IF(OR(detalhe_carro1[[#This Row],[Ultima Chegada]]=0,detalhe_carro1[[#This Row],[Chegada]]=0),"",detalhe_carro1[[#This Row],[Hora Inicio]]-detalhe_carro1[[#This Row],[Ultima Chegada]])</f>
        <v>18</v>
      </c>
      <c r="P340" s="3">
        <f>IF(detalhe_carro1[[#This Row],[Tipo]]="Visitar Nó",((detalhe_carro1[[#This Row],[Hora Fim]]-detalhe_carro1[[#This Row],[Hora Inicio]])/60*velocidade_nos),0)</f>
        <v>0</v>
      </c>
      <c r="Q340" s="29">
        <f>detalhe_carro1[[#This Row],[Kms Nós]]+detalhe_carro1[[#This Row],[kms]]</f>
        <v>1</v>
      </c>
      <c r="S340" s="20">
        <v>4</v>
      </c>
      <c r="T340" s="20">
        <v>1</v>
      </c>
      <c r="U340" s="20">
        <v>6</v>
      </c>
      <c r="V340" s="20" t="s">
        <v>31</v>
      </c>
      <c r="W340">
        <v>857</v>
      </c>
      <c r="X340">
        <v>857</v>
      </c>
      <c r="Y340">
        <v>851</v>
      </c>
      <c r="Z340" s="7">
        <v>0.88680555555555551</v>
      </c>
      <c r="AA340" s="7">
        <v>0.88680555555555551</v>
      </c>
      <c r="AB340" s="7">
        <v>0.88263888888888886</v>
      </c>
      <c r="AC34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341" spans="2:29" x14ac:dyDescent="0.25">
      <c r="B341" s="3">
        <v>3</v>
      </c>
      <c r="C341">
        <v>0</v>
      </c>
      <c r="D341">
        <v>4</v>
      </c>
      <c r="E341" s="29" t="s">
        <v>27</v>
      </c>
      <c r="F341" s="3">
        <v>548</v>
      </c>
      <c r="G341" s="3">
        <v>548</v>
      </c>
      <c r="H341" s="29" t="s">
        <v>51</v>
      </c>
      <c r="I341" s="3">
        <v>1</v>
      </c>
      <c r="J341" s="7">
        <v>0.67222222222222228</v>
      </c>
      <c r="K341" s="7">
        <v>0.67222222222222228</v>
      </c>
      <c r="L341" s="3">
        <f t="shared" si="11"/>
        <v>1</v>
      </c>
      <c r="M341" s="3">
        <f t="shared" si="12"/>
        <v>1</v>
      </c>
      <c r="N341" s="29">
        <f>_xlfn.MAXIFS($G$7:G340,$E$7:E340,detalhe_carro1[[#This Row],[Nó]],$B$7:B340,detalhe_carro1[[#This Row],[Numero Voltas]],$L$7:L340,1)</f>
        <v>528</v>
      </c>
      <c r="O341" s="3">
        <f>IF(OR(detalhe_carro1[[#This Row],[Ultima Chegada]]=0,detalhe_carro1[[#This Row],[Chegada]]=0),"",detalhe_carro1[[#This Row],[Hora Inicio]]-detalhe_carro1[[#This Row],[Ultima Chegada]])</f>
        <v>20</v>
      </c>
      <c r="P341" s="3">
        <f>IF(detalhe_carro1[[#This Row],[Tipo]]="Visitar Nó",((detalhe_carro1[[#This Row],[Hora Fim]]-detalhe_carro1[[#This Row],[Hora Inicio]])/60*velocidade_nos),0)</f>
        <v>0</v>
      </c>
      <c r="Q341" s="29">
        <f>detalhe_carro1[[#This Row],[Kms Nós]]+detalhe_carro1[[#This Row],[kms]]</f>
        <v>1</v>
      </c>
      <c r="S341" s="20">
        <v>4</v>
      </c>
      <c r="T341" s="20">
        <v>1</v>
      </c>
      <c r="U341" s="20">
        <v>5</v>
      </c>
      <c r="V341" s="20" t="s">
        <v>29</v>
      </c>
      <c r="W341">
        <v>860</v>
      </c>
      <c r="X341">
        <v>860</v>
      </c>
      <c r="Y341">
        <v>836</v>
      </c>
      <c r="Z341" s="7">
        <v>0.88888888888888884</v>
      </c>
      <c r="AA341" s="7">
        <v>0.88888888888888884</v>
      </c>
      <c r="AB341" s="7">
        <v>0.87222222222222223</v>
      </c>
      <c r="AC34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</v>
      </c>
    </row>
    <row r="342" spans="2:29" x14ac:dyDescent="0.25">
      <c r="B342" s="3">
        <v>3</v>
      </c>
      <c r="C342">
        <v>0</v>
      </c>
      <c r="D342">
        <v>5</v>
      </c>
      <c r="E342" s="29" t="s">
        <v>29</v>
      </c>
      <c r="F342" s="3">
        <v>551</v>
      </c>
      <c r="G342" s="3">
        <v>551</v>
      </c>
      <c r="H342" s="29" t="s">
        <v>51</v>
      </c>
      <c r="I342" s="3">
        <v>3</v>
      </c>
      <c r="J342" s="7">
        <v>0.6743055555555556</v>
      </c>
      <c r="K342" s="7">
        <v>0.6743055555555556</v>
      </c>
      <c r="L342" s="3">
        <f t="shared" si="11"/>
        <v>1</v>
      </c>
      <c r="M342" s="3">
        <f t="shared" si="12"/>
        <v>1</v>
      </c>
      <c r="N342" s="29">
        <f>_xlfn.MAXIFS($G$7:G341,$E$7:E341,detalhe_carro1[[#This Row],[Nó]],$B$7:B341,detalhe_carro1[[#This Row],[Numero Voltas]],$L$7:L341,1)</f>
        <v>525</v>
      </c>
      <c r="O342" s="3">
        <f>IF(OR(detalhe_carro1[[#This Row],[Ultima Chegada]]=0,detalhe_carro1[[#This Row],[Chegada]]=0),"",detalhe_carro1[[#This Row],[Hora Inicio]]-detalhe_carro1[[#This Row],[Ultima Chegada]])</f>
        <v>26</v>
      </c>
      <c r="P342" s="3">
        <f>IF(detalhe_carro1[[#This Row],[Tipo]]="Visitar Nó",((detalhe_carro1[[#This Row],[Hora Fim]]-detalhe_carro1[[#This Row],[Hora Inicio]])/60*velocidade_nos),0)</f>
        <v>0</v>
      </c>
      <c r="Q342" s="29">
        <f>detalhe_carro1[[#This Row],[Kms Nós]]+detalhe_carro1[[#This Row],[kms]]</f>
        <v>3</v>
      </c>
      <c r="S342" s="20">
        <v>4</v>
      </c>
      <c r="T342" s="20">
        <v>1</v>
      </c>
      <c r="U342" s="20">
        <v>4</v>
      </c>
      <c r="V342" s="20" t="s">
        <v>27</v>
      </c>
      <c r="W342">
        <v>863</v>
      </c>
      <c r="X342">
        <v>863</v>
      </c>
      <c r="Y342">
        <v>789</v>
      </c>
      <c r="Z342" s="7">
        <v>0.89097222222222228</v>
      </c>
      <c r="AA342" s="7">
        <v>0.89097222222222228</v>
      </c>
      <c r="AB342" s="7">
        <v>0.83958333333333335</v>
      </c>
      <c r="AC34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1.2333333333333334</v>
      </c>
    </row>
    <row r="343" spans="2:29" x14ac:dyDescent="0.25">
      <c r="B343" s="3">
        <v>3</v>
      </c>
      <c r="C343">
        <v>0</v>
      </c>
      <c r="D343">
        <v>6</v>
      </c>
      <c r="E343" s="29" t="s">
        <v>31</v>
      </c>
      <c r="F343" s="3">
        <v>554</v>
      </c>
      <c r="G343" s="3">
        <v>554</v>
      </c>
      <c r="H343" s="29" t="s">
        <v>51</v>
      </c>
      <c r="I343" s="3">
        <v>3</v>
      </c>
      <c r="J343" s="7">
        <v>0.67638888888888893</v>
      </c>
      <c r="K343" s="7">
        <v>0.67638888888888893</v>
      </c>
      <c r="L343" s="3">
        <f t="shared" si="11"/>
        <v>1</v>
      </c>
      <c r="M343" s="3">
        <f t="shared" si="12"/>
        <v>1</v>
      </c>
      <c r="N343" s="29">
        <f>_xlfn.MAXIFS($G$7:G342,$E$7:E342,detalhe_carro1[[#This Row],[Nó]],$B$7:B342,detalhe_carro1[[#This Row],[Numero Voltas]],$L$7:L342,1)</f>
        <v>522</v>
      </c>
      <c r="O343" s="3">
        <f>IF(OR(detalhe_carro1[[#This Row],[Ultima Chegada]]=0,detalhe_carro1[[#This Row],[Chegada]]=0),"",detalhe_carro1[[#This Row],[Hora Inicio]]-detalhe_carro1[[#This Row],[Ultima Chegada]])</f>
        <v>32</v>
      </c>
      <c r="P343" s="3">
        <f>IF(detalhe_carro1[[#This Row],[Tipo]]="Visitar Nó",((detalhe_carro1[[#This Row],[Hora Fim]]-detalhe_carro1[[#This Row],[Hora Inicio]])/60*velocidade_nos),0)</f>
        <v>0</v>
      </c>
      <c r="Q343" s="29">
        <f>detalhe_carro1[[#This Row],[Kms Nós]]+detalhe_carro1[[#This Row],[kms]]</f>
        <v>3</v>
      </c>
      <c r="S343" s="20">
        <v>4</v>
      </c>
      <c r="T343" s="20">
        <v>1</v>
      </c>
      <c r="U343" s="20">
        <v>3</v>
      </c>
      <c r="V343" s="20" t="s">
        <v>26</v>
      </c>
      <c r="W343">
        <v>864</v>
      </c>
      <c r="X343">
        <v>864</v>
      </c>
      <c r="Y343">
        <v>774</v>
      </c>
      <c r="Z343" s="7">
        <v>0.89166666666666672</v>
      </c>
      <c r="AA343" s="7">
        <v>0.89166666666666672</v>
      </c>
      <c r="AB343" s="7">
        <v>0.82916666666666672</v>
      </c>
      <c r="AC34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</v>
      </c>
    </row>
    <row r="344" spans="2:29" x14ac:dyDescent="0.25">
      <c r="B344" s="3">
        <v>3</v>
      </c>
      <c r="C344">
        <v>0</v>
      </c>
      <c r="D344">
        <v>7</v>
      </c>
      <c r="E344" s="29" t="s">
        <v>33</v>
      </c>
      <c r="F344" s="3">
        <v>557</v>
      </c>
      <c r="G344" s="3">
        <v>557</v>
      </c>
      <c r="H344" s="29" t="s">
        <v>51</v>
      </c>
      <c r="I344" s="3">
        <v>3</v>
      </c>
      <c r="J344" s="7">
        <v>0.67847222222222225</v>
      </c>
      <c r="K344" s="7">
        <v>0.67847222222222225</v>
      </c>
      <c r="L344" s="3">
        <f t="shared" si="11"/>
        <v>0</v>
      </c>
      <c r="M344" s="3">
        <f t="shared" si="12"/>
        <v>1</v>
      </c>
      <c r="N344" s="29">
        <f>_xlfn.MAXIFS($G$7:G343,$E$7:E343,detalhe_carro1[[#This Row],[Nó]],$B$7:B343,detalhe_carro1[[#This Row],[Numero Voltas]],$L$7:L343,1)</f>
        <v>519</v>
      </c>
      <c r="O344" s="3">
        <f>IF(OR(detalhe_carro1[[#This Row],[Ultima Chegada]]=0,detalhe_carro1[[#This Row],[Chegada]]=0),"",detalhe_carro1[[#This Row],[Hora Inicio]]-detalhe_carro1[[#This Row],[Ultima Chegada]])</f>
        <v>38</v>
      </c>
      <c r="P344" s="3">
        <f>IF(detalhe_carro1[[#This Row],[Tipo]]="Visitar Nó",((detalhe_carro1[[#This Row],[Hora Fim]]-detalhe_carro1[[#This Row],[Hora Inicio]])/60*velocidade_nos),0)</f>
        <v>0</v>
      </c>
      <c r="Q344" s="29">
        <f>detalhe_carro1[[#This Row],[Kms Nós]]+detalhe_carro1[[#This Row],[kms]]</f>
        <v>3</v>
      </c>
      <c r="S344" s="20">
        <v>4</v>
      </c>
      <c r="T344" s="20">
        <v>1</v>
      </c>
      <c r="U344" s="20">
        <v>2</v>
      </c>
      <c r="V344" s="20" t="s">
        <v>24</v>
      </c>
      <c r="W344">
        <v>865</v>
      </c>
      <c r="X344">
        <v>865</v>
      </c>
      <c r="Y344">
        <v>762</v>
      </c>
      <c r="Z344" s="7">
        <v>0.89236111111111116</v>
      </c>
      <c r="AA344" s="7">
        <v>0.89236111111111116</v>
      </c>
      <c r="AB344" s="7">
        <v>0.8208333333333333</v>
      </c>
      <c r="AC34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</row>
    <row r="345" spans="2:29" x14ac:dyDescent="0.25">
      <c r="B345" s="3">
        <v>3</v>
      </c>
      <c r="C345">
        <v>0</v>
      </c>
      <c r="D345">
        <v>7</v>
      </c>
      <c r="E345" s="29" t="s">
        <v>33</v>
      </c>
      <c r="F345" s="3">
        <v>557</v>
      </c>
      <c r="G345" s="3">
        <v>557</v>
      </c>
      <c r="H345" s="29" t="s">
        <v>51</v>
      </c>
      <c r="I345" s="3">
        <v>3</v>
      </c>
      <c r="J345" s="7">
        <v>0.67847222222222225</v>
      </c>
      <c r="K345" s="7">
        <v>0.67847222222222225</v>
      </c>
      <c r="L345" s="3">
        <f t="shared" si="11"/>
        <v>1</v>
      </c>
      <c r="M345" s="3">
        <f t="shared" si="12"/>
        <v>0</v>
      </c>
      <c r="N345" s="29">
        <f>_xlfn.MAXIFS($G$7:G344,$E$7:E344,detalhe_carro1[[#This Row],[Nó]],$B$7:B344,detalhe_carro1[[#This Row],[Numero Voltas]],$L$7:L344,1)</f>
        <v>519</v>
      </c>
      <c r="O345" s="3" t="str">
        <f>IF(OR(detalhe_carro1[[#This Row],[Ultima Chegada]]=0,detalhe_carro1[[#This Row],[Chegada]]=0),"",detalhe_carro1[[#This Row],[Hora Inicio]]-detalhe_carro1[[#This Row],[Ultima Chegada]])</f>
        <v/>
      </c>
      <c r="P345" s="3">
        <f>IF(detalhe_carro1[[#This Row],[Tipo]]="Visitar Nó",((detalhe_carro1[[#This Row],[Hora Fim]]-detalhe_carro1[[#This Row],[Hora Inicio]])/60*velocidade_nos),0)</f>
        <v>0</v>
      </c>
      <c r="Q345" s="29">
        <f>detalhe_carro1[[#This Row],[Kms Nós]]+detalhe_carro1[[#This Row],[kms]]</f>
        <v>3</v>
      </c>
      <c r="S345" s="20">
        <v>4</v>
      </c>
      <c r="T345" s="20">
        <v>1</v>
      </c>
      <c r="U345" s="20">
        <v>1</v>
      </c>
      <c r="V345" s="20" t="s">
        <v>22</v>
      </c>
      <c r="W345">
        <v>872</v>
      </c>
      <c r="X345">
        <v>872</v>
      </c>
      <c r="Y345">
        <v>734</v>
      </c>
      <c r="Z345" s="7">
        <v>0.89722222222222225</v>
      </c>
      <c r="AA345" s="7">
        <v>0.89722222222222225</v>
      </c>
      <c r="AB345" s="7">
        <v>0.80138888888888893</v>
      </c>
      <c r="AC34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2.2999999999999998</v>
      </c>
    </row>
    <row r="346" spans="2:29" x14ac:dyDescent="0.25">
      <c r="B346" s="3">
        <v>3</v>
      </c>
      <c r="C346">
        <v>0</v>
      </c>
      <c r="D346">
        <v>6</v>
      </c>
      <c r="E346" s="29" t="s">
        <v>31</v>
      </c>
      <c r="F346" s="3">
        <v>560</v>
      </c>
      <c r="G346" s="3">
        <v>560</v>
      </c>
      <c r="H346" s="29" t="s">
        <v>51</v>
      </c>
      <c r="I346" s="3">
        <v>3</v>
      </c>
      <c r="J346" s="7">
        <v>0.68055555555555558</v>
      </c>
      <c r="K346" s="7">
        <v>0.68055555555555558</v>
      </c>
      <c r="L346" s="3">
        <f t="shared" si="11"/>
        <v>1</v>
      </c>
      <c r="M346" s="3">
        <f t="shared" si="12"/>
        <v>1</v>
      </c>
      <c r="N346" s="29">
        <f>_xlfn.MAXIFS($G$7:G345,$E$7:E345,detalhe_carro1[[#This Row],[Nó]],$B$7:B345,detalhe_carro1[[#This Row],[Numero Voltas]],$L$7:L345,1)</f>
        <v>554</v>
      </c>
      <c r="O346" s="3">
        <f>IF(OR(detalhe_carro1[[#This Row],[Ultima Chegada]]=0,detalhe_carro1[[#This Row],[Chegada]]=0),"",detalhe_carro1[[#This Row],[Hora Inicio]]-detalhe_carro1[[#This Row],[Ultima Chegada]])</f>
        <v>6</v>
      </c>
      <c r="P346" s="3">
        <f>IF(detalhe_carro1[[#This Row],[Tipo]]="Visitar Nó",((detalhe_carro1[[#This Row],[Hora Fim]]-detalhe_carro1[[#This Row],[Hora Inicio]])/60*velocidade_nos),0)</f>
        <v>0</v>
      </c>
      <c r="Q346" s="29">
        <f>detalhe_carro1[[#This Row],[Kms Nós]]+detalhe_carro1[[#This Row],[kms]]</f>
        <v>3</v>
      </c>
      <c r="S346" s="20">
        <v>4</v>
      </c>
      <c r="T346" s="20">
        <v>1</v>
      </c>
      <c r="U346" s="20">
        <v>0</v>
      </c>
      <c r="V346" s="20" t="s">
        <v>20</v>
      </c>
      <c r="W346">
        <v>873</v>
      </c>
      <c r="X346">
        <v>873</v>
      </c>
      <c r="Y346">
        <v>727</v>
      </c>
      <c r="Z346" s="7">
        <v>0.8979166666666667</v>
      </c>
      <c r="AA346" s="7">
        <v>0.8979166666666667</v>
      </c>
      <c r="AB346" s="7">
        <v>0.79652777777777772</v>
      </c>
      <c r="AC34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2.4333333333333331</v>
      </c>
    </row>
    <row r="347" spans="2:29" x14ac:dyDescent="0.25">
      <c r="B347" s="3">
        <v>3</v>
      </c>
      <c r="C347">
        <v>0</v>
      </c>
      <c r="D347">
        <v>5</v>
      </c>
      <c r="E347" s="29" t="s">
        <v>29</v>
      </c>
      <c r="F347" s="3">
        <v>563</v>
      </c>
      <c r="G347" s="3">
        <v>563</v>
      </c>
      <c r="H347" s="29" t="s">
        <v>51</v>
      </c>
      <c r="I347" s="3">
        <v>3</v>
      </c>
      <c r="J347" s="7">
        <v>0.68263888888888891</v>
      </c>
      <c r="K347" s="7">
        <v>0.68263888888888891</v>
      </c>
      <c r="L347" s="3">
        <f t="shared" si="11"/>
        <v>1</v>
      </c>
      <c r="M347" s="3">
        <f t="shared" si="12"/>
        <v>1</v>
      </c>
      <c r="N347" s="29">
        <f>_xlfn.MAXIFS($G$7:G346,$E$7:E346,detalhe_carro1[[#This Row],[Nó]],$B$7:B346,detalhe_carro1[[#This Row],[Numero Voltas]],$L$7:L346,1)</f>
        <v>551</v>
      </c>
      <c r="O347" s="3">
        <f>IF(OR(detalhe_carro1[[#This Row],[Ultima Chegada]]=0,detalhe_carro1[[#This Row],[Chegada]]=0),"",detalhe_carro1[[#This Row],[Hora Inicio]]-detalhe_carro1[[#This Row],[Ultima Chegada]])</f>
        <v>12</v>
      </c>
      <c r="P347" s="3">
        <f>IF(detalhe_carro1[[#This Row],[Tipo]]="Visitar Nó",((detalhe_carro1[[#This Row],[Hora Fim]]-detalhe_carro1[[#This Row],[Hora Inicio]])/60*velocidade_nos),0)</f>
        <v>0</v>
      </c>
      <c r="Q347" s="29">
        <f>detalhe_carro1[[#This Row],[Kms Nós]]+detalhe_carro1[[#This Row],[kms]]</f>
        <v>3</v>
      </c>
      <c r="S347" s="20">
        <v>4</v>
      </c>
      <c r="T347" s="20">
        <v>1</v>
      </c>
      <c r="U347" s="20">
        <v>1</v>
      </c>
      <c r="V347" s="20" t="s">
        <v>22</v>
      </c>
      <c r="W347">
        <v>874</v>
      </c>
      <c r="X347">
        <v>874</v>
      </c>
      <c r="Y347">
        <v>872</v>
      </c>
      <c r="Z347" s="7">
        <v>0.89861111111111114</v>
      </c>
      <c r="AA347" s="7">
        <v>0.89861111111111114</v>
      </c>
      <c r="AB347" s="7">
        <v>0.89722222222222225</v>
      </c>
      <c r="AC34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48" spans="2:29" x14ac:dyDescent="0.25">
      <c r="B348" s="3">
        <v>3</v>
      </c>
      <c r="C348">
        <v>0</v>
      </c>
      <c r="D348">
        <v>4</v>
      </c>
      <c r="E348" s="29" t="s">
        <v>27</v>
      </c>
      <c r="F348" s="3">
        <v>566</v>
      </c>
      <c r="G348" s="3">
        <v>566</v>
      </c>
      <c r="H348" s="29" t="s">
        <v>51</v>
      </c>
      <c r="I348" s="3">
        <v>3</v>
      </c>
      <c r="J348" s="7">
        <v>0.68472222222222223</v>
      </c>
      <c r="K348" s="7">
        <v>0.68472222222222223</v>
      </c>
      <c r="L348" s="3">
        <f t="shared" si="11"/>
        <v>1</v>
      </c>
      <c r="M348" s="3">
        <f t="shared" si="12"/>
        <v>1</v>
      </c>
      <c r="N348" s="29">
        <f>_xlfn.MAXIFS($G$7:G347,$E$7:E347,detalhe_carro1[[#This Row],[Nó]],$B$7:B347,detalhe_carro1[[#This Row],[Numero Voltas]],$L$7:L347,1)</f>
        <v>548</v>
      </c>
      <c r="O348" s="3">
        <f>IF(OR(detalhe_carro1[[#This Row],[Ultima Chegada]]=0,detalhe_carro1[[#This Row],[Chegada]]=0),"",detalhe_carro1[[#This Row],[Hora Inicio]]-detalhe_carro1[[#This Row],[Ultima Chegada]])</f>
        <v>18</v>
      </c>
      <c r="P348" s="3">
        <f>IF(detalhe_carro1[[#This Row],[Tipo]]="Visitar Nó",((detalhe_carro1[[#This Row],[Hora Fim]]-detalhe_carro1[[#This Row],[Hora Inicio]])/60*velocidade_nos),0)</f>
        <v>0</v>
      </c>
      <c r="Q348" s="29">
        <f>detalhe_carro1[[#This Row],[Kms Nós]]+detalhe_carro1[[#This Row],[kms]]</f>
        <v>3</v>
      </c>
      <c r="S348" s="20">
        <v>4</v>
      </c>
      <c r="T348" s="20">
        <v>1</v>
      </c>
      <c r="U348" s="20">
        <v>2</v>
      </c>
      <c r="V348" s="20" t="s">
        <v>24</v>
      </c>
      <c r="W348">
        <v>881</v>
      </c>
      <c r="X348">
        <v>881</v>
      </c>
      <c r="Y348">
        <v>865</v>
      </c>
      <c r="Z348" s="7">
        <v>0.90347222222222223</v>
      </c>
      <c r="AA348" s="7">
        <v>0.90347222222222223</v>
      </c>
      <c r="AB348" s="7">
        <v>0.89236111111111116</v>
      </c>
      <c r="AC34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49" spans="2:29" x14ac:dyDescent="0.25">
      <c r="B349" s="3">
        <v>3</v>
      </c>
      <c r="C349">
        <v>0</v>
      </c>
      <c r="D349">
        <v>3</v>
      </c>
      <c r="E349" s="29" t="s">
        <v>26</v>
      </c>
      <c r="F349" s="3">
        <v>567</v>
      </c>
      <c r="G349" s="3">
        <v>567</v>
      </c>
      <c r="H349" s="29" t="s">
        <v>51</v>
      </c>
      <c r="I349" s="3">
        <v>1</v>
      </c>
      <c r="J349" s="7">
        <v>0.68541666666666667</v>
      </c>
      <c r="K349" s="7">
        <v>0.68541666666666667</v>
      </c>
      <c r="L349" s="3">
        <f t="shared" si="11"/>
        <v>1</v>
      </c>
      <c r="M349" s="3">
        <f t="shared" si="12"/>
        <v>1</v>
      </c>
      <c r="N349" s="29">
        <f>_xlfn.MAXIFS($G$7:G348,$E$7:E348,detalhe_carro1[[#This Row],[Nó]],$B$7:B348,detalhe_carro1[[#This Row],[Numero Voltas]],$L$7:L348,1)</f>
        <v>547</v>
      </c>
      <c r="O349" s="3">
        <f>IF(OR(detalhe_carro1[[#This Row],[Ultima Chegada]]=0,detalhe_carro1[[#This Row],[Chegada]]=0),"",detalhe_carro1[[#This Row],[Hora Inicio]]-detalhe_carro1[[#This Row],[Ultima Chegada]])</f>
        <v>20</v>
      </c>
      <c r="P349" s="3">
        <f>IF(detalhe_carro1[[#This Row],[Tipo]]="Visitar Nó",((detalhe_carro1[[#This Row],[Hora Fim]]-detalhe_carro1[[#This Row],[Hora Inicio]])/60*velocidade_nos),0)</f>
        <v>0</v>
      </c>
      <c r="Q349" s="29">
        <f>detalhe_carro1[[#This Row],[Kms Nós]]+detalhe_carro1[[#This Row],[kms]]</f>
        <v>1</v>
      </c>
      <c r="S349" s="20">
        <v>4</v>
      </c>
      <c r="T349" s="20">
        <v>1</v>
      </c>
      <c r="U349" s="20">
        <v>3</v>
      </c>
      <c r="V349" s="20" t="s">
        <v>26</v>
      </c>
      <c r="W349">
        <v>882</v>
      </c>
      <c r="X349">
        <v>882</v>
      </c>
      <c r="Y349">
        <v>864</v>
      </c>
      <c r="Z349" s="7">
        <v>0.90416666666666667</v>
      </c>
      <c r="AA349" s="7">
        <v>0.90416666666666667</v>
      </c>
      <c r="AB349" s="7">
        <v>0.89166666666666672</v>
      </c>
      <c r="AC34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50" spans="2:29" x14ac:dyDescent="0.25">
      <c r="B350" s="3">
        <v>3</v>
      </c>
      <c r="C350">
        <v>0</v>
      </c>
      <c r="D350">
        <v>2</v>
      </c>
      <c r="E350" s="29" t="s">
        <v>24</v>
      </c>
      <c r="F350" s="3">
        <v>568</v>
      </c>
      <c r="G350" s="3">
        <v>568</v>
      </c>
      <c r="H350" s="29" t="s">
        <v>51</v>
      </c>
      <c r="I350" s="3">
        <v>1</v>
      </c>
      <c r="J350" s="7">
        <v>0.68611111111111112</v>
      </c>
      <c r="K350" s="7">
        <v>0.68611111111111112</v>
      </c>
      <c r="L350" s="3">
        <f t="shared" si="11"/>
        <v>1</v>
      </c>
      <c r="M350" s="3">
        <f t="shared" si="12"/>
        <v>1</v>
      </c>
      <c r="N350" s="29">
        <f>_xlfn.MAXIFS($G$7:G349,$E$7:E349,detalhe_carro1[[#This Row],[Nó]],$B$7:B349,detalhe_carro1[[#This Row],[Numero Voltas]],$L$7:L349,1)</f>
        <v>546</v>
      </c>
      <c r="O350" s="3">
        <f>IF(OR(detalhe_carro1[[#This Row],[Ultima Chegada]]=0,detalhe_carro1[[#This Row],[Chegada]]=0),"",detalhe_carro1[[#This Row],[Hora Inicio]]-detalhe_carro1[[#This Row],[Ultima Chegada]])</f>
        <v>22</v>
      </c>
      <c r="P350" s="3">
        <f>IF(detalhe_carro1[[#This Row],[Tipo]]="Visitar Nó",((detalhe_carro1[[#This Row],[Hora Fim]]-detalhe_carro1[[#This Row],[Hora Inicio]])/60*velocidade_nos),0)</f>
        <v>0</v>
      </c>
      <c r="Q350" s="29">
        <f>detalhe_carro1[[#This Row],[Kms Nós]]+detalhe_carro1[[#This Row],[kms]]</f>
        <v>1</v>
      </c>
      <c r="S350" s="20">
        <v>4</v>
      </c>
      <c r="T350" s="20">
        <v>1</v>
      </c>
      <c r="U350" s="20">
        <v>4</v>
      </c>
      <c r="V350" s="20" t="s">
        <v>27</v>
      </c>
      <c r="W350">
        <v>883</v>
      </c>
      <c r="X350">
        <v>883</v>
      </c>
      <c r="Y350">
        <v>863</v>
      </c>
      <c r="Z350" s="7">
        <v>0.90486111111111112</v>
      </c>
      <c r="AA350" s="7">
        <v>0.90486111111111112</v>
      </c>
      <c r="AB350" s="7">
        <v>0.89097222222222228</v>
      </c>
      <c r="AC35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51" spans="2:29" x14ac:dyDescent="0.25">
      <c r="B351" s="3">
        <v>3</v>
      </c>
      <c r="C351">
        <v>0</v>
      </c>
      <c r="D351">
        <v>1</v>
      </c>
      <c r="E351" s="29" t="s">
        <v>22</v>
      </c>
      <c r="F351" s="3">
        <v>575</v>
      </c>
      <c r="G351" s="3">
        <v>575</v>
      </c>
      <c r="H351" s="29" t="s">
        <v>51</v>
      </c>
      <c r="I351" s="3">
        <v>7</v>
      </c>
      <c r="J351" s="7">
        <v>0.69097222222222221</v>
      </c>
      <c r="K351" s="7">
        <v>0.69097222222222221</v>
      </c>
      <c r="L351" s="3">
        <f t="shared" si="11"/>
        <v>1</v>
      </c>
      <c r="M351" s="3">
        <f t="shared" si="12"/>
        <v>1</v>
      </c>
      <c r="N351" s="29">
        <f>_xlfn.MAXIFS($G$7:G350,$E$7:E350,detalhe_carro1[[#This Row],[Nó]],$B$7:B350,detalhe_carro1[[#This Row],[Numero Voltas]],$L$7:L350,1)</f>
        <v>539</v>
      </c>
      <c r="O351" s="3">
        <f>IF(OR(detalhe_carro1[[#This Row],[Ultima Chegada]]=0,detalhe_carro1[[#This Row],[Chegada]]=0),"",detalhe_carro1[[#This Row],[Hora Inicio]]-detalhe_carro1[[#This Row],[Ultima Chegada]])</f>
        <v>36</v>
      </c>
      <c r="P351" s="3">
        <f>IF(detalhe_carro1[[#This Row],[Tipo]]="Visitar Nó",((detalhe_carro1[[#This Row],[Hora Fim]]-detalhe_carro1[[#This Row],[Hora Inicio]])/60*velocidade_nos),0)</f>
        <v>0</v>
      </c>
      <c r="Q351" s="29">
        <f>detalhe_carro1[[#This Row],[Kms Nós]]+detalhe_carro1[[#This Row],[kms]]</f>
        <v>7</v>
      </c>
      <c r="S351" s="20">
        <v>4</v>
      </c>
      <c r="T351" s="20">
        <v>1</v>
      </c>
      <c r="U351" s="20">
        <v>5</v>
      </c>
      <c r="V351" s="20" t="s">
        <v>29</v>
      </c>
      <c r="W351">
        <v>886</v>
      </c>
      <c r="X351">
        <v>886</v>
      </c>
      <c r="Y351">
        <v>860</v>
      </c>
      <c r="Z351" s="7">
        <v>0.90694444444444444</v>
      </c>
      <c r="AA351" s="7">
        <v>0.90694444444444444</v>
      </c>
      <c r="AB351" s="7">
        <v>0.88888888888888884</v>
      </c>
      <c r="AC35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52" spans="2:29" x14ac:dyDescent="0.25">
      <c r="B352" s="3">
        <v>3</v>
      </c>
      <c r="C352">
        <v>0</v>
      </c>
      <c r="D352">
        <v>0</v>
      </c>
      <c r="E352" s="29" t="s">
        <v>20</v>
      </c>
      <c r="F352" s="3">
        <v>576</v>
      </c>
      <c r="G352" s="3">
        <v>576</v>
      </c>
      <c r="H352" s="29" t="s">
        <v>51</v>
      </c>
      <c r="I352" s="3">
        <v>1</v>
      </c>
      <c r="J352" s="7">
        <v>0.69166666666666665</v>
      </c>
      <c r="K352" s="7">
        <v>0.69166666666666665</v>
      </c>
      <c r="L352" s="3">
        <f t="shared" si="11"/>
        <v>0</v>
      </c>
      <c r="M352" s="3">
        <f t="shared" si="12"/>
        <v>1</v>
      </c>
      <c r="N352" s="29">
        <f>_xlfn.MAXIFS($G$7:G351,$E$7:E351,detalhe_carro1[[#This Row],[Nó]],$B$7:B351,detalhe_carro1[[#This Row],[Numero Voltas]],$L$7:L351,1)</f>
        <v>538</v>
      </c>
      <c r="O352" s="3">
        <f>IF(OR(detalhe_carro1[[#This Row],[Ultima Chegada]]=0,detalhe_carro1[[#This Row],[Chegada]]=0),"",detalhe_carro1[[#This Row],[Hora Inicio]]-detalhe_carro1[[#This Row],[Ultima Chegada]])</f>
        <v>38</v>
      </c>
      <c r="P352" s="3">
        <f>IF(detalhe_carro1[[#This Row],[Tipo]]="Visitar Nó",((detalhe_carro1[[#This Row],[Hora Fim]]-detalhe_carro1[[#This Row],[Hora Inicio]])/60*velocidade_nos),0)</f>
        <v>0</v>
      </c>
      <c r="Q352" s="29">
        <f>detalhe_carro1[[#This Row],[Kms Nós]]+detalhe_carro1[[#This Row],[kms]]</f>
        <v>1</v>
      </c>
      <c r="S352" s="20">
        <v>4</v>
      </c>
      <c r="T352" s="20">
        <v>1</v>
      </c>
      <c r="U352" s="20">
        <v>6</v>
      </c>
      <c r="V352" s="20" t="s">
        <v>31</v>
      </c>
      <c r="W352">
        <v>889</v>
      </c>
      <c r="X352">
        <v>889</v>
      </c>
      <c r="Y352">
        <v>857</v>
      </c>
      <c r="Z352" s="7">
        <v>0.90902777777777777</v>
      </c>
      <c r="AA352" s="7">
        <v>0.90902777777777777</v>
      </c>
      <c r="AB352" s="7">
        <v>0.88680555555555551</v>
      </c>
      <c r="AC35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53" spans="2:29" x14ac:dyDescent="0.25">
      <c r="B353" s="3">
        <v>3</v>
      </c>
      <c r="C353">
        <v>0</v>
      </c>
      <c r="D353">
        <v>0</v>
      </c>
      <c r="E353" s="29" t="s">
        <v>20</v>
      </c>
      <c r="F353" s="3">
        <v>576</v>
      </c>
      <c r="G353" s="3">
        <v>576</v>
      </c>
      <c r="H353" s="29" t="s">
        <v>51</v>
      </c>
      <c r="I353" s="3">
        <v>1</v>
      </c>
      <c r="J353" s="7">
        <v>0.69166666666666665</v>
      </c>
      <c r="K353" s="7">
        <v>0.69166666666666665</v>
      </c>
      <c r="L353" s="3">
        <f t="shared" si="11"/>
        <v>1</v>
      </c>
      <c r="M353" s="3">
        <f t="shared" si="12"/>
        <v>0</v>
      </c>
      <c r="N353" s="29">
        <f>_xlfn.MAXIFS($G$7:G352,$E$7:E352,detalhe_carro1[[#This Row],[Nó]],$B$7:B352,detalhe_carro1[[#This Row],[Numero Voltas]],$L$7:L352,1)</f>
        <v>538</v>
      </c>
      <c r="O353" s="3" t="str">
        <f>IF(OR(detalhe_carro1[[#This Row],[Ultima Chegada]]=0,detalhe_carro1[[#This Row],[Chegada]]=0),"",detalhe_carro1[[#This Row],[Hora Inicio]]-detalhe_carro1[[#This Row],[Ultima Chegada]])</f>
        <v/>
      </c>
      <c r="P353" s="3">
        <f>IF(detalhe_carro1[[#This Row],[Tipo]]="Visitar Nó",((detalhe_carro1[[#This Row],[Hora Fim]]-detalhe_carro1[[#This Row],[Hora Inicio]])/60*velocidade_nos),0)</f>
        <v>0</v>
      </c>
      <c r="Q353" s="29">
        <f>detalhe_carro1[[#This Row],[Kms Nós]]+detalhe_carro1[[#This Row],[kms]]</f>
        <v>1</v>
      </c>
      <c r="S353" s="20">
        <v>4</v>
      </c>
      <c r="T353" s="20">
        <v>1</v>
      </c>
      <c r="U353" s="20">
        <v>7</v>
      </c>
      <c r="V353" s="20" t="s">
        <v>33</v>
      </c>
      <c r="W353">
        <v>892</v>
      </c>
      <c r="X353">
        <v>892</v>
      </c>
      <c r="Y353">
        <v>854</v>
      </c>
      <c r="Z353" s="7">
        <v>0.91111111111111109</v>
      </c>
      <c r="AA353" s="7">
        <v>0.91111111111111109</v>
      </c>
      <c r="AB353" s="7">
        <v>0.88472222222222219</v>
      </c>
      <c r="AC35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54" spans="2:29" x14ac:dyDescent="0.25">
      <c r="B354" s="3">
        <v>3</v>
      </c>
      <c r="C354">
        <v>0</v>
      </c>
      <c r="D354">
        <v>1</v>
      </c>
      <c r="E354" s="29" t="s">
        <v>22</v>
      </c>
      <c r="F354" s="3">
        <v>577</v>
      </c>
      <c r="G354" s="3">
        <v>577</v>
      </c>
      <c r="H354" s="29" t="s">
        <v>51</v>
      </c>
      <c r="I354" s="3">
        <v>1</v>
      </c>
      <c r="J354" s="7">
        <v>0.69236111111111109</v>
      </c>
      <c r="K354" s="7">
        <v>0.69236111111111109</v>
      </c>
      <c r="L354" s="3">
        <f t="shared" si="11"/>
        <v>1</v>
      </c>
      <c r="M354" s="3">
        <f t="shared" si="12"/>
        <v>1</v>
      </c>
      <c r="N354" s="29">
        <f>_xlfn.MAXIFS($G$7:G353,$E$7:E353,detalhe_carro1[[#This Row],[Nó]],$B$7:B353,detalhe_carro1[[#This Row],[Numero Voltas]],$L$7:L353,1)</f>
        <v>575</v>
      </c>
      <c r="O354" s="3">
        <f>IF(OR(detalhe_carro1[[#This Row],[Ultima Chegada]]=0,detalhe_carro1[[#This Row],[Chegada]]=0),"",detalhe_carro1[[#This Row],[Hora Inicio]]-detalhe_carro1[[#This Row],[Ultima Chegada]])</f>
        <v>2</v>
      </c>
      <c r="P354" s="3">
        <f>IF(detalhe_carro1[[#This Row],[Tipo]]="Visitar Nó",((detalhe_carro1[[#This Row],[Hora Fim]]-detalhe_carro1[[#This Row],[Hora Inicio]])/60*velocidade_nos),0)</f>
        <v>0</v>
      </c>
      <c r="Q354" s="29">
        <f>detalhe_carro1[[#This Row],[Kms Nós]]+detalhe_carro1[[#This Row],[kms]]</f>
        <v>1</v>
      </c>
      <c r="S354" s="20">
        <v>4</v>
      </c>
      <c r="T354" s="20">
        <v>1</v>
      </c>
      <c r="U354" s="20">
        <v>6</v>
      </c>
      <c r="V354" s="20" t="s">
        <v>31</v>
      </c>
      <c r="W354">
        <v>895</v>
      </c>
      <c r="X354">
        <v>895</v>
      </c>
      <c r="Y354">
        <v>889</v>
      </c>
      <c r="Z354" s="7">
        <v>0.91319444444444442</v>
      </c>
      <c r="AA354" s="7">
        <v>0.91319444444444442</v>
      </c>
      <c r="AB354" s="7">
        <v>0.90902777777777777</v>
      </c>
      <c r="AC35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355" spans="2:29" x14ac:dyDescent="0.25">
      <c r="B355" s="3">
        <v>3</v>
      </c>
      <c r="C355">
        <v>0</v>
      </c>
      <c r="D355">
        <v>2</v>
      </c>
      <c r="E355" s="29" t="s">
        <v>24</v>
      </c>
      <c r="F355" s="3">
        <v>584</v>
      </c>
      <c r="G355" s="3">
        <v>584</v>
      </c>
      <c r="H355" s="29" t="s">
        <v>51</v>
      </c>
      <c r="I355" s="3">
        <v>7</v>
      </c>
      <c r="J355" s="7">
        <v>0.69722222222222219</v>
      </c>
      <c r="K355" s="7">
        <v>0.69722222222222219</v>
      </c>
      <c r="L355" s="3">
        <f t="shared" si="11"/>
        <v>1</v>
      </c>
      <c r="M355" s="3">
        <f t="shared" si="12"/>
        <v>1</v>
      </c>
      <c r="N355" s="29">
        <f>_xlfn.MAXIFS($G$7:G354,$E$7:E354,detalhe_carro1[[#This Row],[Nó]],$B$7:B354,detalhe_carro1[[#This Row],[Numero Voltas]],$L$7:L354,1)</f>
        <v>568</v>
      </c>
      <c r="O355" s="3">
        <f>IF(OR(detalhe_carro1[[#This Row],[Ultima Chegada]]=0,detalhe_carro1[[#This Row],[Chegada]]=0),"",detalhe_carro1[[#This Row],[Hora Inicio]]-detalhe_carro1[[#This Row],[Ultima Chegada]])</f>
        <v>16</v>
      </c>
      <c r="P355" s="3">
        <f>IF(detalhe_carro1[[#This Row],[Tipo]]="Visitar Nó",((detalhe_carro1[[#This Row],[Hora Fim]]-detalhe_carro1[[#This Row],[Hora Inicio]])/60*velocidade_nos),0)</f>
        <v>0</v>
      </c>
      <c r="Q355" s="29">
        <f>detalhe_carro1[[#This Row],[Kms Nós]]+detalhe_carro1[[#This Row],[kms]]</f>
        <v>7</v>
      </c>
      <c r="S355" s="20">
        <v>4</v>
      </c>
      <c r="T355" s="20">
        <v>1</v>
      </c>
      <c r="U355" s="20">
        <v>5</v>
      </c>
      <c r="V355" s="20" t="s">
        <v>29</v>
      </c>
      <c r="W355">
        <v>898</v>
      </c>
      <c r="X355">
        <v>898</v>
      </c>
      <c r="Y355">
        <v>886</v>
      </c>
      <c r="Z355" s="7">
        <v>0.91527777777777775</v>
      </c>
      <c r="AA355" s="7">
        <v>0.91527777777777775</v>
      </c>
      <c r="AB355" s="7">
        <v>0.90694444444444444</v>
      </c>
      <c r="AC35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356" spans="2:29" x14ac:dyDescent="0.25">
      <c r="B356" s="3">
        <v>3</v>
      </c>
      <c r="C356">
        <v>0</v>
      </c>
      <c r="D356">
        <v>3</v>
      </c>
      <c r="E356" s="29" t="s">
        <v>26</v>
      </c>
      <c r="F356" s="3">
        <v>585</v>
      </c>
      <c r="G356" s="3">
        <v>585</v>
      </c>
      <c r="H356" s="29" t="s">
        <v>51</v>
      </c>
      <c r="I356" s="3">
        <v>1</v>
      </c>
      <c r="J356" s="7">
        <v>0.69791666666666663</v>
      </c>
      <c r="K356" s="7">
        <v>0.69791666666666663</v>
      </c>
      <c r="L356" s="3">
        <f t="shared" si="11"/>
        <v>1</v>
      </c>
      <c r="M356" s="3">
        <f t="shared" si="12"/>
        <v>1</v>
      </c>
      <c r="N356" s="29">
        <f>_xlfn.MAXIFS($G$7:G355,$E$7:E355,detalhe_carro1[[#This Row],[Nó]],$B$7:B355,detalhe_carro1[[#This Row],[Numero Voltas]],$L$7:L355,1)</f>
        <v>567</v>
      </c>
      <c r="O356" s="3">
        <f>IF(OR(detalhe_carro1[[#This Row],[Ultima Chegada]]=0,detalhe_carro1[[#This Row],[Chegada]]=0),"",detalhe_carro1[[#This Row],[Hora Inicio]]-detalhe_carro1[[#This Row],[Ultima Chegada]])</f>
        <v>18</v>
      </c>
      <c r="P356" s="3">
        <f>IF(detalhe_carro1[[#This Row],[Tipo]]="Visitar Nó",((detalhe_carro1[[#This Row],[Hora Fim]]-detalhe_carro1[[#This Row],[Hora Inicio]])/60*velocidade_nos),0)</f>
        <v>0</v>
      </c>
      <c r="Q356" s="29">
        <f>detalhe_carro1[[#This Row],[Kms Nós]]+detalhe_carro1[[#This Row],[kms]]</f>
        <v>1</v>
      </c>
      <c r="S356" s="20">
        <v>4</v>
      </c>
      <c r="T356" s="20">
        <v>1</v>
      </c>
      <c r="U356" s="20">
        <v>4</v>
      </c>
      <c r="V356" s="20" t="s">
        <v>27</v>
      </c>
      <c r="W356">
        <v>901</v>
      </c>
      <c r="X356">
        <v>901</v>
      </c>
      <c r="Y356">
        <v>883</v>
      </c>
      <c r="Z356" s="7">
        <v>0.91736111111111107</v>
      </c>
      <c r="AA356" s="7">
        <v>0.91736111111111107</v>
      </c>
      <c r="AB356" s="7">
        <v>0.90486111111111112</v>
      </c>
      <c r="AC35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57" spans="2:29" x14ac:dyDescent="0.25">
      <c r="B357" s="3">
        <v>3</v>
      </c>
      <c r="C357">
        <v>0</v>
      </c>
      <c r="D357">
        <v>4</v>
      </c>
      <c r="E357" s="29" t="s">
        <v>27</v>
      </c>
      <c r="F357" s="3">
        <v>586</v>
      </c>
      <c r="G357" s="3">
        <v>586</v>
      </c>
      <c r="H357" s="29" t="s">
        <v>51</v>
      </c>
      <c r="I357" s="3">
        <v>1</v>
      </c>
      <c r="J357" s="7">
        <v>0.69861111111111107</v>
      </c>
      <c r="K357" s="7">
        <v>0.69861111111111107</v>
      </c>
      <c r="L357" s="3">
        <f t="shared" si="11"/>
        <v>1</v>
      </c>
      <c r="M357" s="3">
        <f t="shared" si="12"/>
        <v>1</v>
      </c>
      <c r="N357" s="29">
        <f>_xlfn.MAXIFS($G$7:G356,$E$7:E356,detalhe_carro1[[#This Row],[Nó]],$B$7:B356,detalhe_carro1[[#This Row],[Numero Voltas]],$L$7:L356,1)</f>
        <v>566</v>
      </c>
      <c r="O357" s="3">
        <f>IF(OR(detalhe_carro1[[#This Row],[Ultima Chegada]]=0,detalhe_carro1[[#This Row],[Chegada]]=0),"",detalhe_carro1[[#This Row],[Hora Inicio]]-detalhe_carro1[[#This Row],[Ultima Chegada]])</f>
        <v>20</v>
      </c>
      <c r="P357" s="3">
        <f>IF(detalhe_carro1[[#This Row],[Tipo]]="Visitar Nó",((detalhe_carro1[[#This Row],[Hora Fim]]-detalhe_carro1[[#This Row],[Hora Inicio]])/60*velocidade_nos),0)</f>
        <v>0</v>
      </c>
      <c r="Q357" s="29">
        <f>detalhe_carro1[[#This Row],[Kms Nós]]+detalhe_carro1[[#This Row],[kms]]</f>
        <v>1</v>
      </c>
      <c r="S357" s="20">
        <v>4</v>
      </c>
      <c r="T357" s="20">
        <v>1</v>
      </c>
      <c r="U357" s="20">
        <v>3</v>
      </c>
      <c r="V357" s="20" t="s">
        <v>26</v>
      </c>
      <c r="W357">
        <v>902</v>
      </c>
      <c r="X357">
        <v>902</v>
      </c>
      <c r="Y357">
        <v>882</v>
      </c>
      <c r="Z357" s="7">
        <v>0.91805555555555551</v>
      </c>
      <c r="AA357" s="7">
        <v>0.91805555555555551</v>
      </c>
      <c r="AB357" s="7">
        <v>0.90416666666666667</v>
      </c>
      <c r="AC35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58" spans="2:29" x14ac:dyDescent="0.25">
      <c r="B358" s="3">
        <v>3</v>
      </c>
      <c r="C358">
        <v>0</v>
      </c>
      <c r="D358">
        <v>5</v>
      </c>
      <c r="E358" s="29" t="s">
        <v>29</v>
      </c>
      <c r="F358" s="3">
        <v>589</v>
      </c>
      <c r="G358" s="3">
        <v>589</v>
      </c>
      <c r="H358" s="29" t="s">
        <v>51</v>
      </c>
      <c r="I358" s="3">
        <v>3</v>
      </c>
      <c r="J358" s="7">
        <v>0.7006944444444444</v>
      </c>
      <c r="K358" s="7">
        <v>0.7006944444444444</v>
      </c>
      <c r="L358" s="3">
        <f t="shared" si="11"/>
        <v>1</v>
      </c>
      <c r="M358" s="3">
        <f t="shared" si="12"/>
        <v>1</v>
      </c>
      <c r="N358" s="29">
        <f>_xlfn.MAXIFS($G$7:G357,$E$7:E357,detalhe_carro1[[#This Row],[Nó]],$B$7:B357,detalhe_carro1[[#This Row],[Numero Voltas]],$L$7:L357,1)</f>
        <v>563</v>
      </c>
      <c r="O358" s="3">
        <f>IF(OR(detalhe_carro1[[#This Row],[Ultima Chegada]]=0,detalhe_carro1[[#This Row],[Chegada]]=0),"",detalhe_carro1[[#This Row],[Hora Inicio]]-detalhe_carro1[[#This Row],[Ultima Chegada]])</f>
        <v>26</v>
      </c>
      <c r="P358" s="3">
        <f>IF(detalhe_carro1[[#This Row],[Tipo]]="Visitar Nó",((detalhe_carro1[[#This Row],[Hora Fim]]-detalhe_carro1[[#This Row],[Hora Inicio]])/60*velocidade_nos),0)</f>
        <v>0</v>
      </c>
      <c r="Q358" s="29">
        <f>detalhe_carro1[[#This Row],[Kms Nós]]+detalhe_carro1[[#This Row],[kms]]</f>
        <v>3</v>
      </c>
      <c r="S358" s="20">
        <v>4</v>
      </c>
      <c r="T358" s="20">
        <v>1</v>
      </c>
      <c r="U358" s="20">
        <v>2</v>
      </c>
      <c r="V358" s="20" t="s">
        <v>24</v>
      </c>
      <c r="W358">
        <v>903</v>
      </c>
      <c r="X358">
        <v>903</v>
      </c>
      <c r="Y358">
        <v>881</v>
      </c>
      <c r="Z358" s="7">
        <v>0.91874999999999996</v>
      </c>
      <c r="AA358" s="7">
        <v>0.91874999999999996</v>
      </c>
      <c r="AB358" s="7">
        <v>0.90347222222222223</v>
      </c>
      <c r="AC35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359" spans="2:29" x14ac:dyDescent="0.25">
      <c r="B359" s="3">
        <v>3</v>
      </c>
      <c r="C359">
        <v>0</v>
      </c>
      <c r="D359">
        <v>6</v>
      </c>
      <c r="E359" s="29" t="s">
        <v>31</v>
      </c>
      <c r="F359" s="3">
        <v>592</v>
      </c>
      <c r="G359" s="3">
        <v>592</v>
      </c>
      <c r="H359" s="29" t="s">
        <v>51</v>
      </c>
      <c r="I359" s="3">
        <v>3</v>
      </c>
      <c r="J359" s="7">
        <v>0.70277777777777772</v>
      </c>
      <c r="K359" s="7">
        <v>0.70277777777777772</v>
      </c>
      <c r="L359" s="3">
        <f t="shared" si="11"/>
        <v>1</v>
      </c>
      <c r="M359" s="3">
        <f t="shared" si="12"/>
        <v>1</v>
      </c>
      <c r="N359" s="29">
        <f>_xlfn.MAXIFS($G$7:G358,$E$7:E358,detalhe_carro1[[#This Row],[Nó]],$B$7:B358,detalhe_carro1[[#This Row],[Numero Voltas]],$L$7:L358,1)</f>
        <v>560</v>
      </c>
      <c r="O359" s="3">
        <f>IF(OR(detalhe_carro1[[#This Row],[Ultima Chegada]]=0,detalhe_carro1[[#This Row],[Chegada]]=0),"",detalhe_carro1[[#This Row],[Hora Inicio]]-detalhe_carro1[[#This Row],[Ultima Chegada]])</f>
        <v>32</v>
      </c>
      <c r="P359" s="3">
        <f>IF(detalhe_carro1[[#This Row],[Tipo]]="Visitar Nó",((detalhe_carro1[[#This Row],[Hora Fim]]-detalhe_carro1[[#This Row],[Hora Inicio]])/60*velocidade_nos),0)</f>
        <v>0</v>
      </c>
      <c r="Q359" s="29">
        <f>detalhe_carro1[[#This Row],[Kms Nós]]+detalhe_carro1[[#This Row],[kms]]</f>
        <v>3</v>
      </c>
      <c r="S359" s="20">
        <v>4</v>
      </c>
      <c r="T359" s="20">
        <v>1</v>
      </c>
      <c r="U359" s="20">
        <v>1</v>
      </c>
      <c r="V359" s="20" t="s">
        <v>22</v>
      </c>
      <c r="W359">
        <v>910</v>
      </c>
      <c r="X359">
        <v>910</v>
      </c>
      <c r="Y359">
        <v>874</v>
      </c>
      <c r="Z359" s="7">
        <v>0.92361111111111116</v>
      </c>
      <c r="AA359" s="7">
        <v>0.92361111111111116</v>
      </c>
      <c r="AB359" s="7">
        <v>0.89861111111111114</v>
      </c>
      <c r="AC35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360" spans="2:29" x14ac:dyDescent="0.25">
      <c r="B360" s="3">
        <v>3</v>
      </c>
      <c r="C360">
        <v>0</v>
      </c>
      <c r="D360">
        <v>7</v>
      </c>
      <c r="E360" s="29" t="s">
        <v>33</v>
      </c>
      <c r="F360" s="3">
        <v>595</v>
      </c>
      <c r="G360" s="3">
        <v>595</v>
      </c>
      <c r="H360" s="29" t="s">
        <v>51</v>
      </c>
      <c r="I360" s="3">
        <v>3</v>
      </c>
      <c r="J360" s="7">
        <v>0.70486111111111116</v>
      </c>
      <c r="K360" s="7">
        <v>0.70486111111111116</v>
      </c>
      <c r="L360" s="3">
        <f t="shared" si="11"/>
        <v>0</v>
      </c>
      <c r="M360" s="3">
        <f t="shared" si="12"/>
        <v>1</v>
      </c>
      <c r="N360" s="29">
        <f>_xlfn.MAXIFS($G$7:G359,$E$7:E359,detalhe_carro1[[#This Row],[Nó]],$B$7:B359,detalhe_carro1[[#This Row],[Numero Voltas]],$L$7:L359,1)</f>
        <v>557</v>
      </c>
      <c r="O360" s="3">
        <f>IF(OR(detalhe_carro1[[#This Row],[Ultima Chegada]]=0,detalhe_carro1[[#This Row],[Chegada]]=0),"",detalhe_carro1[[#This Row],[Hora Inicio]]-detalhe_carro1[[#This Row],[Ultima Chegada]])</f>
        <v>38</v>
      </c>
      <c r="P360" s="3">
        <f>IF(detalhe_carro1[[#This Row],[Tipo]]="Visitar Nó",((detalhe_carro1[[#This Row],[Hora Fim]]-detalhe_carro1[[#This Row],[Hora Inicio]])/60*velocidade_nos),0)</f>
        <v>0</v>
      </c>
      <c r="Q360" s="29">
        <f>detalhe_carro1[[#This Row],[Kms Nós]]+detalhe_carro1[[#This Row],[kms]]</f>
        <v>3</v>
      </c>
      <c r="S360" s="20">
        <v>4</v>
      </c>
      <c r="T360" s="20">
        <v>1</v>
      </c>
      <c r="U360" s="20">
        <v>0</v>
      </c>
      <c r="V360" s="20" t="s">
        <v>20</v>
      </c>
      <c r="W360">
        <v>911</v>
      </c>
      <c r="X360">
        <v>911</v>
      </c>
      <c r="Y360">
        <v>873</v>
      </c>
      <c r="Z360" s="7">
        <v>0.9243055555555556</v>
      </c>
      <c r="AA360" s="7">
        <v>0.9243055555555556</v>
      </c>
      <c r="AB360" s="7">
        <v>0.8979166666666667</v>
      </c>
      <c r="AC36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61" spans="2:29" x14ac:dyDescent="0.25">
      <c r="B361" s="3">
        <v>3</v>
      </c>
      <c r="C361">
        <v>0</v>
      </c>
      <c r="D361">
        <v>7</v>
      </c>
      <c r="E361" s="29" t="s">
        <v>33</v>
      </c>
      <c r="F361" s="3">
        <v>595</v>
      </c>
      <c r="G361" s="3">
        <v>595</v>
      </c>
      <c r="H361" s="29" t="s">
        <v>51</v>
      </c>
      <c r="I361" s="3">
        <v>3</v>
      </c>
      <c r="J361" s="7">
        <v>0.70486111111111116</v>
      </c>
      <c r="K361" s="7">
        <v>0.70486111111111116</v>
      </c>
      <c r="L361" s="3">
        <f t="shared" si="11"/>
        <v>0</v>
      </c>
      <c r="M361" s="3">
        <f t="shared" si="12"/>
        <v>0</v>
      </c>
      <c r="N361" s="29">
        <f>_xlfn.MAXIFS($G$7:G360,$E$7:E360,detalhe_carro1[[#This Row],[Nó]],$B$7:B360,detalhe_carro1[[#This Row],[Numero Voltas]],$L$7:L360,1)</f>
        <v>557</v>
      </c>
      <c r="O361" s="3" t="str">
        <f>IF(OR(detalhe_carro1[[#This Row],[Ultima Chegada]]=0,detalhe_carro1[[#This Row],[Chegada]]=0),"",detalhe_carro1[[#This Row],[Hora Inicio]]-detalhe_carro1[[#This Row],[Ultima Chegada]])</f>
        <v/>
      </c>
      <c r="P361" s="3">
        <f>IF(detalhe_carro1[[#This Row],[Tipo]]="Visitar Nó",((detalhe_carro1[[#This Row],[Hora Fim]]-detalhe_carro1[[#This Row],[Hora Inicio]])/60*velocidade_nos),0)</f>
        <v>0</v>
      </c>
      <c r="Q361" s="29">
        <f>detalhe_carro1[[#This Row],[Kms Nós]]+detalhe_carro1[[#This Row],[kms]]</f>
        <v>3</v>
      </c>
      <c r="S361" s="20">
        <v>4</v>
      </c>
      <c r="T361" s="20">
        <v>1</v>
      </c>
      <c r="U361" s="20">
        <v>1</v>
      </c>
      <c r="V361" s="20" t="s">
        <v>22</v>
      </c>
      <c r="W361">
        <v>912</v>
      </c>
      <c r="X361">
        <v>912</v>
      </c>
      <c r="Y361">
        <v>910</v>
      </c>
      <c r="Z361" s="7">
        <v>0.92500000000000004</v>
      </c>
      <c r="AA361" s="7">
        <v>0.92500000000000004</v>
      </c>
      <c r="AB361" s="7">
        <v>0.92361111111111116</v>
      </c>
      <c r="AC36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62" spans="2:29" x14ac:dyDescent="0.25">
      <c r="B362" s="3">
        <v>3</v>
      </c>
      <c r="C362">
        <v>0</v>
      </c>
      <c r="D362">
        <v>7</v>
      </c>
      <c r="E362" s="29" t="s">
        <v>33</v>
      </c>
      <c r="F362" s="3">
        <v>595</v>
      </c>
      <c r="G362" s="3">
        <v>595</v>
      </c>
      <c r="H362" s="29" t="s">
        <v>51</v>
      </c>
      <c r="I362" s="3">
        <v>3</v>
      </c>
      <c r="J362" s="7">
        <v>0.70486111111111116</v>
      </c>
      <c r="K362" s="7">
        <v>0.70486111111111116</v>
      </c>
      <c r="L362" s="3">
        <f t="shared" si="11"/>
        <v>0</v>
      </c>
      <c r="M362" s="3">
        <f t="shared" si="12"/>
        <v>0</v>
      </c>
      <c r="N362" s="29">
        <f>_xlfn.MAXIFS($G$7:G361,$E$7:E361,detalhe_carro1[[#This Row],[Nó]],$B$7:B361,detalhe_carro1[[#This Row],[Numero Voltas]],$L$7:L361,1)</f>
        <v>557</v>
      </c>
      <c r="O362" s="3" t="str">
        <f>IF(OR(detalhe_carro1[[#This Row],[Ultima Chegada]]=0,detalhe_carro1[[#This Row],[Chegada]]=0),"",detalhe_carro1[[#This Row],[Hora Inicio]]-detalhe_carro1[[#This Row],[Ultima Chegada]])</f>
        <v/>
      </c>
      <c r="P362" s="3">
        <f>IF(detalhe_carro1[[#This Row],[Tipo]]="Visitar Nó",((detalhe_carro1[[#This Row],[Hora Fim]]-detalhe_carro1[[#This Row],[Hora Inicio]])/60*velocidade_nos),0)</f>
        <v>0</v>
      </c>
      <c r="Q362" s="29">
        <f>detalhe_carro1[[#This Row],[Kms Nós]]+detalhe_carro1[[#This Row],[kms]]</f>
        <v>3</v>
      </c>
      <c r="S362" s="20">
        <v>4</v>
      </c>
      <c r="T362" s="20">
        <v>1</v>
      </c>
      <c r="U362" s="20">
        <v>2</v>
      </c>
      <c r="V362" s="20" t="s">
        <v>24</v>
      </c>
      <c r="W362">
        <v>919</v>
      </c>
      <c r="X362">
        <v>919</v>
      </c>
      <c r="Y362">
        <v>903</v>
      </c>
      <c r="Z362" s="7">
        <v>0.92986111111111114</v>
      </c>
      <c r="AA362" s="7">
        <v>0.92986111111111114</v>
      </c>
      <c r="AB362" s="7">
        <v>0.91874999999999996</v>
      </c>
      <c r="AC36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63" spans="2:29" x14ac:dyDescent="0.25">
      <c r="B363" s="3">
        <v>3</v>
      </c>
      <c r="C363">
        <v>1</v>
      </c>
      <c r="D363">
        <v>7</v>
      </c>
      <c r="E363" s="29" t="s">
        <v>33</v>
      </c>
      <c r="F363" s="3">
        <v>570</v>
      </c>
      <c r="G363" s="3">
        <v>630</v>
      </c>
      <c r="H363" s="29" t="s">
        <v>54</v>
      </c>
      <c r="I363" s="3">
        <v>0</v>
      </c>
      <c r="J363" s="7">
        <v>0.6875</v>
      </c>
      <c r="K363" s="7">
        <v>0.72916666666666663</v>
      </c>
      <c r="L363" s="3">
        <f t="shared" si="11"/>
        <v>0</v>
      </c>
      <c r="M363" s="3">
        <f t="shared" si="12"/>
        <v>0</v>
      </c>
      <c r="N363" s="29">
        <f>_xlfn.MAXIFS($G$7:G362,$E$7:E362,detalhe_carro1[[#This Row],[Nó]],$B$7:B362,detalhe_carro1[[#This Row],[Numero Voltas]],$L$7:L362,1)</f>
        <v>557</v>
      </c>
      <c r="O363" s="3" t="str">
        <f>IF(OR(detalhe_carro1[[#This Row],[Ultima Chegada]]=0,detalhe_carro1[[#This Row],[Chegada]]=0),"",detalhe_carro1[[#This Row],[Hora Inicio]]-detalhe_carro1[[#This Row],[Ultima Chegada]])</f>
        <v/>
      </c>
      <c r="P363" s="3">
        <f>IF(detalhe_carro1[[#This Row],[Tipo]]="Visitar Nó",((detalhe_carro1[[#This Row],[Hora Fim]]-detalhe_carro1[[#This Row],[Hora Inicio]])/60*velocidade_nos),0)</f>
        <v>0</v>
      </c>
      <c r="Q363" s="29">
        <f>detalhe_carro1[[#This Row],[Kms Nós]]+detalhe_carro1[[#This Row],[kms]]</f>
        <v>0</v>
      </c>
      <c r="S363" s="20">
        <v>4</v>
      </c>
      <c r="T363" s="20">
        <v>1</v>
      </c>
      <c r="U363" s="20">
        <v>3</v>
      </c>
      <c r="V363" s="20" t="s">
        <v>26</v>
      </c>
      <c r="W363">
        <v>920</v>
      </c>
      <c r="X363">
        <v>920</v>
      </c>
      <c r="Y363">
        <v>902</v>
      </c>
      <c r="Z363" s="7">
        <v>0.93055555555555558</v>
      </c>
      <c r="AA363" s="7">
        <v>0.93055555555555558</v>
      </c>
      <c r="AB363" s="7">
        <v>0.91805555555555551</v>
      </c>
      <c r="AC36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64" spans="2:29" x14ac:dyDescent="0.25">
      <c r="B364" s="3">
        <v>3</v>
      </c>
      <c r="C364">
        <v>1</v>
      </c>
      <c r="D364">
        <v>7</v>
      </c>
      <c r="E364" s="29" t="s">
        <v>33</v>
      </c>
      <c r="F364" s="3">
        <v>600</v>
      </c>
      <c r="G364" s="3">
        <v>630</v>
      </c>
      <c r="H364" s="29" t="s">
        <v>54</v>
      </c>
      <c r="I364" s="3">
        <v>0</v>
      </c>
      <c r="J364" s="7">
        <v>0.70833333333333337</v>
      </c>
      <c r="K364" s="7">
        <v>0.72916666666666663</v>
      </c>
      <c r="L364" s="3">
        <f t="shared" si="11"/>
        <v>0</v>
      </c>
      <c r="M364" s="3">
        <f t="shared" si="12"/>
        <v>0</v>
      </c>
      <c r="N364" s="29">
        <f>_xlfn.MAXIFS($G$7:G363,$E$7:E363,detalhe_carro1[[#This Row],[Nó]],$B$7:B363,detalhe_carro1[[#This Row],[Numero Voltas]],$L$7:L363,1)</f>
        <v>557</v>
      </c>
      <c r="O364" s="3" t="str">
        <f>IF(OR(detalhe_carro1[[#This Row],[Ultima Chegada]]=0,detalhe_carro1[[#This Row],[Chegada]]=0),"",detalhe_carro1[[#This Row],[Hora Inicio]]-detalhe_carro1[[#This Row],[Ultima Chegada]])</f>
        <v/>
      </c>
      <c r="P364" s="3">
        <f>IF(detalhe_carro1[[#This Row],[Tipo]]="Visitar Nó",((detalhe_carro1[[#This Row],[Hora Fim]]-detalhe_carro1[[#This Row],[Hora Inicio]])/60*velocidade_nos),0)</f>
        <v>0</v>
      </c>
      <c r="Q364" s="29">
        <f>detalhe_carro1[[#This Row],[Kms Nós]]+detalhe_carro1[[#This Row],[kms]]</f>
        <v>0</v>
      </c>
      <c r="S364" s="20">
        <v>4</v>
      </c>
      <c r="T364" s="20">
        <v>1</v>
      </c>
      <c r="U364" s="20">
        <v>4</v>
      </c>
      <c r="V364" s="20" t="s">
        <v>27</v>
      </c>
      <c r="W364">
        <v>921</v>
      </c>
      <c r="X364">
        <v>921</v>
      </c>
      <c r="Y364">
        <v>901</v>
      </c>
      <c r="Z364" s="7">
        <v>0.93125000000000002</v>
      </c>
      <c r="AA364" s="7">
        <v>0.93125000000000002</v>
      </c>
      <c r="AB364" s="7">
        <v>0.91736111111111107</v>
      </c>
      <c r="AC36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65" spans="2:29" x14ac:dyDescent="0.25">
      <c r="B365" s="3">
        <v>3</v>
      </c>
      <c r="C365">
        <v>1</v>
      </c>
      <c r="D365">
        <v>7</v>
      </c>
      <c r="E365" s="29" t="s">
        <v>33</v>
      </c>
      <c r="F365" s="3">
        <v>570</v>
      </c>
      <c r="G365" s="3">
        <v>630</v>
      </c>
      <c r="H365" s="29" t="s">
        <v>52</v>
      </c>
      <c r="I365" s="3">
        <v>0</v>
      </c>
      <c r="J365" s="7">
        <v>0.6875</v>
      </c>
      <c r="K365" s="7">
        <v>0.72916666666666663</v>
      </c>
      <c r="L365" s="3">
        <f t="shared" si="11"/>
        <v>0</v>
      </c>
      <c r="M365" s="3">
        <f t="shared" si="12"/>
        <v>0</v>
      </c>
      <c r="N365" s="29">
        <f>_xlfn.MAXIFS($G$7:G364,$E$7:E364,detalhe_carro1[[#This Row],[Nó]],$B$7:B364,detalhe_carro1[[#This Row],[Numero Voltas]],$L$7:L364,1)</f>
        <v>557</v>
      </c>
      <c r="O365" s="3" t="str">
        <f>IF(OR(detalhe_carro1[[#This Row],[Ultima Chegada]]=0,detalhe_carro1[[#This Row],[Chegada]]=0),"",detalhe_carro1[[#This Row],[Hora Inicio]]-detalhe_carro1[[#This Row],[Ultima Chegada]])</f>
        <v/>
      </c>
      <c r="P365" s="3">
        <f>IF(detalhe_carro1[[#This Row],[Tipo]]="Visitar Nó",((detalhe_carro1[[#This Row],[Hora Fim]]-detalhe_carro1[[#This Row],[Hora Inicio]])/60*velocidade_nos),0)</f>
        <v>0</v>
      </c>
      <c r="Q365" s="29">
        <f>detalhe_carro1[[#This Row],[Kms Nós]]+detalhe_carro1[[#This Row],[kms]]</f>
        <v>0</v>
      </c>
      <c r="S365" s="20">
        <v>4</v>
      </c>
      <c r="T365" s="20">
        <v>1</v>
      </c>
      <c r="U365" s="20">
        <v>5</v>
      </c>
      <c r="V365" s="20" t="s">
        <v>29</v>
      </c>
      <c r="W365">
        <v>924</v>
      </c>
      <c r="X365">
        <v>924</v>
      </c>
      <c r="Y365">
        <v>898</v>
      </c>
      <c r="Z365" s="7">
        <v>0.93333333333333335</v>
      </c>
      <c r="AA365" s="7">
        <v>0.93333333333333335</v>
      </c>
      <c r="AB365" s="7">
        <v>0.91527777777777775</v>
      </c>
      <c r="AC36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66" spans="2:29" x14ac:dyDescent="0.25">
      <c r="B366" s="3">
        <v>3</v>
      </c>
      <c r="C366">
        <v>1</v>
      </c>
      <c r="D366">
        <v>7</v>
      </c>
      <c r="E366" s="29" t="s">
        <v>33</v>
      </c>
      <c r="F366" s="3">
        <v>630</v>
      </c>
      <c r="G366" s="3">
        <v>630</v>
      </c>
      <c r="H366" s="29" t="s">
        <v>49</v>
      </c>
      <c r="I366" s="3">
        <v>0</v>
      </c>
      <c r="J366" s="7">
        <v>0.72916666666666663</v>
      </c>
      <c r="K366" s="7">
        <v>0.72916666666666663</v>
      </c>
      <c r="L366" s="3">
        <f t="shared" si="11"/>
        <v>0</v>
      </c>
      <c r="M366" s="3">
        <f t="shared" si="12"/>
        <v>0</v>
      </c>
      <c r="N366" s="29">
        <f>_xlfn.MAXIFS($G$7:G365,$E$7:E365,detalhe_carro1[[#This Row],[Nó]],$B$7:B365,detalhe_carro1[[#This Row],[Numero Voltas]],$L$7:L365,1)</f>
        <v>557</v>
      </c>
      <c r="O366" s="3" t="str">
        <f>IF(OR(detalhe_carro1[[#This Row],[Ultima Chegada]]=0,detalhe_carro1[[#This Row],[Chegada]]=0),"",detalhe_carro1[[#This Row],[Hora Inicio]]-detalhe_carro1[[#This Row],[Ultima Chegada]])</f>
        <v/>
      </c>
      <c r="P366" s="3">
        <f>IF(detalhe_carro1[[#This Row],[Tipo]]="Visitar Nó",((detalhe_carro1[[#This Row],[Hora Fim]]-detalhe_carro1[[#This Row],[Hora Inicio]])/60*velocidade_nos),0)</f>
        <v>0</v>
      </c>
      <c r="Q366" s="29">
        <f>detalhe_carro1[[#This Row],[Kms Nós]]+detalhe_carro1[[#This Row],[kms]]</f>
        <v>0</v>
      </c>
      <c r="S366" s="20">
        <v>4</v>
      </c>
      <c r="T366" s="20">
        <v>1</v>
      </c>
      <c r="U366" s="20">
        <v>6</v>
      </c>
      <c r="V366" s="20" t="s">
        <v>31</v>
      </c>
      <c r="W366">
        <v>927</v>
      </c>
      <c r="X366">
        <v>927</v>
      </c>
      <c r="Y366">
        <v>895</v>
      </c>
      <c r="Z366" s="7">
        <v>0.93541666666666667</v>
      </c>
      <c r="AA366" s="7">
        <v>0.93541666666666667</v>
      </c>
      <c r="AB366" s="7">
        <v>0.91319444444444442</v>
      </c>
      <c r="AC36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67" spans="2:29" x14ac:dyDescent="0.25">
      <c r="B367" s="3">
        <v>3</v>
      </c>
      <c r="C367">
        <v>1</v>
      </c>
      <c r="D367">
        <v>7</v>
      </c>
      <c r="E367" s="29" t="s">
        <v>33</v>
      </c>
      <c r="F367" s="3">
        <v>630</v>
      </c>
      <c r="G367" s="3">
        <v>643</v>
      </c>
      <c r="H367" s="29" t="s">
        <v>50</v>
      </c>
      <c r="I367" s="3">
        <v>0</v>
      </c>
      <c r="J367" s="7">
        <v>0.72916666666666663</v>
      </c>
      <c r="K367" s="7">
        <v>0.73819444444444449</v>
      </c>
      <c r="L367" s="3">
        <f t="shared" si="11"/>
        <v>0</v>
      </c>
      <c r="M367" s="3">
        <f t="shared" si="12"/>
        <v>0</v>
      </c>
      <c r="N367" s="29">
        <f>_xlfn.MAXIFS($G$7:G366,$E$7:E366,detalhe_carro1[[#This Row],[Nó]],$B$7:B366,detalhe_carro1[[#This Row],[Numero Voltas]],$L$7:L366,1)</f>
        <v>557</v>
      </c>
      <c r="O367" s="3" t="str">
        <f>IF(OR(detalhe_carro1[[#This Row],[Ultima Chegada]]=0,detalhe_carro1[[#This Row],[Chegada]]=0),"",detalhe_carro1[[#This Row],[Hora Inicio]]-detalhe_carro1[[#This Row],[Ultima Chegada]])</f>
        <v/>
      </c>
      <c r="P367" s="3">
        <f>IF(detalhe_carro1[[#This Row],[Tipo]]="Visitar Nó",((detalhe_carro1[[#This Row],[Hora Fim]]-detalhe_carro1[[#This Row],[Hora Inicio]])/60*velocidade_nos),0)</f>
        <v>6.5</v>
      </c>
      <c r="Q367" s="29">
        <f>detalhe_carro1[[#This Row],[Kms Nós]]+detalhe_carro1[[#This Row],[kms]]</f>
        <v>6.5</v>
      </c>
      <c r="S367" s="20">
        <v>4</v>
      </c>
      <c r="T367" s="20">
        <v>1</v>
      </c>
      <c r="U367" s="20">
        <v>7</v>
      </c>
      <c r="V367" s="20" t="s">
        <v>33</v>
      </c>
      <c r="W367">
        <v>930</v>
      </c>
      <c r="X367">
        <v>930</v>
      </c>
      <c r="Y367">
        <v>892</v>
      </c>
      <c r="Z367" s="7">
        <v>0.9375</v>
      </c>
      <c r="AA367" s="7">
        <v>0.9375</v>
      </c>
      <c r="AB367" s="7">
        <v>0.91111111111111109</v>
      </c>
      <c r="AC36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68" spans="2:29" x14ac:dyDescent="0.25">
      <c r="B368" s="3">
        <v>3</v>
      </c>
      <c r="C368">
        <v>1</v>
      </c>
      <c r="D368">
        <v>7</v>
      </c>
      <c r="E368" s="29" t="s">
        <v>33</v>
      </c>
      <c r="F368" s="3">
        <v>643</v>
      </c>
      <c r="G368" s="3">
        <v>643</v>
      </c>
      <c r="H368" s="29" t="s">
        <v>51</v>
      </c>
      <c r="I368" s="3">
        <v>0</v>
      </c>
      <c r="J368" s="7">
        <v>0.73819444444444449</v>
      </c>
      <c r="K368" s="7">
        <v>0.73819444444444449</v>
      </c>
      <c r="L368" s="3">
        <f t="shared" si="11"/>
        <v>1</v>
      </c>
      <c r="M368" s="3">
        <f t="shared" si="12"/>
        <v>0</v>
      </c>
      <c r="N368" s="29">
        <f>_xlfn.MAXIFS($G$7:G367,$E$7:E367,detalhe_carro1[[#This Row],[Nó]],$B$7:B367,detalhe_carro1[[#This Row],[Numero Voltas]],$L$7:L367,1)</f>
        <v>557</v>
      </c>
      <c r="O368" s="3" t="str">
        <f>IF(OR(detalhe_carro1[[#This Row],[Ultima Chegada]]=0,detalhe_carro1[[#This Row],[Chegada]]=0),"",detalhe_carro1[[#This Row],[Hora Inicio]]-detalhe_carro1[[#This Row],[Ultima Chegada]])</f>
        <v/>
      </c>
      <c r="P368" s="3">
        <f>IF(detalhe_carro1[[#This Row],[Tipo]]="Visitar Nó",((detalhe_carro1[[#This Row],[Hora Fim]]-detalhe_carro1[[#This Row],[Hora Inicio]])/60*velocidade_nos),0)</f>
        <v>0</v>
      </c>
      <c r="Q368" s="29">
        <f>detalhe_carro1[[#This Row],[Kms Nós]]+detalhe_carro1[[#This Row],[kms]]</f>
        <v>0</v>
      </c>
      <c r="S368" s="20">
        <v>4</v>
      </c>
      <c r="T368" s="20">
        <v>1</v>
      </c>
      <c r="U368" s="20">
        <v>6</v>
      </c>
      <c r="V368" s="20" t="s">
        <v>31</v>
      </c>
      <c r="W368">
        <v>933</v>
      </c>
      <c r="X368">
        <v>933</v>
      </c>
      <c r="Y368">
        <v>927</v>
      </c>
      <c r="Z368" s="7">
        <v>0.93958333333333333</v>
      </c>
      <c r="AA368" s="7">
        <v>0.93958333333333333</v>
      </c>
      <c r="AB368" s="7">
        <v>0.93541666666666667</v>
      </c>
      <c r="AC36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369" spans="2:29" x14ac:dyDescent="0.25">
      <c r="B369" s="3">
        <v>3</v>
      </c>
      <c r="C369">
        <v>1</v>
      </c>
      <c r="D369">
        <v>6</v>
      </c>
      <c r="E369" s="29" t="s">
        <v>31</v>
      </c>
      <c r="F369" s="3">
        <v>646</v>
      </c>
      <c r="G369" s="3">
        <v>656</v>
      </c>
      <c r="H369" s="29" t="s">
        <v>297</v>
      </c>
      <c r="I369" s="3">
        <v>0</v>
      </c>
      <c r="J369" s="7">
        <v>0.74027777777777781</v>
      </c>
      <c r="K369" s="7">
        <v>0.74722222222222223</v>
      </c>
      <c r="L369" s="3">
        <f t="shared" si="11"/>
        <v>0</v>
      </c>
      <c r="M369" s="3">
        <f t="shared" si="12"/>
        <v>1</v>
      </c>
      <c r="N369" s="29">
        <f>_xlfn.MAXIFS($G$7:G368,$E$7:E368,detalhe_carro1[[#This Row],[Nó]],$B$7:B368,detalhe_carro1[[#This Row],[Numero Voltas]],$L$7:L368,1)</f>
        <v>592</v>
      </c>
      <c r="O369" s="3">
        <f>IF(OR(detalhe_carro1[[#This Row],[Ultima Chegada]]=0,detalhe_carro1[[#This Row],[Chegada]]=0),"",detalhe_carro1[[#This Row],[Hora Inicio]]-detalhe_carro1[[#This Row],[Ultima Chegada]])</f>
        <v>54</v>
      </c>
      <c r="P369" s="3">
        <f>IF(detalhe_carro1[[#This Row],[Tipo]]="Visitar Nó",((detalhe_carro1[[#This Row],[Hora Fim]]-detalhe_carro1[[#This Row],[Hora Inicio]])/60*velocidade_nos),0)</f>
        <v>0</v>
      </c>
      <c r="Q369" s="29">
        <f>detalhe_carro1[[#This Row],[Kms Nós]]+detalhe_carro1[[#This Row],[kms]]</f>
        <v>0</v>
      </c>
      <c r="S369" s="20">
        <v>4</v>
      </c>
      <c r="T369" s="20">
        <v>1</v>
      </c>
      <c r="U369" s="20">
        <v>5</v>
      </c>
      <c r="V369" s="20" t="s">
        <v>29</v>
      </c>
      <c r="W369">
        <v>936</v>
      </c>
      <c r="X369">
        <v>936</v>
      </c>
      <c r="Y369">
        <v>924</v>
      </c>
      <c r="Z369" s="7">
        <v>0.94166666666666665</v>
      </c>
      <c r="AA369" s="7">
        <v>0.94166666666666665</v>
      </c>
      <c r="AB369" s="7">
        <v>0.93333333333333335</v>
      </c>
      <c r="AC36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370" spans="2:29" x14ac:dyDescent="0.25">
      <c r="B370" s="3">
        <v>3</v>
      </c>
      <c r="C370">
        <v>1</v>
      </c>
      <c r="D370">
        <v>6</v>
      </c>
      <c r="E370" s="29" t="s">
        <v>31</v>
      </c>
      <c r="F370" s="3">
        <v>659</v>
      </c>
      <c r="G370" s="3">
        <v>668</v>
      </c>
      <c r="H370" s="29" t="s">
        <v>50</v>
      </c>
      <c r="I370" s="3">
        <v>0</v>
      </c>
      <c r="J370" s="7">
        <v>0.74930555555555556</v>
      </c>
      <c r="K370" s="7">
        <v>0.75555555555555554</v>
      </c>
      <c r="L370" s="3">
        <f t="shared" si="11"/>
        <v>0</v>
      </c>
      <c r="M370" s="3">
        <f t="shared" si="12"/>
        <v>0</v>
      </c>
      <c r="N370" s="29">
        <f>_xlfn.MAXIFS($G$7:G369,$E$7:E369,detalhe_carro1[[#This Row],[Nó]],$B$7:B369,detalhe_carro1[[#This Row],[Numero Voltas]],$L$7:L369,1)</f>
        <v>592</v>
      </c>
      <c r="O370" s="3" t="str">
        <f>IF(OR(detalhe_carro1[[#This Row],[Ultima Chegada]]=0,detalhe_carro1[[#This Row],[Chegada]]=0),"",detalhe_carro1[[#This Row],[Hora Inicio]]-detalhe_carro1[[#This Row],[Ultima Chegada]])</f>
        <v/>
      </c>
      <c r="P370" s="3">
        <f>IF(detalhe_carro1[[#This Row],[Tipo]]="Visitar Nó",((detalhe_carro1[[#This Row],[Hora Fim]]-detalhe_carro1[[#This Row],[Hora Inicio]])/60*velocidade_nos),0)</f>
        <v>4.5</v>
      </c>
      <c r="Q370" s="29">
        <f>detalhe_carro1[[#This Row],[Kms Nós]]+detalhe_carro1[[#This Row],[kms]]</f>
        <v>4.5</v>
      </c>
      <c r="S370" s="20">
        <v>4</v>
      </c>
      <c r="T370" s="20">
        <v>1</v>
      </c>
      <c r="U370" s="20">
        <v>4</v>
      </c>
      <c r="V370" s="20" t="s">
        <v>27</v>
      </c>
      <c r="W370">
        <v>939</v>
      </c>
      <c r="X370">
        <v>939</v>
      </c>
      <c r="Y370">
        <v>921</v>
      </c>
      <c r="Z370" s="7">
        <v>0.94374999999999998</v>
      </c>
      <c r="AA370" s="7">
        <v>0.94374999999999998</v>
      </c>
      <c r="AB370" s="7">
        <v>0.93125000000000002</v>
      </c>
      <c r="AC37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71" spans="2:29" x14ac:dyDescent="0.25">
      <c r="B371" s="3">
        <v>3</v>
      </c>
      <c r="C371">
        <v>1</v>
      </c>
      <c r="D371">
        <v>6</v>
      </c>
      <c r="E371" s="29" t="s">
        <v>31</v>
      </c>
      <c r="F371" s="3">
        <v>671</v>
      </c>
      <c r="G371" s="3">
        <v>671</v>
      </c>
      <c r="H371" s="29" t="s">
        <v>51</v>
      </c>
      <c r="I371" s="3">
        <v>3</v>
      </c>
      <c r="J371" s="7">
        <v>0.75763888888888886</v>
      </c>
      <c r="K371" s="7">
        <v>0.75763888888888886</v>
      </c>
      <c r="L371" s="3">
        <f t="shared" si="11"/>
        <v>1</v>
      </c>
      <c r="M371" s="3">
        <f t="shared" si="12"/>
        <v>0</v>
      </c>
      <c r="N371" s="29">
        <f>_xlfn.MAXIFS($G$7:G370,$E$7:E370,detalhe_carro1[[#This Row],[Nó]],$B$7:B370,detalhe_carro1[[#This Row],[Numero Voltas]],$L$7:L370,1)</f>
        <v>592</v>
      </c>
      <c r="O371" s="3" t="str">
        <f>IF(OR(detalhe_carro1[[#This Row],[Ultima Chegada]]=0,detalhe_carro1[[#This Row],[Chegada]]=0),"",detalhe_carro1[[#This Row],[Hora Inicio]]-detalhe_carro1[[#This Row],[Ultima Chegada]])</f>
        <v/>
      </c>
      <c r="P371" s="3">
        <f>IF(detalhe_carro1[[#This Row],[Tipo]]="Visitar Nó",((detalhe_carro1[[#This Row],[Hora Fim]]-detalhe_carro1[[#This Row],[Hora Inicio]])/60*velocidade_nos),0)</f>
        <v>0</v>
      </c>
      <c r="Q371" s="29">
        <f>detalhe_carro1[[#This Row],[Kms Nós]]+detalhe_carro1[[#This Row],[kms]]</f>
        <v>3</v>
      </c>
      <c r="S371" s="20">
        <v>4</v>
      </c>
      <c r="T371" s="20">
        <v>1</v>
      </c>
      <c r="U371" s="20">
        <v>3</v>
      </c>
      <c r="V371" s="20" t="s">
        <v>26</v>
      </c>
      <c r="W371">
        <v>940</v>
      </c>
      <c r="X371">
        <v>940</v>
      </c>
      <c r="Y371">
        <v>920</v>
      </c>
      <c r="Z371" s="7">
        <v>0.94444444444444442</v>
      </c>
      <c r="AA371" s="7">
        <v>0.94444444444444442</v>
      </c>
      <c r="AB371" s="7">
        <v>0.93055555555555558</v>
      </c>
      <c r="AC37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72" spans="2:29" x14ac:dyDescent="0.25">
      <c r="B372" s="3">
        <v>3</v>
      </c>
      <c r="C372">
        <v>1</v>
      </c>
      <c r="D372">
        <v>5</v>
      </c>
      <c r="E372" s="29" t="s">
        <v>29</v>
      </c>
      <c r="F372" s="3">
        <v>674</v>
      </c>
      <c r="G372" s="3">
        <v>702</v>
      </c>
      <c r="H372" s="29" t="s">
        <v>50</v>
      </c>
      <c r="I372" s="3">
        <v>0</v>
      </c>
      <c r="J372" s="7">
        <v>0.75972222222222219</v>
      </c>
      <c r="K372" s="7">
        <v>0.77916666666666667</v>
      </c>
      <c r="L372" s="3">
        <f t="shared" si="11"/>
        <v>0</v>
      </c>
      <c r="M372" s="3">
        <f t="shared" si="12"/>
        <v>1</v>
      </c>
      <c r="N372" s="29">
        <f>_xlfn.MAXIFS($G$7:G371,$E$7:E371,detalhe_carro1[[#This Row],[Nó]],$B$7:B371,detalhe_carro1[[#This Row],[Numero Voltas]],$L$7:L371,1)</f>
        <v>589</v>
      </c>
      <c r="O372" s="3">
        <f>IF(OR(detalhe_carro1[[#This Row],[Ultima Chegada]]=0,detalhe_carro1[[#This Row],[Chegada]]=0),"",detalhe_carro1[[#This Row],[Hora Inicio]]-detalhe_carro1[[#This Row],[Ultima Chegada]])</f>
        <v>85</v>
      </c>
      <c r="P372" s="3">
        <f>IF(detalhe_carro1[[#This Row],[Tipo]]="Visitar Nó",((detalhe_carro1[[#This Row],[Hora Fim]]-detalhe_carro1[[#This Row],[Hora Inicio]])/60*velocidade_nos),0)</f>
        <v>14</v>
      </c>
      <c r="Q372" s="29">
        <f>detalhe_carro1[[#This Row],[Kms Nós]]+detalhe_carro1[[#This Row],[kms]]</f>
        <v>14</v>
      </c>
      <c r="S372" s="20">
        <v>4</v>
      </c>
      <c r="T372" s="20">
        <v>1</v>
      </c>
      <c r="U372" s="20">
        <v>2</v>
      </c>
      <c r="V372" s="20" t="s">
        <v>24</v>
      </c>
      <c r="W372">
        <v>941</v>
      </c>
      <c r="X372">
        <v>941</v>
      </c>
      <c r="Y372">
        <v>919</v>
      </c>
      <c r="Z372" s="7">
        <v>0.94513888888888886</v>
      </c>
      <c r="AA372" s="7">
        <v>0.94513888888888886</v>
      </c>
      <c r="AB372" s="7">
        <v>0.92986111111111114</v>
      </c>
      <c r="AC37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373" spans="2:29" x14ac:dyDescent="0.25">
      <c r="B373" s="3">
        <v>3</v>
      </c>
      <c r="C373">
        <v>1</v>
      </c>
      <c r="D373">
        <v>5</v>
      </c>
      <c r="E373" s="29" t="s">
        <v>29</v>
      </c>
      <c r="F373" s="3">
        <v>705</v>
      </c>
      <c r="G373" s="3">
        <v>705</v>
      </c>
      <c r="H373" s="29" t="s">
        <v>51</v>
      </c>
      <c r="I373" s="3">
        <v>3</v>
      </c>
      <c r="J373" s="7">
        <v>0.78125</v>
      </c>
      <c r="K373" s="7">
        <v>0.78125</v>
      </c>
      <c r="L373" s="3">
        <f t="shared" si="11"/>
        <v>1</v>
      </c>
      <c r="M373" s="3">
        <f t="shared" si="12"/>
        <v>0</v>
      </c>
      <c r="N373" s="29">
        <f>_xlfn.MAXIFS($G$7:G372,$E$7:E372,detalhe_carro1[[#This Row],[Nó]],$B$7:B372,detalhe_carro1[[#This Row],[Numero Voltas]],$L$7:L372,1)</f>
        <v>589</v>
      </c>
      <c r="O373" s="3" t="str">
        <f>IF(OR(detalhe_carro1[[#This Row],[Ultima Chegada]]=0,detalhe_carro1[[#This Row],[Chegada]]=0),"",detalhe_carro1[[#This Row],[Hora Inicio]]-detalhe_carro1[[#This Row],[Ultima Chegada]])</f>
        <v/>
      </c>
      <c r="P373" s="3">
        <f>IF(detalhe_carro1[[#This Row],[Tipo]]="Visitar Nó",((detalhe_carro1[[#This Row],[Hora Fim]]-detalhe_carro1[[#This Row],[Hora Inicio]])/60*velocidade_nos),0)</f>
        <v>0</v>
      </c>
      <c r="Q373" s="29">
        <f>detalhe_carro1[[#This Row],[Kms Nós]]+detalhe_carro1[[#This Row],[kms]]</f>
        <v>3</v>
      </c>
      <c r="S373" s="20">
        <v>4</v>
      </c>
      <c r="T373" s="20">
        <v>1</v>
      </c>
      <c r="U373" s="20">
        <v>1</v>
      </c>
      <c r="V373" s="20" t="s">
        <v>22</v>
      </c>
      <c r="W373">
        <v>948</v>
      </c>
      <c r="X373">
        <v>948</v>
      </c>
      <c r="Y373">
        <v>912</v>
      </c>
      <c r="Z373" s="7">
        <v>0.95</v>
      </c>
      <c r="AA373" s="7">
        <v>0.95</v>
      </c>
      <c r="AB373" s="7">
        <v>0.92500000000000004</v>
      </c>
      <c r="AC37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374" spans="2:29" x14ac:dyDescent="0.25">
      <c r="B374" s="3">
        <v>3</v>
      </c>
      <c r="C374">
        <v>1</v>
      </c>
      <c r="D374">
        <v>4</v>
      </c>
      <c r="E374" s="29" t="s">
        <v>27</v>
      </c>
      <c r="F374" s="3">
        <v>708</v>
      </c>
      <c r="G374" s="3">
        <v>721</v>
      </c>
      <c r="H374" s="29" t="s">
        <v>50</v>
      </c>
      <c r="I374" s="3">
        <v>0</v>
      </c>
      <c r="J374" s="7">
        <v>0.78333333333333333</v>
      </c>
      <c r="K374" s="7">
        <v>0.79236111111111107</v>
      </c>
      <c r="L374" s="3">
        <f t="shared" si="11"/>
        <v>0</v>
      </c>
      <c r="M374" s="3">
        <f t="shared" si="12"/>
        <v>1</v>
      </c>
      <c r="N374" s="29">
        <f>_xlfn.MAXIFS($G$7:G373,$E$7:E373,detalhe_carro1[[#This Row],[Nó]],$B$7:B373,detalhe_carro1[[#This Row],[Numero Voltas]],$L$7:L373,1)</f>
        <v>586</v>
      </c>
      <c r="O374" s="3">
        <f>IF(OR(detalhe_carro1[[#This Row],[Ultima Chegada]]=0,detalhe_carro1[[#This Row],[Chegada]]=0),"",detalhe_carro1[[#This Row],[Hora Inicio]]-detalhe_carro1[[#This Row],[Ultima Chegada]])</f>
        <v>122</v>
      </c>
      <c r="P374" s="3">
        <f>IF(detalhe_carro1[[#This Row],[Tipo]]="Visitar Nó",((detalhe_carro1[[#This Row],[Hora Fim]]-detalhe_carro1[[#This Row],[Hora Inicio]])/60*velocidade_nos),0)</f>
        <v>6.5</v>
      </c>
      <c r="Q374" s="29">
        <f>detalhe_carro1[[#This Row],[Kms Nós]]+detalhe_carro1[[#This Row],[kms]]</f>
        <v>6.5</v>
      </c>
      <c r="S374" s="20">
        <v>4</v>
      </c>
      <c r="T374" s="20">
        <v>1</v>
      </c>
      <c r="U374" s="20">
        <v>0</v>
      </c>
      <c r="V374" s="20" t="s">
        <v>20</v>
      </c>
      <c r="W374">
        <v>949</v>
      </c>
      <c r="X374">
        <v>949</v>
      </c>
      <c r="Y374">
        <v>911</v>
      </c>
      <c r="Z374" s="7">
        <v>0.9506944444444444</v>
      </c>
      <c r="AA374" s="7">
        <v>0.9506944444444444</v>
      </c>
      <c r="AB374" s="7">
        <v>0.9243055555555556</v>
      </c>
      <c r="AC37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75" spans="2:29" x14ac:dyDescent="0.25">
      <c r="B375" s="3">
        <v>3</v>
      </c>
      <c r="C375">
        <v>1</v>
      </c>
      <c r="D375">
        <v>4</v>
      </c>
      <c r="E375" s="29" t="s">
        <v>27</v>
      </c>
      <c r="F375" s="3">
        <v>724</v>
      </c>
      <c r="G375" s="3">
        <v>724</v>
      </c>
      <c r="H375" s="29" t="s">
        <v>51</v>
      </c>
      <c r="I375" s="3">
        <v>3</v>
      </c>
      <c r="J375" s="7">
        <v>0.7944444444444444</v>
      </c>
      <c r="K375" s="7">
        <v>0.7944444444444444</v>
      </c>
      <c r="L375" s="3">
        <f t="shared" si="11"/>
        <v>1</v>
      </c>
      <c r="M375" s="3">
        <f t="shared" si="12"/>
        <v>0</v>
      </c>
      <c r="N375" s="29">
        <f>_xlfn.MAXIFS($G$7:G374,$E$7:E374,detalhe_carro1[[#This Row],[Nó]],$B$7:B374,detalhe_carro1[[#This Row],[Numero Voltas]],$L$7:L374,1)</f>
        <v>586</v>
      </c>
      <c r="O375" s="3" t="str">
        <f>IF(OR(detalhe_carro1[[#This Row],[Ultima Chegada]]=0,detalhe_carro1[[#This Row],[Chegada]]=0),"",detalhe_carro1[[#This Row],[Hora Inicio]]-detalhe_carro1[[#This Row],[Ultima Chegada]])</f>
        <v/>
      </c>
      <c r="P375" s="3">
        <f>IF(detalhe_carro1[[#This Row],[Tipo]]="Visitar Nó",((detalhe_carro1[[#This Row],[Hora Fim]]-detalhe_carro1[[#This Row],[Hora Inicio]])/60*velocidade_nos),0)</f>
        <v>0</v>
      </c>
      <c r="Q375" s="29">
        <f>detalhe_carro1[[#This Row],[Kms Nós]]+detalhe_carro1[[#This Row],[kms]]</f>
        <v>3</v>
      </c>
      <c r="S375" s="20">
        <v>4</v>
      </c>
      <c r="T375" s="20">
        <v>1</v>
      </c>
      <c r="U375" s="20">
        <v>1</v>
      </c>
      <c r="V375" s="20" t="s">
        <v>22</v>
      </c>
      <c r="W375">
        <v>950</v>
      </c>
      <c r="X375">
        <v>1033</v>
      </c>
      <c r="Y375">
        <v>948</v>
      </c>
      <c r="Z375" s="7">
        <v>0.95138888888888884</v>
      </c>
      <c r="AA375" s="7">
        <v>9.0277777777777769E-3</v>
      </c>
      <c r="AB375" s="7">
        <v>0.95</v>
      </c>
      <c r="AC37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76" spans="2:29" x14ac:dyDescent="0.25">
      <c r="B376" s="3">
        <v>3</v>
      </c>
      <c r="C376">
        <v>1</v>
      </c>
      <c r="D376">
        <v>3</v>
      </c>
      <c r="E376" s="29" t="s">
        <v>26</v>
      </c>
      <c r="F376" s="3">
        <v>725</v>
      </c>
      <c r="G376" s="3">
        <v>735</v>
      </c>
      <c r="H376" s="29" t="s">
        <v>50</v>
      </c>
      <c r="I376" s="3">
        <v>0</v>
      </c>
      <c r="J376" s="7">
        <v>0.79513888888888884</v>
      </c>
      <c r="K376" s="7">
        <v>0.80208333333333337</v>
      </c>
      <c r="L376" s="3">
        <f t="shared" si="11"/>
        <v>0</v>
      </c>
      <c r="M376" s="3">
        <f t="shared" si="12"/>
        <v>1</v>
      </c>
      <c r="N376" s="29">
        <f>_xlfn.MAXIFS($G$7:G375,$E$7:E375,detalhe_carro1[[#This Row],[Nó]],$B$7:B375,detalhe_carro1[[#This Row],[Numero Voltas]],$L$7:L375,1)</f>
        <v>585</v>
      </c>
      <c r="O376" s="3">
        <f>IF(OR(detalhe_carro1[[#This Row],[Ultima Chegada]]=0,detalhe_carro1[[#This Row],[Chegada]]=0),"",detalhe_carro1[[#This Row],[Hora Inicio]]-detalhe_carro1[[#This Row],[Ultima Chegada]])</f>
        <v>140</v>
      </c>
      <c r="P376" s="3">
        <f>IF(detalhe_carro1[[#This Row],[Tipo]]="Visitar Nó",((detalhe_carro1[[#This Row],[Hora Fim]]-detalhe_carro1[[#This Row],[Hora Inicio]])/60*velocidade_nos),0)</f>
        <v>5</v>
      </c>
      <c r="Q376" s="29">
        <f>detalhe_carro1[[#This Row],[Kms Nós]]+detalhe_carro1[[#This Row],[kms]]</f>
        <v>5</v>
      </c>
      <c r="S376" s="20">
        <v>4</v>
      </c>
      <c r="T376" s="20">
        <v>1</v>
      </c>
      <c r="U376" s="20">
        <v>2</v>
      </c>
      <c r="V376" s="20" t="s">
        <v>24</v>
      </c>
      <c r="W376">
        <v>1040</v>
      </c>
      <c r="X376">
        <v>1040</v>
      </c>
      <c r="Y376">
        <v>941</v>
      </c>
      <c r="Z376" s="7">
        <v>1.3888888888888888E-2</v>
      </c>
      <c r="AA376" s="7">
        <v>1.3888888888888888E-2</v>
      </c>
      <c r="AB376" s="7">
        <v>0.94513888888888886</v>
      </c>
      <c r="AC37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1.65</v>
      </c>
    </row>
    <row r="377" spans="2:29" x14ac:dyDescent="0.25">
      <c r="B377" s="3">
        <v>3</v>
      </c>
      <c r="C377">
        <v>1</v>
      </c>
      <c r="D377">
        <v>3</v>
      </c>
      <c r="E377" s="29" t="s">
        <v>26</v>
      </c>
      <c r="F377" s="3">
        <v>736</v>
      </c>
      <c r="G377" s="3">
        <v>736</v>
      </c>
      <c r="H377" s="29" t="s">
        <v>51</v>
      </c>
      <c r="I377" s="3">
        <v>1</v>
      </c>
      <c r="J377" s="7">
        <v>0.80277777777777781</v>
      </c>
      <c r="K377" s="7">
        <v>0.80277777777777781</v>
      </c>
      <c r="L377" s="3">
        <f t="shared" si="11"/>
        <v>1</v>
      </c>
      <c r="M377" s="3">
        <f t="shared" si="12"/>
        <v>0</v>
      </c>
      <c r="N377" s="29">
        <f>_xlfn.MAXIFS($G$7:G376,$E$7:E376,detalhe_carro1[[#This Row],[Nó]],$B$7:B376,detalhe_carro1[[#This Row],[Numero Voltas]],$L$7:L376,1)</f>
        <v>585</v>
      </c>
      <c r="O377" s="3" t="str">
        <f>IF(OR(detalhe_carro1[[#This Row],[Ultima Chegada]]=0,detalhe_carro1[[#This Row],[Chegada]]=0),"",detalhe_carro1[[#This Row],[Hora Inicio]]-detalhe_carro1[[#This Row],[Ultima Chegada]])</f>
        <v/>
      </c>
      <c r="P377" s="3">
        <f>IF(detalhe_carro1[[#This Row],[Tipo]]="Visitar Nó",((detalhe_carro1[[#This Row],[Hora Fim]]-detalhe_carro1[[#This Row],[Hora Inicio]])/60*velocidade_nos),0)</f>
        <v>0</v>
      </c>
      <c r="Q377" s="29">
        <f>detalhe_carro1[[#This Row],[Kms Nós]]+detalhe_carro1[[#This Row],[kms]]</f>
        <v>1</v>
      </c>
      <c r="S377" s="20">
        <v>4</v>
      </c>
      <c r="T377" s="20">
        <v>1</v>
      </c>
      <c r="U377" s="20">
        <v>3</v>
      </c>
      <c r="V377" s="20" t="s">
        <v>26</v>
      </c>
      <c r="W377">
        <v>1041</v>
      </c>
      <c r="X377">
        <v>1041</v>
      </c>
      <c r="Y377">
        <v>940</v>
      </c>
      <c r="Z377" s="7">
        <v>1.4583333333333334E-2</v>
      </c>
      <c r="AA377" s="7">
        <v>1.4583333333333334E-2</v>
      </c>
      <c r="AB377" s="7">
        <v>0.94444444444444442</v>
      </c>
      <c r="AC37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1.6833333333333333</v>
      </c>
    </row>
    <row r="378" spans="2:29" x14ac:dyDescent="0.25">
      <c r="B378" s="3">
        <v>3</v>
      </c>
      <c r="C378">
        <v>1</v>
      </c>
      <c r="D378">
        <v>2</v>
      </c>
      <c r="E378" s="29" t="s">
        <v>24</v>
      </c>
      <c r="F378" s="3">
        <v>737</v>
      </c>
      <c r="G378" s="3">
        <v>751</v>
      </c>
      <c r="H378" s="29" t="s">
        <v>50</v>
      </c>
      <c r="I378" s="3">
        <v>0</v>
      </c>
      <c r="J378" s="7">
        <v>0.80347222222222225</v>
      </c>
      <c r="K378" s="7">
        <v>0.81319444444444444</v>
      </c>
      <c r="L378" s="3">
        <f t="shared" si="11"/>
        <v>0</v>
      </c>
      <c r="M378" s="3">
        <f t="shared" si="12"/>
        <v>1</v>
      </c>
      <c r="N378" s="29">
        <f>_xlfn.MAXIFS($G$7:G377,$E$7:E377,detalhe_carro1[[#This Row],[Nó]],$B$7:B377,detalhe_carro1[[#This Row],[Numero Voltas]],$L$7:L377,1)</f>
        <v>584</v>
      </c>
      <c r="O378" s="3">
        <f>IF(OR(detalhe_carro1[[#This Row],[Ultima Chegada]]=0,detalhe_carro1[[#This Row],[Chegada]]=0),"",detalhe_carro1[[#This Row],[Hora Inicio]]-detalhe_carro1[[#This Row],[Ultima Chegada]])</f>
        <v>153</v>
      </c>
      <c r="P378" s="3">
        <f>IF(detalhe_carro1[[#This Row],[Tipo]]="Visitar Nó",((detalhe_carro1[[#This Row],[Hora Fim]]-detalhe_carro1[[#This Row],[Hora Inicio]])/60*velocidade_nos),0)</f>
        <v>7</v>
      </c>
      <c r="Q378" s="29">
        <f>detalhe_carro1[[#This Row],[Kms Nós]]+detalhe_carro1[[#This Row],[kms]]</f>
        <v>7</v>
      </c>
      <c r="S378" s="20">
        <v>4</v>
      </c>
      <c r="T378" s="20">
        <v>1</v>
      </c>
      <c r="U378" s="20">
        <v>4</v>
      </c>
      <c r="V378" s="20" t="s">
        <v>27</v>
      </c>
      <c r="W378">
        <v>1042</v>
      </c>
      <c r="X378">
        <v>1042</v>
      </c>
      <c r="Y378">
        <v>939</v>
      </c>
      <c r="Z378" s="7">
        <v>1.5277777777777777E-2</v>
      </c>
      <c r="AA378" s="7">
        <v>1.5277777777777777E-2</v>
      </c>
      <c r="AB378" s="7">
        <v>0.94374999999999998</v>
      </c>
      <c r="AC37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</row>
    <row r="379" spans="2:29" x14ac:dyDescent="0.25">
      <c r="B379" s="3">
        <v>3</v>
      </c>
      <c r="C379">
        <v>1</v>
      </c>
      <c r="D379">
        <v>2</v>
      </c>
      <c r="E379" s="29" t="s">
        <v>24</v>
      </c>
      <c r="F379" s="3">
        <v>752</v>
      </c>
      <c r="G379" s="3">
        <v>752</v>
      </c>
      <c r="H379" s="29" t="s">
        <v>51</v>
      </c>
      <c r="I379" s="3">
        <v>1</v>
      </c>
      <c r="J379" s="7">
        <v>0.81388888888888888</v>
      </c>
      <c r="K379" s="7">
        <v>0.81388888888888888</v>
      </c>
      <c r="L379" s="3">
        <f t="shared" si="11"/>
        <v>1</v>
      </c>
      <c r="M379" s="3">
        <f t="shared" si="12"/>
        <v>0</v>
      </c>
      <c r="N379" s="29">
        <f>_xlfn.MAXIFS($G$7:G378,$E$7:E378,detalhe_carro1[[#This Row],[Nó]],$B$7:B378,detalhe_carro1[[#This Row],[Numero Voltas]],$L$7:L378,1)</f>
        <v>584</v>
      </c>
      <c r="O379" s="3" t="str">
        <f>IF(OR(detalhe_carro1[[#This Row],[Ultima Chegada]]=0,detalhe_carro1[[#This Row],[Chegada]]=0),"",detalhe_carro1[[#This Row],[Hora Inicio]]-detalhe_carro1[[#This Row],[Ultima Chegada]])</f>
        <v/>
      </c>
      <c r="P379" s="3">
        <f>IF(detalhe_carro1[[#This Row],[Tipo]]="Visitar Nó",((detalhe_carro1[[#This Row],[Hora Fim]]-detalhe_carro1[[#This Row],[Hora Inicio]])/60*velocidade_nos),0)</f>
        <v>0</v>
      </c>
      <c r="Q379" s="29">
        <f>detalhe_carro1[[#This Row],[Kms Nós]]+detalhe_carro1[[#This Row],[kms]]</f>
        <v>1</v>
      </c>
      <c r="S379" s="20">
        <v>4</v>
      </c>
      <c r="T379" s="20">
        <v>1</v>
      </c>
      <c r="U379" s="20">
        <v>5</v>
      </c>
      <c r="V379" s="20" t="s">
        <v>29</v>
      </c>
      <c r="W379">
        <v>1045</v>
      </c>
      <c r="X379">
        <v>1045</v>
      </c>
      <c r="Y379">
        <v>936</v>
      </c>
      <c r="Z379" s="7">
        <v>1.7361111111111112E-2</v>
      </c>
      <c r="AA379" s="7">
        <v>1.7361111111111112E-2</v>
      </c>
      <c r="AB379" s="7">
        <v>0.94166666666666665</v>
      </c>
      <c r="AC37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1.8166666666666667</v>
      </c>
    </row>
    <row r="380" spans="2:29" x14ac:dyDescent="0.25">
      <c r="B380" s="3">
        <v>3</v>
      </c>
      <c r="C380">
        <v>1</v>
      </c>
      <c r="D380">
        <v>1</v>
      </c>
      <c r="E380" s="29" t="s">
        <v>22</v>
      </c>
      <c r="F380" s="3">
        <v>759</v>
      </c>
      <c r="G380" s="3">
        <v>764</v>
      </c>
      <c r="H380" s="29" t="s">
        <v>50</v>
      </c>
      <c r="I380" s="3">
        <v>0</v>
      </c>
      <c r="J380" s="7">
        <v>0.81874999999999998</v>
      </c>
      <c r="K380" s="7">
        <v>0.82222222222222219</v>
      </c>
      <c r="L380" s="3">
        <f t="shared" si="11"/>
        <v>0</v>
      </c>
      <c r="M380" s="3">
        <f t="shared" si="12"/>
        <v>1</v>
      </c>
      <c r="N380" s="29">
        <f>_xlfn.MAXIFS($G$7:G379,$E$7:E379,detalhe_carro1[[#This Row],[Nó]],$B$7:B379,detalhe_carro1[[#This Row],[Numero Voltas]],$L$7:L379,1)</f>
        <v>577</v>
      </c>
      <c r="O380" s="3">
        <f>IF(OR(detalhe_carro1[[#This Row],[Ultima Chegada]]=0,detalhe_carro1[[#This Row],[Chegada]]=0),"",detalhe_carro1[[#This Row],[Hora Inicio]]-detalhe_carro1[[#This Row],[Ultima Chegada]])</f>
        <v>182</v>
      </c>
      <c r="P380" s="3">
        <f>IF(detalhe_carro1[[#This Row],[Tipo]]="Visitar Nó",((detalhe_carro1[[#This Row],[Hora Fim]]-detalhe_carro1[[#This Row],[Hora Inicio]])/60*velocidade_nos),0)</f>
        <v>2.5</v>
      </c>
      <c r="Q380" s="29">
        <f>detalhe_carro1[[#This Row],[Kms Nós]]+detalhe_carro1[[#This Row],[kms]]</f>
        <v>2.5</v>
      </c>
      <c r="S380" s="20">
        <v>4</v>
      </c>
      <c r="T380" s="20">
        <v>1</v>
      </c>
      <c r="U380" s="20">
        <v>6</v>
      </c>
      <c r="V380" s="20" t="s">
        <v>31</v>
      </c>
      <c r="W380">
        <v>1048</v>
      </c>
      <c r="X380">
        <v>1048</v>
      </c>
      <c r="Y380">
        <v>933</v>
      </c>
      <c r="Z380" s="7">
        <v>1.9444444444444445E-2</v>
      </c>
      <c r="AA380" s="7">
        <v>1.9444444444444445E-2</v>
      </c>
      <c r="AB380" s="7">
        <v>0.93958333333333333</v>
      </c>
      <c r="AC38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1.9166666666666667</v>
      </c>
    </row>
    <row r="381" spans="2:29" x14ac:dyDescent="0.25">
      <c r="B381" s="3">
        <v>3</v>
      </c>
      <c r="C381">
        <v>1</v>
      </c>
      <c r="D381">
        <v>1</v>
      </c>
      <c r="E381" s="29" t="s">
        <v>22</v>
      </c>
      <c r="F381" s="3">
        <v>771</v>
      </c>
      <c r="G381" s="3">
        <v>771</v>
      </c>
      <c r="H381" s="29" t="s">
        <v>51</v>
      </c>
      <c r="I381" s="3">
        <v>7</v>
      </c>
      <c r="J381" s="7">
        <v>0.82708333333333328</v>
      </c>
      <c r="K381" s="7">
        <v>0.82708333333333328</v>
      </c>
      <c r="L381" s="3">
        <f t="shared" si="11"/>
        <v>1</v>
      </c>
      <c r="M381" s="3">
        <f t="shared" si="12"/>
        <v>0</v>
      </c>
      <c r="N381" s="29">
        <f>_xlfn.MAXIFS($G$7:G380,$E$7:E380,detalhe_carro1[[#This Row],[Nó]],$B$7:B380,detalhe_carro1[[#This Row],[Numero Voltas]],$L$7:L380,1)</f>
        <v>577</v>
      </c>
      <c r="O381" s="3" t="str">
        <f>IF(OR(detalhe_carro1[[#This Row],[Ultima Chegada]]=0,detalhe_carro1[[#This Row],[Chegada]]=0),"",detalhe_carro1[[#This Row],[Hora Inicio]]-detalhe_carro1[[#This Row],[Ultima Chegada]])</f>
        <v/>
      </c>
      <c r="P381" s="3">
        <f>IF(detalhe_carro1[[#This Row],[Tipo]]="Visitar Nó",((detalhe_carro1[[#This Row],[Hora Fim]]-detalhe_carro1[[#This Row],[Hora Inicio]])/60*velocidade_nos),0)</f>
        <v>0</v>
      </c>
      <c r="Q381" s="29">
        <f>detalhe_carro1[[#This Row],[Kms Nós]]+detalhe_carro1[[#This Row],[kms]]</f>
        <v>7</v>
      </c>
      <c r="S381" s="20">
        <v>4</v>
      </c>
      <c r="T381" s="20">
        <v>1</v>
      </c>
      <c r="U381" s="20">
        <v>7</v>
      </c>
      <c r="V381" s="20" t="s">
        <v>33</v>
      </c>
      <c r="W381">
        <v>1051</v>
      </c>
      <c r="X381">
        <v>1051</v>
      </c>
      <c r="Y381">
        <v>930</v>
      </c>
      <c r="Z381" s="7">
        <v>2.1527777777777778E-2</v>
      </c>
      <c r="AA381" s="7">
        <v>2.1527777777777778E-2</v>
      </c>
      <c r="AB381" s="7">
        <v>0.9375</v>
      </c>
      <c r="AC38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2.0166666666666666</v>
      </c>
    </row>
    <row r="382" spans="2:29" x14ac:dyDescent="0.25">
      <c r="B382" s="3">
        <v>3</v>
      </c>
      <c r="C382">
        <v>1</v>
      </c>
      <c r="D382">
        <v>0</v>
      </c>
      <c r="E382" s="29" t="s">
        <v>20</v>
      </c>
      <c r="F382" s="3">
        <v>772</v>
      </c>
      <c r="G382" s="3">
        <v>772</v>
      </c>
      <c r="H382" s="29" t="s">
        <v>51</v>
      </c>
      <c r="I382" s="3">
        <v>1</v>
      </c>
      <c r="J382" s="7">
        <v>0.82777777777777772</v>
      </c>
      <c r="K382" s="7">
        <v>0.82777777777777772</v>
      </c>
      <c r="L382" s="3">
        <f t="shared" si="11"/>
        <v>0</v>
      </c>
      <c r="M382" s="3">
        <f t="shared" si="12"/>
        <v>1</v>
      </c>
      <c r="N382" s="29">
        <f>_xlfn.MAXIFS($G$7:G381,$E$7:E381,detalhe_carro1[[#This Row],[Nó]],$B$7:B381,detalhe_carro1[[#This Row],[Numero Voltas]],$L$7:L381,1)</f>
        <v>576</v>
      </c>
      <c r="O382" s="3">
        <f>IF(OR(detalhe_carro1[[#This Row],[Ultima Chegada]]=0,detalhe_carro1[[#This Row],[Chegada]]=0),"",detalhe_carro1[[#This Row],[Hora Inicio]]-detalhe_carro1[[#This Row],[Ultima Chegada]])</f>
        <v>196</v>
      </c>
      <c r="P382" s="3">
        <f>IF(detalhe_carro1[[#This Row],[Tipo]]="Visitar Nó",((detalhe_carro1[[#This Row],[Hora Fim]]-detalhe_carro1[[#This Row],[Hora Inicio]])/60*velocidade_nos),0)</f>
        <v>0</v>
      </c>
      <c r="Q382" s="29">
        <f>detalhe_carro1[[#This Row],[Kms Nós]]+detalhe_carro1[[#This Row],[kms]]</f>
        <v>1</v>
      </c>
      <c r="S382" s="20">
        <v>4</v>
      </c>
      <c r="T382" s="20">
        <v>2</v>
      </c>
      <c r="U382" s="20">
        <v>7</v>
      </c>
      <c r="V382" s="20" t="s">
        <v>33</v>
      </c>
      <c r="W382">
        <v>990</v>
      </c>
      <c r="X382">
        <v>1063</v>
      </c>
      <c r="Y382">
        <v>1051</v>
      </c>
      <c r="Z382" s="7">
        <v>0.97916666666666663</v>
      </c>
      <c r="AA382" s="7">
        <v>2.9861111111111113E-2</v>
      </c>
      <c r="AB382" s="7">
        <v>2.1527777777777778E-2</v>
      </c>
      <c r="AC38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-1.0166666666666666</v>
      </c>
    </row>
    <row r="383" spans="2:29" x14ac:dyDescent="0.25">
      <c r="B383" s="3">
        <v>3</v>
      </c>
      <c r="C383">
        <v>1</v>
      </c>
      <c r="D383">
        <v>0</v>
      </c>
      <c r="E383" s="29" t="s">
        <v>20</v>
      </c>
      <c r="F383" s="3">
        <v>772</v>
      </c>
      <c r="G383" s="3">
        <v>787</v>
      </c>
      <c r="H383" s="29" t="s">
        <v>50</v>
      </c>
      <c r="I383" s="3">
        <v>0</v>
      </c>
      <c r="J383" s="7">
        <v>0.82777777777777772</v>
      </c>
      <c r="K383" s="7">
        <v>0.83819444444444446</v>
      </c>
      <c r="L383" s="3">
        <f t="shared" si="11"/>
        <v>0</v>
      </c>
      <c r="M383" s="3">
        <f t="shared" si="12"/>
        <v>0</v>
      </c>
      <c r="N383" s="29">
        <f>_xlfn.MAXIFS($G$7:G382,$E$7:E382,detalhe_carro1[[#This Row],[Nó]],$B$7:B382,detalhe_carro1[[#This Row],[Numero Voltas]],$L$7:L382,1)</f>
        <v>576</v>
      </c>
      <c r="O383" s="3" t="str">
        <f>IF(OR(detalhe_carro1[[#This Row],[Ultima Chegada]]=0,detalhe_carro1[[#This Row],[Chegada]]=0),"",detalhe_carro1[[#This Row],[Hora Inicio]]-detalhe_carro1[[#This Row],[Ultima Chegada]])</f>
        <v/>
      </c>
      <c r="P383" s="3">
        <f>IF(detalhe_carro1[[#This Row],[Tipo]]="Visitar Nó",((detalhe_carro1[[#This Row],[Hora Fim]]-detalhe_carro1[[#This Row],[Hora Inicio]])/60*velocidade_nos),0)</f>
        <v>7.5</v>
      </c>
      <c r="Q383" s="29">
        <f>detalhe_carro1[[#This Row],[Kms Nós]]+detalhe_carro1[[#This Row],[kms]]</f>
        <v>7.5</v>
      </c>
      <c r="S383" s="20">
        <v>4</v>
      </c>
      <c r="T383" s="20">
        <v>2</v>
      </c>
      <c r="U383" s="20">
        <v>6</v>
      </c>
      <c r="V383" s="20" t="s">
        <v>31</v>
      </c>
      <c r="W383">
        <v>1066</v>
      </c>
      <c r="X383">
        <v>1091</v>
      </c>
      <c r="Y383">
        <v>1048</v>
      </c>
      <c r="Z383" s="7">
        <v>3.1944444444444442E-2</v>
      </c>
      <c r="AA383" s="7">
        <v>4.9305555555555554E-2</v>
      </c>
      <c r="AB383" s="7">
        <v>1.9444444444444445E-2</v>
      </c>
      <c r="AC38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84" spans="2:29" x14ac:dyDescent="0.25">
      <c r="B384" s="3">
        <v>3</v>
      </c>
      <c r="C384">
        <v>1</v>
      </c>
      <c r="D384">
        <v>0</v>
      </c>
      <c r="E384" s="29" t="s">
        <v>20</v>
      </c>
      <c r="F384" s="3">
        <v>787</v>
      </c>
      <c r="G384" s="3">
        <v>787</v>
      </c>
      <c r="H384" s="29" t="s">
        <v>51</v>
      </c>
      <c r="I384" s="3">
        <v>1</v>
      </c>
      <c r="J384" s="7">
        <v>0.83819444444444446</v>
      </c>
      <c r="K384" s="7">
        <v>0.83819444444444446</v>
      </c>
      <c r="L384" s="3">
        <f t="shared" si="11"/>
        <v>1</v>
      </c>
      <c r="M384" s="3">
        <f t="shared" si="12"/>
        <v>0</v>
      </c>
      <c r="N384" s="29">
        <f>_xlfn.MAXIFS($G$7:G383,$E$7:E383,detalhe_carro1[[#This Row],[Nó]],$B$7:B383,detalhe_carro1[[#This Row],[Numero Voltas]],$L$7:L383,1)</f>
        <v>576</v>
      </c>
      <c r="O384" s="3" t="str">
        <f>IF(OR(detalhe_carro1[[#This Row],[Ultima Chegada]]=0,detalhe_carro1[[#This Row],[Chegada]]=0),"",detalhe_carro1[[#This Row],[Hora Inicio]]-detalhe_carro1[[#This Row],[Ultima Chegada]])</f>
        <v/>
      </c>
      <c r="P384" s="3">
        <f>IF(detalhe_carro1[[#This Row],[Tipo]]="Visitar Nó",((detalhe_carro1[[#This Row],[Hora Fim]]-detalhe_carro1[[#This Row],[Hora Inicio]])/60*velocidade_nos),0)</f>
        <v>0</v>
      </c>
      <c r="Q384" s="29">
        <f>detalhe_carro1[[#This Row],[Kms Nós]]+detalhe_carro1[[#This Row],[kms]]</f>
        <v>1</v>
      </c>
      <c r="S384" s="20">
        <v>4</v>
      </c>
      <c r="T384" s="20">
        <v>2</v>
      </c>
      <c r="U384" s="20">
        <v>5</v>
      </c>
      <c r="V384" s="20" t="s">
        <v>29</v>
      </c>
      <c r="W384">
        <v>1094</v>
      </c>
      <c r="X384">
        <v>1125</v>
      </c>
      <c r="Y384">
        <v>1045</v>
      </c>
      <c r="Z384" s="7">
        <v>5.1388888888888887E-2</v>
      </c>
      <c r="AA384" s="7">
        <v>7.2916666666666671E-2</v>
      </c>
      <c r="AB384" s="7">
        <v>1.7361111111111112E-2</v>
      </c>
      <c r="AC38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0.81666666666666665</v>
      </c>
    </row>
    <row r="385" spans="2:29" x14ac:dyDescent="0.25">
      <c r="B385" s="3">
        <v>3</v>
      </c>
      <c r="C385">
        <v>1</v>
      </c>
      <c r="D385">
        <v>1</v>
      </c>
      <c r="E385" s="29" t="s">
        <v>22</v>
      </c>
      <c r="F385" s="3">
        <v>788</v>
      </c>
      <c r="G385" s="3">
        <v>793</v>
      </c>
      <c r="H385" s="29" t="s">
        <v>50</v>
      </c>
      <c r="I385" s="3">
        <v>0</v>
      </c>
      <c r="J385" s="7">
        <v>0.83888888888888891</v>
      </c>
      <c r="K385" s="7">
        <v>0.84236111111111112</v>
      </c>
      <c r="L385" s="3">
        <f t="shared" si="11"/>
        <v>0</v>
      </c>
      <c r="M385" s="3">
        <f t="shared" si="12"/>
        <v>1</v>
      </c>
      <c r="N385" s="29">
        <f>_xlfn.MAXIFS($G$7:G384,$E$7:E384,detalhe_carro1[[#This Row],[Nó]],$B$7:B384,detalhe_carro1[[#This Row],[Numero Voltas]],$L$7:L384,1)</f>
        <v>771</v>
      </c>
      <c r="O385" s="3">
        <f>IF(OR(detalhe_carro1[[#This Row],[Ultima Chegada]]=0,detalhe_carro1[[#This Row],[Chegada]]=0),"",detalhe_carro1[[#This Row],[Hora Inicio]]-detalhe_carro1[[#This Row],[Ultima Chegada]])</f>
        <v>17</v>
      </c>
      <c r="P385" s="3">
        <f>IF(detalhe_carro1[[#This Row],[Tipo]]="Visitar Nó",((detalhe_carro1[[#This Row],[Hora Fim]]-detalhe_carro1[[#This Row],[Hora Inicio]])/60*velocidade_nos),0)</f>
        <v>2.5</v>
      </c>
      <c r="Q385" s="29">
        <f>detalhe_carro1[[#This Row],[Kms Nós]]+detalhe_carro1[[#This Row],[kms]]</f>
        <v>2.5</v>
      </c>
      <c r="S385" s="20">
        <v>4</v>
      </c>
      <c r="T385" s="20">
        <v>2</v>
      </c>
      <c r="U385" s="20">
        <v>4</v>
      </c>
      <c r="V385" s="20" t="s">
        <v>27</v>
      </c>
      <c r="W385">
        <v>1128</v>
      </c>
      <c r="X385">
        <v>1144</v>
      </c>
      <c r="Y385">
        <v>1042</v>
      </c>
      <c r="Z385" s="7">
        <v>7.4999999999999997E-2</v>
      </c>
      <c r="AA385" s="7">
        <v>8.611111111111111E-2</v>
      </c>
      <c r="AB385" s="7">
        <v>1.5277777777777777E-2</v>
      </c>
      <c r="AC38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1.4333333333333333</v>
      </c>
    </row>
    <row r="386" spans="2:29" x14ac:dyDescent="0.25">
      <c r="B386" s="3">
        <v>3</v>
      </c>
      <c r="C386">
        <v>1</v>
      </c>
      <c r="D386">
        <v>1</v>
      </c>
      <c r="E386" s="29" t="s">
        <v>22</v>
      </c>
      <c r="F386" s="3">
        <v>794</v>
      </c>
      <c r="G386" s="3">
        <v>794</v>
      </c>
      <c r="H386" s="29" t="s">
        <v>51</v>
      </c>
      <c r="I386" s="3">
        <v>1</v>
      </c>
      <c r="J386" s="7">
        <v>0.84305555555555556</v>
      </c>
      <c r="K386" s="7">
        <v>0.84305555555555556</v>
      </c>
      <c r="L386" s="3">
        <f t="shared" si="11"/>
        <v>1</v>
      </c>
      <c r="M386" s="3">
        <f t="shared" si="12"/>
        <v>0</v>
      </c>
      <c r="N386" s="29">
        <f>_xlfn.MAXIFS($G$7:G385,$E$7:E385,detalhe_carro1[[#This Row],[Nó]],$B$7:B385,detalhe_carro1[[#This Row],[Numero Voltas]],$L$7:L385,1)</f>
        <v>771</v>
      </c>
      <c r="O386" s="3" t="str">
        <f>IF(OR(detalhe_carro1[[#This Row],[Ultima Chegada]]=0,detalhe_carro1[[#This Row],[Chegada]]=0),"",detalhe_carro1[[#This Row],[Hora Inicio]]-detalhe_carro1[[#This Row],[Ultima Chegada]])</f>
        <v/>
      </c>
      <c r="P386" s="3">
        <f>IF(detalhe_carro1[[#This Row],[Tipo]]="Visitar Nó",((detalhe_carro1[[#This Row],[Hora Fim]]-detalhe_carro1[[#This Row],[Hora Inicio]])/60*velocidade_nos),0)</f>
        <v>0</v>
      </c>
      <c r="Q386" s="29">
        <f>detalhe_carro1[[#This Row],[Kms Nós]]+detalhe_carro1[[#This Row],[kms]]</f>
        <v>1</v>
      </c>
      <c r="S386" s="20">
        <v>4</v>
      </c>
      <c r="T386" s="20">
        <v>2</v>
      </c>
      <c r="U386" s="20">
        <v>3</v>
      </c>
      <c r="V386" s="20" t="s">
        <v>26</v>
      </c>
      <c r="W386">
        <v>1145</v>
      </c>
      <c r="X386">
        <v>1156</v>
      </c>
      <c r="Y386">
        <v>1041</v>
      </c>
      <c r="Z386" s="7">
        <v>8.6805555555555552E-2</v>
      </c>
      <c r="AA386" s="7">
        <v>9.4444444444444442E-2</v>
      </c>
      <c r="AB386" s="7">
        <v>1.4583333333333334E-2</v>
      </c>
      <c r="AC38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1.7333333333333334</v>
      </c>
    </row>
    <row r="387" spans="2:29" x14ac:dyDescent="0.25">
      <c r="B387" s="3">
        <v>3</v>
      </c>
      <c r="C387">
        <v>1</v>
      </c>
      <c r="D387">
        <v>2</v>
      </c>
      <c r="E387" s="29" t="s">
        <v>24</v>
      </c>
      <c r="F387" s="3">
        <v>801</v>
      </c>
      <c r="G387" s="3">
        <v>815</v>
      </c>
      <c r="H387" s="29" t="s">
        <v>50</v>
      </c>
      <c r="I387" s="3">
        <v>0</v>
      </c>
      <c r="J387" s="7">
        <v>0.84791666666666665</v>
      </c>
      <c r="K387" s="7">
        <v>0.85763888888888884</v>
      </c>
      <c r="L387" s="3">
        <f t="shared" si="11"/>
        <v>0</v>
      </c>
      <c r="M387" s="3">
        <f t="shared" si="12"/>
        <v>1</v>
      </c>
      <c r="N387" s="29">
        <f>_xlfn.MAXIFS($G$7:G386,$E$7:E386,detalhe_carro1[[#This Row],[Nó]],$B$7:B386,detalhe_carro1[[#This Row],[Numero Voltas]],$L$7:L386,1)</f>
        <v>752</v>
      </c>
      <c r="O387" s="3">
        <f>IF(OR(detalhe_carro1[[#This Row],[Ultima Chegada]]=0,detalhe_carro1[[#This Row],[Chegada]]=0),"",detalhe_carro1[[#This Row],[Hora Inicio]]-detalhe_carro1[[#This Row],[Ultima Chegada]])</f>
        <v>49</v>
      </c>
      <c r="P387" s="3">
        <f>IF(detalhe_carro1[[#This Row],[Tipo]]="Visitar Nó",((detalhe_carro1[[#This Row],[Hora Fim]]-detalhe_carro1[[#This Row],[Hora Inicio]])/60*velocidade_nos),0)</f>
        <v>7</v>
      </c>
      <c r="Q387" s="29">
        <f>detalhe_carro1[[#This Row],[Kms Nós]]+detalhe_carro1[[#This Row],[kms]]</f>
        <v>7</v>
      </c>
      <c r="S387" s="20">
        <v>4</v>
      </c>
      <c r="T387" s="20">
        <v>2</v>
      </c>
      <c r="U387" s="20">
        <v>2</v>
      </c>
      <c r="V387" s="20" t="s">
        <v>24</v>
      </c>
      <c r="W387">
        <v>1157</v>
      </c>
      <c r="X387">
        <v>1172</v>
      </c>
      <c r="Y387">
        <v>1040</v>
      </c>
      <c r="Z387" s="7">
        <v>9.5138888888888884E-2</v>
      </c>
      <c r="AA387" s="7">
        <v>0.10555555555555556</v>
      </c>
      <c r="AB387" s="7">
        <v>1.3888888888888888E-2</v>
      </c>
      <c r="AC38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1.95</v>
      </c>
    </row>
    <row r="388" spans="2:29" x14ac:dyDescent="0.25">
      <c r="B388" s="3">
        <v>3</v>
      </c>
      <c r="C388">
        <v>1</v>
      </c>
      <c r="D388">
        <v>2</v>
      </c>
      <c r="E388" s="29" t="s">
        <v>24</v>
      </c>
      <c r="F388" s="3">
        <v>822</v>
      </c>
      <c r="G388" s="3">
        <v>822</v>
      </c>
      <c r="H388" s="29" t="s">
        <v>51</v>
      </c>
      <c r="I388" s="3">
        <v>7</v>
      </c>
      <c r="J388" s="7">
        <v>0.86250000000000004</v>
      </c>
      <c r="K388" s="7">
        <v>0.86250000000000004</v>
      </c>
      <c r="L388" s="3">
        <f t="shared" si="11"/>
        <v>1</v>
      </c>
      <c r="M388" s="3">
        <f t="shared" si="12"/>
        <v>0</v>
      </c>
      <c r="N388" s="29">
        <f>_xlfn.MAXIFS($G$7:G387,$E$7:E387,detalhe_carro1[[#This Row],[Nó]],$B$7:B387,detalhe_carro1[[#This Row],[Numero Voltas]],$L$7:L387,1)</f>
        <v>752</v>
      </c>
      <c r="O388" s="3" t="str">
        <f>IF(OR(detalhe_carro1[[#This Row],[Ultima Chegada]]=0,detalhe_carro1[[#This Row],[Chegada]]=0),"",detalhe_carro1[[#This Row],[Hora Inicio]]-detalhe_carro1[[#This Row],[Ultima Chegada]])</f>
        <v/>
      </c>
      <c r="P388" s="3">
        <f>IF(detalhe_carro1[[#This Row],[Tipo]]="Visitar Nó",((detalhe_carro1[[#This Row],[Hora Fim]]-detalhe_carro1[[#This Row],[Hora Inicio]])/60*velocidade_nos),0)</f>
        <v>0</v>
      </c>
      <c r="Q388" s="29">
        <f>detalhe_carro1[[#This Row],[Kms Nós]]+detalhe_carro1[[#This Row],[kms]]</f>
        <v>7</v>
      </c>
      <c r="S388" s="20">
        <v>4</v>
      </c>
      <c r="T388" s="20">
        <v>2</v>
      </c>
      <c r="U388" s="20">
        <v>1</v>
      </c>
      <c r="V388" s="20" t="s">
        <v>22</v>
      </c>
      <c r="W388">
        <v>1179</v>
      </c>
      <c r="X388">
        <v>1191</v>
      </c>
      <c r="Y388">
        <v>1033</v>
      </c>
      <c r="Z388" s="7">
        <v>0.11041666666666666</v>
      </c>
      <c r="AA388" s="7">
        <v>0.11874999999999999</v>
      </c>
      <c r="AB388" s="7">
        <v>9.0277777777777769E-3</v>
      </c>
      <c r="AC38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2.4333333333333331</v>
      </c>
    </row>
    <row r="389" spans="2:29" x14ac:dyDescent="0.25">
      <c r="B389" s="3">
        <v>3</v>
      </c>
      <c r="C389">
        <v>1</v>
      </c>
      <c r="D389">
        <v>3</v>
      </c>
      <c r="E389" s="29" t="s">
        <v>26</v>
      </c>
      <c r="F389" s="3">
        <v>823</v>
      </c>
      <c r="G389" s="3">
        <v>833</v>
      </c>
      <c r="H389" s="29" t="s">
        <v>50</v>
      </c>
      <c r="I389" s="3">
        <v>0</v>
      </c>
      <c r="J389" s="7">
        <v>0.86319444444444449</v>
      </c>
      <c r="K389" s="7">
        <v>0.87013888888888891</v>
      </c>
      <c r="L389" s="3">
        <f t="shared" si="11"/>
        <v>0</v>
      </c>
      <c r="M389" s="3">
        <f t="shared" si="12"/>
        <v>1</v>
      </c>
      <c r="N389" s="29">
        <f>_xlfn.MAXIFS($G$7:G388,$E$7:E388,detalhe_carro1[[#This Row],[Nó]],$B$7:B388,detalhe_carro1[[#This Row],[Numero Voltas]],$L$7:L388,1)</f>
        <v>736</v>
      </c>
      <c r="O389" s="3">
        <f>IF(OR(detalhe_carro1[[#This Row],[Ultima Chegada]]=0,detalhe_carro1[[#This Row],[Chegada]]=0),"",detalhe_carro1[[#This Row],[Hora Inicio]]-detalhe_carro1[[#This Row],[Ultima Chegada]])</f>
        <v>87</v>
      </c>
      <c r="P389" s="3">
        <f>IF(detalhe_carro1[[#This Row],[Tipo]]="Visitar Nó",((detalhe_carro1[[#This Row],[Hora Fim]]-detalhe_carro1[[#This Row],[Hora Inicio]])/60*velocidade_nos),0)</f>
        <v>5</v>
      </c>
      <c r="Q389" s="29">
        <f>detalhe_carro1[[#This Row],[Kms Nós]]+detalhe_carro1[[#This Row],[kms]]</f>
        <v>5</v>
      </c>
      <c r="S389" s="20">
        <v>4</v>
      </c>
      <c r="T389" s="20">
        <v>2</v>
      </c>
      <c r="U389" s="20">
        <v>0</v>
      </c>
      <c r="V389" s="20" t="s">
        <v>20</v>
      </c>
      <c r="W389">
        <v>1192</v>
      </c>
      <c r="X389">
        <v>1207</v>
      </c>
      <c r="Y389">
        <v>949</v>
      </c>
      <c r="Z389" s="7">
        <v>0.11944444444444445</v>
      </c>
      <c r="AA389" s="7">
        <v>0.12986111111111112</v>
      </c>
      <c r="AB389" s="7">
        <v>0.9506944444444444</v>
      </c>
      <c r="AC38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4.05</v>
      </c>
    </row>
    <row r="390" spans="2:29" x14ac:dyDescent="0.25">
      <c r="B390" s="3">
        <v>3</v>
      </c>
      <c r="C390">
        <v>1</v>
      </c>
      <c r="D390">
        <v>3</v>
      </c>
      <c r="E390" s="29" t="s">
        <v>26</v>
      </c>
      <c r="F390" s="3">
        <v>834</v>
      </c>
      <c r="G390" s="3">
        <v>834</v>
      </c>
      <c r="H390" s="29" t="s">
        <v>51</v>
      </c>
      <c r="I390" s="3">
        <v>1</v>
      </c>
      <c r="J390" s="7">
        <v>0.87083333333333335</v>
      </c>
      <c r="K390" s="7">
        <v>0.87083333333333335</v>
      </c>
      <c r="L390" s="3">
        <f t="shared" si="11"/>
        <v>1</v>
      </c>
      <c r="M390" s="3">
        <f t="shared" si="12"/>
        <v>0</v>
      </c>
      <c r="N390" s="29">
        <f>_xlfn.MAXIFS($G$7:G389,$E$7:E389,detalhe_carro1[[#This Row],[Nó]],$B$7:B389,detalhe_carro1[[#This Row],[Numero Voltas]],$L$7:L389,1)</f>
        <v>736</v>
      </c>
      <c r="O390" s="3" t="str">
        <f>IF(OR(detalhe_carro1[[#This Row],[Ultima Chegada]]=0,detalhe_carro1[[#This Row],[Chegada]]=0),"",detalhe_carro1[[#This Row],[Hora Inicio]]-detalhe_carro1[[#This Row],[Ultima Chegada]])</f>
        <v/>
      </c>
      <c r="P390" s="3">
        <f>IF(detalhe_carro1[[#This Row],[Tipo]]="Visitar Nó",((detalhe_carro1[[#This Row],[Hora Fim]]-detalhe_carro1[[#This Row],[Hora Inicio]])/60*velocidade_nos),0)</f>
        <v>0</v>
      </c>
      <c r="Q390" s="29">
        <f>detalhe_carro1[[#This Row],[Kms Nós]]+detalhe_carro1[[#This Row],[kms]]</f>
        <v>1</v>
      </c>
      <c r="S390" s="20">
        <v>4</v>
      </c>
      <c r="T390" s="20">
        <v>2</v>
      </c>
      <c r="U390" s="20">
        <v>1</v>
      </c>
      <c r="V390" s="20" t="s">
        <v>22</v>
      </c>
      <c r="W390">
        <v>1208</v>
      </c>
      <c r="X390">
        <v>1214</v>
      </c>
      <c r="Y390">
        <v>1191</v>
      </c>
      <c r="Z390" s="7">
        <v>0.13055555555555556</v>
      </c>
      <c r="AA390" s="7">
        <v>0.13472222222222222</v>
      </c>
      <c r="AB390" s="7">
        <v>0.11874999999999999</v>
      </c>
      <c r="AC39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391" spans="2:29" x14ac:dyDescent="0.25">
      <c r="B391" s="3">
        <v>3</v>
      </c>
      <c r="C391">
        <v>1</v>
      </c>
      <c r="D391">
        <v>4</v>
      </c>
      <c r="E391" s="29" t="s">
        <v>27</v>
      </c>
      <c r="F391" s="3">
        <v>835</v>
      </c>
      <c r="G391" s="3">
        <v>848</v>
      </c>
      <c r="H391" s="29" t="s">
        <v>50</v>
      </c>
      <c r="I391" s="3">
        <v>0</v>
      </c>
      <c r="J391" s="7">
        <v>0.87152777777777779</v>
      </c>
      <c r="K391" s="7">
        <v>0.88055555555555554</v>
      </c>
      <c r="L391" s="3">
        <f t="shared" ref="L391:L454" si="13">IF(E391&lt;&gt;E392,1,0)</f>
        <v>0</v>
      </c>
      <c r="M391" s="3">
        <f t="shared" ref="M391:M454" si="14">IF(E391&lt;&gt;E390,1,0)</f>
        <v>1</v>
      </c>
      <c r="N391" s="29">
        <f>_xlfn.MAXIFS($G$7:G390,$E$7:E390,detalhe_carro1[[#This Row],[Nó]],$B$7:B390,detalhe_carro1[[#This Row],[Numero Voltas]],$L$7:L390,1)</f>
        <v>724</v>
      </c>
      <c r="O391" s="3">
        <f>IF(OR(detalhe_carro1[[#This Row],[Ultima Chegada]]=0,detalhe_carro1[[#This Row],[Chegada]]=0),"",detalhe_carro1[[#This Row],[Hora Inicio]]-detalhe_carro1[[#This Row],[Ultima Chegada]])</f>
        <v>111</v>
      </c>
      <c r="P391" s="3">
        <f>IF(detalhe_carro1[[#This Row],[Tipo]]="Visitar Nó",((detalhe_carro1[[#This Row],[Hora Fim]]-detalhe_carro1[[#This Row],[Hora Inicio]])/60*velocidade_nos),0)</f>
        <v>6.5</v>
      </c>
      <c r="Q391" s="29">
        <f>detalhe_carro1[[#This Row],[Kms Nós]]+detalhe_carro1[[#This Row],[kms]]</f>
        <v>6.5</v>
      </c>
      <c r="S391" s="20">
        <v>4</v>
      </c>
      <c r="T391" s="20">
        <v>2</v>
      </c>
      <c r="U391" s="20">
        <v>2</v>
      </c>
      <c r="V391" s="20" t="s">
        <v>24</v>
      </c>
      <c r="W391">
        <v>1221</v>
      </c>
      <c r="X391">
        <v>1242</v>
      </c>
      <c r="Y391">
        <v>1172</v>
      </c>
      <c r="Z391" s="7">
        <v>0.13958333333333334</v>
      </c>
      <c r="AA391" s="7">
        <v>0.15416666666666667</v>
      </c>
      <c r="AB391" s="7">
        <v>0.10555555555555556</v>
      </c>
      <c r="AC39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0.81666666666666665</v>
      </c>
    </row>
    <row r="392" spans="2:29" x14ac:dyDescent="0.25">
      <c r="B392" s="3">
        <v>3</v>
      </c>
      <c r="C392">
        <v>1</v>
      </c>
      <c r="D392">
        <v>4</v>
      </c>
      <c r="E392" s="29" t="s">
        <v>27</v>
      </c>
      <c r="F392" s="3">
        <v>849</v>
      </c>
      <c r="G392" s="3">
        <v>849</v>
      </c>
      <c r="H392" s="29" t="s">
        <v>51</v>
      </c>
      <c r="I392" s="3">
        <v>1</v>
      </c>
      <c r="J392" s="7">
        <v>0.88124999999999998</v>
      </c>
      <c r="K392" s="7">
        <v>0.88124999999999998</v>
      </c>
      <c r="L392" s="3">
        <f t="shared" si="13"/>
        <v>1</v>
      </c>
      <c r="M392" s="3">
        <f t="shared" si="14"/>
        <v>0</v>
      </c>
      <c r="N392" s="29">
        <f>_xlfn.MAXIFS($G$7:G391,$E$7:E391,detalhe_carro1[[#This Row],[Nó]],$B$7:B391,detalhe_carro1[[#This Row],[Numero Voltas]],$L$7:L391,1)</f>
        <v>724</v>
      </c>
      <c r="O392" s="3" t="str">
        <f>IF(OR(detalhe_carro1[[#This Row],[Ultima Chegada]]=0,detalhe_carro1[[#This Row],[Chegada]]=0),"",detalhe_carro1[[#This Row],[Hora Inicio]]-detalhe_carro1[[#This Row],[Ultima Chegada]])</f>
        <v/>
      </c>
      <c r="P392" s="3">
        <f>IF(detalhe_carro1[[#This Row],[Tipo]]="Visitar Nó",((detalhe_carro1[[#This Row],[Hora Fim]]-detalhe_carro1[[#This Row],[Hora Inicio]])/60*velocidade_nos),0)</f>
        <v>0</v>
      </c>
      <c r="Q392" s="29">
        <f>detalhe_carro1[[#This Row],[Kms Nós]]+detalhe_carro1[[#This Row],[kms]]</f>
        <v>1</v>
      </c>
      <c r="S392" s="20">
        <v>4</v>
      </c>
      <c r="T392" s="20">
        <v>2</v>
      </c>
      <c r="U392" s="20">
        <v>3</v>
      </c>
      <c r="V392" s="20" t="s">
        <v>26</v>
      </c>
      <c r="W392">
        <v>1243</v>
      </c>
      <c r="X392">
        <v>1254</v>
      </c>
      <c r="Y392">
        <v>1156</v>
      </c>
      <c r="Z392" s="7">
        <v>0.15486111111111112</v>
      </c>
      <c r="AA392" s="7">
        <v>0.16250000000000001</v>
      </c>
      <c r="AB392" s="7">
        <v>9.4444444444444442E-2</v>
      </c>
      <c r="AC39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393" spans="2:29" x14ac:dyDescent="0.25">
      <c r="B393" s="3">
        <v>3</v>
      </c>
      <c r="C393">
        <v>1</v>
      </c>
      <c r="D393">
        <v>5</v>
      </c>
      <c r="E393" s="29" t="s">
        <v>29</v>
      </c>
      <c r="F393" s="3">
        <v>852</v>
      </c>
      <c r="G393" s="3">
        <v>862</v>
      </c>
      <c r="H393" s="29" t="s">
        <v>297</v>
      </c>
      <c r="I393" s="3">
        <v>0</v>
      </c>
      <c r="J393" s="7">
        <v>0.8833333333333333</v>
      </c>
      <c r="K393" s="7">
        <v>0.89027777777777772</v>
      </c>
      <c r="L393" s="3">
        <f t="shared" si="13"/>
        <v>0</v>
      </c>
      <c r="M393" s="3">
        <f t="shared" si="14"/>
        <v>1</v>
      </c>
      <c r="N393" s="29">
        <f>_xlfn.MAXIFS($G$7:G392,$E$7:E392,detalhe_carro1[[#This Row],[Nó]],$B$7:B392,detalhe_carro1[[#This Row],[Numero Voltas]],$L$7:L392,1)</f>
        <v>705</v>
      </c>
      <c r="O393" s="3">
        <f>IF(OR(detalhe_carro1[[#This Row],[Ultima Chegada]]=0,detalhe_carro1[[#This Row],[Chegada]]=0),"",detalhe_carro1[[#This Row],[Hora Inicio]]-detalhe_carro1[[#This Row],[Ultima Chegada]])</f>
        <v>147</v>
      </c>
      <c r="P393" s="3">
        <f>IF(detalhe_carro1[[#This Row],[Tipo]]="Visitar Nó",((detalhe_carro1[[#This Row],[Hora Fim]]-detalhe_carro1[[#This Row],[Hora Inicio]])/60*velocidade_nos),0)</f>
        <v>0</v>
      </c>
      <c r="Q393" s="29">
        <f>detalhe_carro1[[#This Row],[Kms Nós]]+detalhe_carro1[[#This Row],[kms]]</f>
        <v>0</v>
      </c>
      <c r="S393" s="20">
        <v>4</v>
      </c>
      <c r="T393" s="20">
        <v>2</v>
      </c>
      <c r="U393" s="20">
        <v>4</v>
      </c>
      <c r="V393" s="20" t="s">
        <v>27</v>
      </c>
      <c r="W393">
        <v>1255</v>
      </c>
      <c r="X393">
        <v>1269</v>
      </c>
      <c r="Y393">
        <v>1144</v>
      </c>
      <c r="Z393" s="7">
        <v>0.16319444444444445</v>
      </c>
      <c r="AA393" s="7">
        <v>0.17291666666666666</v>
      </c>
      <c r="AB393" s="7">
        <v>8.611111111111111E-2</v>
      </c>
      <c r="AC39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1.85</v>
      </c>
    </row>
    <row r="394" spans="2:29" x14ac:dyDescent="0.25">
      <c r="B394" s="3">
        <v>3</v>
      </c>
      <c r="C394">
        <v>1</v>
      </c>
      <c r="D394">
        <v>5</v>
      </c>
      <c r="E394" s="29" t="s">
        <v>29</v>
      </c>
      <c r="F394" s="3">
        <v>865</v>
      </c>
      <c r="G394" s="3">
        <v>893</v>
      </c>
      <c r="H394" s="29" t="s">
        <v>50</v>
      </c>
      <c r="I394" s="3">
        <v>0</v>
      </c>
      <c r="J394" s="7">
        <v>0.89236111111111116</v>
      </c>
      <c r="K394" s="7">
        <v>0.91180555555555554</v>
      </c>
      <c r="L394" s="3">
        <f t="shared" si="13"/>
        <v>0</v>
      </c>
      <c r="M394" s="3">
        <f t="shared" si="14"/>
        <v>0</v>
      </c>
      <c r="N394" s="29">
        <f>_xlfn.MAXIFS($G$7:G393,$E$7:E393,detalhe_carro1[[#This Row],[Nó]],$B$7:B393,detalhe_carro1[[#This Row],[Numero Voltas]],$L$7:L393,1)</f>
        <v>705</v>
      </c>
      <c r="O394" s="3" t="str">
        <f>IF(OR(detalhe_carro1[[#This Row],[Ultima Chegada]]=0,detalhe_carro1[[#This Row],[Chegada]]=0),"",detalhe_carro1[[#This Row],[Hora Inicio]]-detalhe_carro1[[#This Row],[Ultima Chegada]])</f>
        <v/>
      </c>
      <c r="P394" s="3">
        <f>IF(detalhe_carro1[[#This Row],[Tipo]]="Visitar Nó",((detalhe_carro1[[#This Row],[Hora Fim]]-detalhe_carro1[[#This Row],[Hora Inicio]])/60*velocidade_nos),0)</f>
        <v>14</v>
      </c>
      <c r="Q394" s="29">
        <f>detalhe_carro1[[#This Row],[Kms Nós]]+detalhe_carro1[[#This Row],[kms]]</f>
        <v>14</v>
      </c>
      <c r="S394" s="20">
        <v>4</v>
      </c>
      <c r="T394" s="20">
        <v>2</v>
      </c>
      <c r="U394" s="20">
        <v>5</v>
      </c>
      <c r="V394" s="20" t="s">
        <v>29</v>
      </c>
      <c r="W394">
        <v>1272</v>
      </c>
      <c r="X394">
        <v>1316</v>
      </c>
      <c r="Y394">
        <v>1125</v>
      </c>
      <c r="Z394" s="7">
        <v>0.17499999999999999</v>
      </c>
      <c r="AA394" s="7">
        <v>0.20555555555555555</v>
      </c>
      <c r="AB394" s="7">
        <v>7.2916666666666671E-2</v>
      </c>
      <c r="AC39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2.4500000000000002</v>
      </c>
    </row>
    <row r="395" spans="2:29" x14ac:dyDescent="0.25">
      <c r="B395" s="3">
        <v>3</v>
      </c>
      <c r="C395">
        <v>1</v>
      </c>
      <c r="D395">
        <v>5</v>
      </c>
      <c r="E395" s="29" t="s">
        <v>29</v>
      </c>
      <c r="F395" s="3">
        <v>896</v>
      </c>
      <c r="G395" s="3">
        <v>896</v>
      </c>
      <c r="H395" s="29" t="s">
        <v>51</v>
      </c>
      <c r="I395" s="3">
        <v>3</v>
      </c>
      <c r="J395" s="7">
        <v>0.91388888888888886</v>
      </c>
      <c r="K395" s="7">
        <v>0.91388888888888886</v>
      </c>
      <c r="L395" s="3">
        <f t="shared" si="13"/>
        <v>1</v>
      </c>
      <c r="M395" s="3">
        <f t="shared" si="14"/>
        <v>0</v>
      </c>
      <c r="N395" s="29">
        <f>_xlfn.MAXIFS($G$7:G394,$E$7:E394,detalhe_carro1[[#This Row],[Nó]],$B$7:B394,detalhe_carro1[[#This Row],[Numero Voltas]],$L$7:L394,1)</f>
        <v>705</v>
      </c>
      <c r="O395" s="3" t="str">
        <f>IF(OR(detalhe_carro1[[#This Row],[Ultima Chegada]]=0,detalhe_carro1[[#This Row],[Chegada]]=0),"",detalhe_carro1[[#This Row],[Hora Inicio]]-detalhe_carro1[[#This Row],[Ultima Chegada]])</f>
        <v/>
      </c>
      <c r="P395" s="3">
        <f>IF(detalhe_carro1[[#This Row],[Tipo]]="Visitar Nó",((detalhe_carro1[[#This Row],[Hora Fim]]-detalhe_carro1[[#This Row],[Hora Inicio]])/60*velocidade_nos),0)</f>
        <v>0</v>
      </c>
      <c r="Q395" s="29">
        <f>detalhe_carro1[[#This Row],[Kms Nós]]+detalhe_carro1[[#This Row],[kms]]</f>
        <v>3</v>
      </c>
      <c r="S395" s="20">
        <v>4</v>
      </c>
      <c r="T395" s="20">
        <v>2</v>
      </c>
      <c r="U395" s="20">
        <v>6</v>
      </c>
      <c r="V395" s="20" t="s">
        <v>31</v>
      </c>
      <c r="W395">
        <v>1319</v>
      </c>
      <c r="X395">
        <v>1331</v>
      </c>
      <c r="Y395">
        <v>1091</v>
      </c>
      <c r="Z395" s="7">
        <v>0.2076388888888889</v>
      </c>
      <c r="AA395" s="7">
        <v>0.21597222222222223</v>
      </c>
      <c r="AB395" s="7">
        <v>4.9305555555555554E-2</v>
      </c>
      <c r="AC39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3.8</v>
      </c>
    </row>
    <row r="396" spans="2:29" x14ac:dyDescent="0.25">
      <c r="B396" s="3">
        <v>3</v>
      </c>
      <c r="C396">
        <v>1</v>
      </c>
      <c r="D396">
        <v>6</v>
      </c>
      <c r="E396" s="29" t="s">
        <v>31</v>
      </c>
      <c r="F396" s="3">
        <v>899</v>
      </c>
      <c r="G396" s="3">
        <v>908</v>
      </c>
      <c r="H396" s="29" t="s">
        <v>50</v>
      </c>
      <c r="I396" s="3">
        <v>0</v>
      </c>
      <c r="J396" s="7">
        <v>0.91597222222222219</v>
      </c>
      <c r="K396" s="7">
        <v>0.92222222222222228</v>
      </c>
      <c r="L396" s="3">
        <f t="shared" si="13"/>
        <v>0</v>
      </c>
      <c r="M396" s="3">
        <f t="shared" si="14"/>
        <v>1</v>
      </c>
      <c r="N396" s="29">
        <f>_xlfn.MAXIFS($G$7:G395,$E$7:E395,detalhe_carro1[[#This Row],[Nó]],$B$7:B395,detalhe_carro1[[#This Row],[Numero Voltas]],$L$7:L395,1)</f>
        <v>671</v>
      </c>
      <c r="O396" s="3">
        <f>IF(OR(detalhe_carro1[[#This Row],[Ultima Chegada]]=0,detalhe_carro1[[#This Row],[Chegada]]=0),"",detalhe_carro1[[#This Row],[Hora Inicio]]-detalhe_carro1[[#This Row],[Ultima Chegada]])</f>
        <v>228</v>
      </c>
      <c r="P396" s="3">
        <f>IF(detalhe_carro1[[#This Row],[Tipo]]="Visitar Nó",((detalhe_carro1[[#This Row],[Hora Fim]]-detalhe_carro1[[#This Row],[Hora Inicio]])/60*velocidade_nos),0)</f>
        <v>4.5</v>
      </c>
      <c r="Q396" s="29">
        <f>detalhe_carro1[[#This Row],[Kms Nós]]+detalhe_carro1[[#This Row],[kms]]</f>
        <v>4.5</v>
      </c>
      <c r="S396" s="20">
        <v>4</v>
      </c>
      <c r="T396" s="20">
        <v>2</v>
      </c>
      <c r="U396" s="20">
        <v>7</v>
      </c>
      <c r="V396" s="20" t="s">
        <v>33</v>
      </c>
      <c r="W396">
        <v>1334</v>
      </c>
      <c r="X396">
        <v>1334</v>
      </c>
      <c r="Y396">
        <v>1063</v>
      </c>
      <c r="Z396" s="7">
        <v>0.21805555555555556</v>
      </c>
      <c r="AA396" s="7">
        <v>0.21805555555555556</v>
      </c>
      <c r="AB396" s="7">
        <v>2.9861111111111113E-2</v>
      </c>
      <c r="AC39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4.5166666666666666</v>
      </c>
    </row>
    <row r="397" spans="2:29" x14ac:dyDescent="0.25">
      <c r="B397" s="3">
        <v>3</v>
      </c>
      <c r="C397">
        <v>1</v>
      </c>
      <c r="D397">
        <v>6</v>
      </c>
      <c r="E397" s="29" t="s">
        <v>31</v>
      </c>
      <c r="F397" s="3">
        <v>911</v>
      </c>
      <c r="G397" s="3">
        <v>911</v>
      </c>
      <c r="H397" s="29" t="s">
        <v>51</v>
      </c>
      <c r="I397" s="3">
        <v>3</v>
      </c>
      <c r="J397" s="7">
        <v>0.9243055555555556</v>
      </c>
      <c r="K397" s="7">
        <v>0.9243055555555556</v>
      </c>
      <c r="L397" s="3">
        <f t="shared" si="13"/>
        <v>1</v>
      </c>
      <c r="M397" s="3">
        <f t="shared" si="14"/>
        <v>0</v>
      </c>
      <c r="N397" s="29">
        <f>_xlfn.MAXIFS($G$7:G396,$E$7:E396,detalhe_carro1[[#This Row],[Nó]],$B$7:B396,detalhe_carro1[[#This Row],[Numero Voltas]],$L$7:L396,1)</f>
        <v>671</v>
      </c>
      <c r="O397" s="3" t="str">
        <f>IF(OR(detalhe_carro1[[#This Row],[Ultima Chegada]]=0,detalhe_carro1[[#This Row],[Chegada]]=0),"",detalhe_carro1[[#This Row],[Hora Inicio]]-detalhe_carro1[[#This Row],[Ultima Chegada]])</f>
        <v/>
      </c>
      <c r="P397" s="3">
        <f>IF(detalhe_carro1[[#This Row],[Tipo]]="Visitar Nó",((detalhe_carro1[[#This Row],[Hora Fim]]-detalhe_carro1[[#This Row],[Hora Inicio]])/60*velocidade_nos),0)</f>
        <v>0</v>
      </c>
      <c r="Q397" s="29">
        <f>detalhe_carro1[[#This Row],[Kms Nós]]+detalhe_carro1[[#This Row],[kms]]</f>
        <v>3</v>
      </c>
      <c r="S397" s="20">
        <v>4</v>
      </c>
      <c r="T397" s="20">
        <v>2</v>
      </c>
      <c r="U397" s="20">
        <v>6</v>
      </c>
      <c r="V397" s="20" t="s">
        <v>31</v>
      </c>
      <c r="W397">
        <v>1337</v>
      </c>
      <c r="X397">
        <v>1337</v>
      </c>
      <c r="Y397">
        <v>1331</v>
      </c>
      <c r="Z397" s="7">
        <v>0.22013888888888888</v>
      </c>
      <c r="AA397" s="7">
        <v>0.22013888888888888</v>
      </c>
      <c r="AB397" s="7">
        <v>0.21597222222222223</v>
      </c>
      <c r="AC39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398" spans="2:29" x14ac:dyDescent="0.25">
      <c r="B398" s="3">
        <v>3</v>
      </c>
      <c r="C398">
        <v>1</v>
      </c>
      <c r="D398">
        <v>7</v>
      </c>
      <c r="E398" s="29" t="s">
        <v>33</v>
      </c>
      <c r="F398" s="3">
        <v>914</v>
      </c>
      <c r="G398" s="3">
        <v>914</v>
      </c>
      <c r="H398" s="29" t="s">
        <v>51</v>
      </c>
      <c r="I398" s="3">
        <v>3</v>
      </c>
      <c r="J398" s="7">
        <v>0.92638888888888893</v>
      </c>
      <c r="K398" s="7">
        <v>0.92638888888888893</v>
      </c>
      <c r="L398" s="3">
        <f t="shared" si="13"/>
        <v>0</v>
      </c>
      <c r="M398" s="3">
        <f t="shared" si="14"/>
        <v>1</v>
      </c>
      <c r="N398" s="29">
        <f>_xlfn.MAXIFS($G$7:G397,$E$7:E397,detalhe_carro1[[#This Row],[Nó]],$B$7:B397,detalhe_carro1[[#This Row],[Numero Voltas]],$L$7:L397,1)</f>
        <v>643</v>
      </c>
      <c r="O398" s="3">
        <f>IF(OR(detalhe_carro1[[#This Row],[Ultima Chegada]]=0,detalhe_carro1[[#This Row],[Chegada]]=0),"",detalhe_carro1[[#This Row],[Hora Inicio]]-detalhe_carro1[[#This Row],[Ultima Chegada]])</f>
        <v>271</v>
      </c>
      <c r="P398" s="3">
        <f>IF(detalhe_carro1[[#This Row],[Tipo]]="Visitar Nó",((detalhe_carro1[[#This Row],[Hora Fim]]-detalhe_carro1[[#This Row],[Hora Inicio]])/60*velocidade_nos),0)</f>
        <v>0</v>
      </c>
      <c r="Q398" s="29">
        <f>detalhe_carro1[[#This Row],[Kms Nós]]+detalhe_carro1[[#This Row],[kms]]</f>
        <v>3</v>
      </c>
      <c r="S398" s="20">
        <v>4</v>
      </c>
      <c r="T398" s="20">
        <v>2</v>
      </c>
      <c r="U398" s="20">
        <v>5</v>
      </c>
      <c r="V398" s="20" t="s">
        <v>29</v>
      </c>
      <c r="W398">
        <v>1340</v>
      </c>
      <c r="X398">
        <v>1340</v>
      </c>
      <c r="Y398">
        <v>1316</v>
      </c>
      <c r="Z398" s="7">
        <v>0.22222222222222221</v>
      </c>
      <c r="AA398" s="7">
        <v>0.22222222222222221</v>
      </c>
      <c r="AB398" s="7">
        <v>0.20555555555555555</v>
      </c>
      <c r="AC39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</v>
      </c>
    </row>
    <row r="399" spans="2:29" x14ac:dyDescent="0.25">
      <c r="B399" s="3">
        <v>3</v>
      </c>
      <c r="C399">
        <v>1</v>
      </c>
      <c r="D399">
        <v>7</v>
      </c>
      <c r="E399" s="29" t="s">
        <v>33</v>
      </c>
      <c r="F399" s="3">
        <v>914</v>
      </c>
      <c r="G399" s="3">
        <v>914</v>
      </c>
      <c r="H399" s="29" t="s">
        <v>51</v>
      </c>
      <c r="I399" s="3">
        <v>3</v>
      </c>
      <c r="J399" s="7">
        <v>0.92638888888888893</v>
      </c>
      <c r="K399" s="7">
        <v>0.92638888888888893</v>
      </c>
      <c r="L399" s="3">
        <f t="shared" si="13"/>
        <v>1</v>
      </c>
      <c r="M399" s="3">
        <f t="shared" si="14"/>
        <v>0</v>
      </c>
      <c r="N399" s="29">
        <f>_xlfn.MAXIFS($G$7:G398,$E$7:E398,detalhe_carro1[[#This Row],[Nó]],$B$7:B398,detalhe_carro1[[#This Row],[Numero Voltas]],$L$7:L398,1)</f>
        <v>643</v>
      </c>
      <c r="O399" s="3" t="str">
        <f>IF(OR(detalhe_carro1[[#This Row],[Ultima Chegada]]=0,detalhe_carro1[[#This Row],[Chegada]]=0),"",detalhe_carro1[[#This Row],[Hora Inicio]]-detalhe_carro1[[#This Row],[Ultima Chegada]])</f>
        <v/>
      </c>
      <c r="P399" s="3">
        <f>IF(detalhe_carro1[[#This Row],[Tipo]]="Visitar Nó",((detalhe_carro1[[#This Row],[Hora Fim]]-detalhe_carro1[[#This Row],[Hora Inicio]])/60*velocidade_nos),0)</f>
        <v>0</v>
      </c>
      <c r="Q399" s="29">
        <f>detalhe_carro1[[#This Row],[Kms Nós]]+detalhe_carro1[[#This Row],[kms]]</f>
        <v>3</v>
      </c>
      <c r="S399" s="20">
        <v>4</v>
      </c>
      <c r="T399" s="20">
        <v>2</v>
      </c>
      <c r="U399" s="20">
        <v>4</v>
      </c>
      <c r="V399" s="20" t="s">
        <v>27</v>
      </c>
      <c r="W399">
        <v>1343</v>
      </c>
      <c r="X399">
        <v>1343</v>
      </c>
      <c r="Y399">
        <v>1269</v>
      </c>
      <c r="Z399" s="7">
        <v>0.22430555555555556</v>
      </c>
      <c r="AA399" s="7">
        <v>0.22430555555555556</v>
      </c>
      <c r="AB399" s="7">
        <v>0.17291666666666666</v>
      </c>
      <c r="AC39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1.2333333333333334</v>
      </c>
    </row>
    <row r="400" spans="2:29" x14ac:dyDescent="0.25">
      <c r="B400" s="3">
        <v>3</v>
      </c>
      <c r="C400">
        <v>1</v>
      </c>
      <c r="D400">
        <v>6</v>
      </c>
      <c r="E400" s="29" t="s">
        <v>31</v>
      </c>
      <c r="F400" s="3">
        <v>917</v>
      </c>
      <c r="G400" s="3">
        <v>917</v>
      </c>
      <c r="H400" s="29" t="s">
        <v>51</v>
      </c>
      <c r="I400" s="3">
        <v>3</v>
      </c>
      <c r="J400" s="7">
        <v>0.92847222222222225</v>
      </c>
      <c r="K400" s="7">
        <v>0.92847222222222225</v>
      </c>
      <c r="L400" s="3">
        <f t="shared" si="13"/>
        <v>1</v>
      </c>
      <c r="M400" s="3">
        <f t="shared" si="14"/>
        <v>1</v>
      </c>
      <c r="N400" s="29">
        <f>_xlfn.MAXIFS($G$7:G399,$E$7:E399,detalhe_carro1[[#This Row],[Nó]],$B$7:B399,detalhe_carro1[[#This Row],[Numero Voltas]],$L$7:L399,1)</f>
        <v>911</v>
      </c>
      <c r="O400" s="3">
        <f>IF(OR(detalhe_carro1[[#This Row],[Ultima Chegada]]=0,detalhe_carro1[[#This Row],[Chegada]]=0),"",detalhe_carro1[[#This Row],[Hora Inicio]]-detalhe_carro1[[#This Row],[Ultima Chegada]])</f>
        <v>6</v>
      </c>
      <c r="P400" s="3">
        <f>IF(detalhe_carro1[[#This Row],[Tipo]]="Visitar Nó",((detalhe_carro1[[#This Row],[Hora Fim]]-detalhe_carro1[[#This Row],[Hora Inicio]])/60*velocidade_nos),0)</f>
        <v>0</v>
      </c>
      <c r="Q400" s="29">
        <f>detalhe_carro1[[#This Row],[Kms Nós]]+detalhe_carro1[[#This Row],[kms]]</f>
        <v>3</v>
      </c>
      <c r="S400" s="20">
        <v>4</v>
      </c>
      <c r="T400" s="20">
        <v>2</v>
      </c>
      <c r="U400" s="20">
        <v>3</v>
      </c>
      <c r="V400" s="20" t="s">
        <v>26</v>
      </c>
      <c r="W400">
        <v>1344</v>
      </c>
      <c r="X400">
        <v>1344</v>
      </c>
      <c r="Y400">
        <v>1254</v>
      </c>
      <c r="Z400" s="7">
        <v>0.22500000000000001</v>
      </c>
      <c r="AA400" s="7">
        <v>0.22500000000000001</v>
      </c>
      <c r="AB400" s="7">
        <v>0.16250000000000001</v>
      </c>
      <c r="AC40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</v>
      </c>
    </row>
    <row r="401" spans="2:29" x14ac:dyDescent="0.25">
      <c r="B401" s="3">
        <v>3</v>
      </c>
      <c r="C401">
        <v>1</v>
      </c>
      <c r="D401">
        <v>5</v>
      </c>
      <c r="E401" s="29" t="s">
        <v>29</v>
      </c>
      <c r="F401" s="3">
        <v>920</v>
      </c>
      <c r="G401" s="3">
        <v>920</v>
      </c>
      <c r="H401" s="29" t="s">
        <v>51</v>
      </c>
      <c r="I401" s="3">
        <v>3</v>
      </c>
      <c r="J401" s="7">
        <v>0.93055555555555558</v>
      </c>
      <c r="K401" s="7">
        <v>0.93055555555555558</v>
      </c>
      <c r="L401" s="3">
        <f t="shared" si="13"/>
        <v>1</v>
      </c>
      <c r="M401" s="3">
        <f t="shared" si="14"/>
        <v>1</v>
      </c>
      <c r="N401" s="29">
        <f>_xlfn.MAXIFS($G$7:G400,$E$7:E400,detalhe_carro1[[#This Row],[Nó]],$B$7:B400,detalhe_carro1[[#This Row],[Numero Voltas]],$L$7:L400,1)</f>
        <v>896</v>
      </c>
      <c r="O401" s="3">
        <f>IF(OR(detalhe_carro1[[#This Row],[Ultima Chegada]]=0,detalhe_carro1[[#This Row],[Chegada]]=0),"",detalhe_carro1[[#This Row],[Hora Inicio]]-detalhe_carro1[[#This Row],[Ultima Chegada]])</f>
        <v>24</v>
      </c>
      <c r="P401" s="3">
        <f>IF(detalhe_carro1[[#This Row],[Tipo]]="Visitar Nó",((detalhe_carro1[[#This Row],[Hora Fim]]-detalhe_carro1[[#This Row],[Hora Inicio]])/60*velocidade_nos),0)</f>
        <v>0</v>
      </c>
      <c r="Q401" s="29">
        <f>detalhe_carro1[[#This Row],[Kms Nós]]+detalhe_carro1[[#This Row],[kms]]</f>
        <v>3</v>
      </c>
      <c r="S401" s="20">
        <v>4</v>
      </c>
      <c r="T401" s="20">
        <v>2</v>
      </c>
      <c r="U401" s="20">
        <v>2</v>
      </c>
      <c r="V401" s="20" t="s">
        <v>24</v>
      </c>
      <c r="W401">
        <v>1345</v>
      </c>
      <c r="X401">
        <v>1345</v>
      </c>
      <c r="Y401">
        <v>1242</v>
      </c>
      <c r="Z401" s="7">
        <v>0.22569444444444445</v>
      </c>
      <c r="AA401" s="7">
        <v>0.22569444444444445</v>
      </c>
      <c r="AB401" s="7">
        <v>0.15416666666666667</v>
      </c>
      <c r="AC40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</row>
    <row r="402" spans="2:29" x14ac:dyDescent="0.25">
      <c r="B402" s="3">
        <v>3</v>
      </c>
      <c r="C402">
        <v>1</v>
      </c>
      <c r="D402">
        <v>4</v>
      </c>
      <c r="E402" s="29" t="s">
        <v>27</v>
      </c>
      <c r="F402" s="3">
        <v>923</v>
      </c>
      <c r="G402" s="3">
        <v>923</v>
      </c>
      <c r="H402" s="29" t="s">
        <v>51</v>
      </c>
      <c r="I402" s="3">
        <v>3</v>
      </c>
      <c r="J402" s="7">
        <v>0.93263888888888891</v>
      </c>
      <c r="K402" s="7">
        <v>0.93263888888888891</v>
      </c>
      <c r="L402" s="3">
        <f t="shared" si="13"/>
        <v>1</v>
      </c>
      <c r="M402" s="3">
        <f t="shared" si="14"/>
        <v>1</v>
      </c>
      <c r="N402" s="29">
        <f>_xlfn.MAXIFS($G$7:G401,$E$7:E401,detalhe_carro1[[#This Row],[Nó]],$B$7:B401,detalhe_carro1[[#This Row],[Numero Voltas]],$L$7:L401,1)</f>
        <v>849</v>
      </c>
      <c r="O402" s="3">
        <f>IF(OR(detalhe_carro1[[#This Row],[Ultima Chegada]]=0,detalhe_carro1[[#This Row],[Chegada]]=0),"",detalhe_carro1[[#This Row],[Hora Inicio]]-detalhe_carro1[[#This Row],[Ultima Chegada]])</f>
        <v>74</v>
      </c>
      <c r="P402" s="3">
        <f>IF(detalhe_carro1[[#This Row],[Tipo]]="Visitar Nó",((detalhe_carro1[[#This Row],[Hora Fim]]-detalhe_carro1[[#This Row],[Hora Inicio]])/60*velocidade_nos),0)</f>
        <v>0</v>
      </c>
      <c r="Q402" s="29">
        <f>detalhe_carro1[[#This Row],[Kms Nós]]+detalhe_carro1[[#This Row],[kms]]</f>
        <v>3</v>
      </c>
      <c r="S402" s="20">
        <v>4</v>
      </c>
      <c r="T402" s="20">
        <v>2</v>
      </c>
      <c r="U402" s="20">
        <v>1</v>
      </c>
      <c r="V402" s="20" t="s">
        <v>22</v>
      </c>
      <c r="W402">
        <v>1352</v>
      </c>
      <c r="X402">
        <v>1352</v>
      </c>
      <c r="Y402">
        <v>1214</v>
      </c>
      <c r="Z402" s="7">
        <v>0.23055555555555557</v>
      </c>
      <c r="AA402" s="7">
        <v>0.23055555555555557</v>
      </c>
      <c r="AB402" s="7">
        <v>0.13472222222222222</v>
      </c>
      <c r="AC40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2.2999999999999998</v>
      </c>
    </row>
    <row r="403" spans="2:29" x14ac:dyDescent="0.25">
      <c r="B403" s="3">
        <v>3</v>
      </c>
      <c r="C403">
        <v>1</v>
      </c>
      <c r="D403">
        <v>3</v>
      </c>
      <c r="E403" s="29" t="s">
        <v>26</v>
      </c>
      <c r="F403" s="3">
        <v>924</v>
      </c>
      <c r="G403" s="3">
        <v>924</v>
      </c>
      <c r="H403" s="29" t="s">
        <v>51</v>
      </c>
      <c r="I403" s="3">
        <v>1</v>
      </c>
      <c r="J403" s="7">
        <v>0.93333333333333335</v>
      </c>
      <c r="K403" s="7">
        <v>0.93333333333333335</v>
      </c>
      <c r="L403" s="3">
        <f t="shared" si="13"/>
        <v>1</v>
      </c>
      <c r="M403" s="3">
        <f t="shared" si="14"/>
        <v>1</v>
      </c>
      <c r="N403" s="29">
        <f>_xlfn.MAXIFS($G$7:G402,$E$7:E402,detalhe_carro1[[#This Row],[Nó]],$B$7:B402,detalhe_carro1[[#This Row],[Numero Voltas]],$L$7:L402,1)</f>
        <v>834</v>
      </c>
      <c r="O403" s="3">
        <f>IF(OR(detalhe_carro1[[#This Row],[Ultima Chegada]]=0,detalhe_carro1[[#This Row],[Chegada]]=0),"",detalhe_carro1[[#This Row],[Hora Inicio]]-detalhe_carro1[[#This Row],[Ultima Chegada]])</f>
        <v>90</v>
      </c>
      <c r="P403" s="3">
        <f>IF(detalhe_carro1[[#This Row],[Tipo]]="Visitar Nó",((detalhe_carro1[[#This Row],[Hora Fim]]-detalhe_carro1[[#This Row],[Hora Inicio]])/60*velocidade_nos),0)</f>
        <v>0</v>
      </c>
      <c r="Q403" s="29">
        <f>detalhe_carro1[[#This Row],[Kms Nós]]+detalhe_carro1[[#This Row],[kms]]</f>
        <v>1</v>
      </c>
      <c r="S403" s="20">
        <v>4</v>
      </c>
      <c r="T403" s="20">
        <v>2</v>
      </c>
      <c r="U403" s="20">
        <v>0</v>
      </c>
      <c r="V403" s="20" t="s">
        <v>20</v>
      </c>
      <c r="W403">
        <v>1353</v>
      </c>
      <c r="X403">
        <v>1353</v>
      </c>
      <c r="Y403">
        <v>1207</v>
      </c>
      <c r="Z403" s="7">
        <v>0.23125000000000001</v>
      </c>
      <c r="AA403" s="7">
        <v>0.23125000000000001</v>
      </c>
      <c r="AB403" s="7">
        <v>0.12986111111111112</v>
      </c>
      <c r="AC40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2.4333333333333331</v>
      </c>
    </row>
    <row r="404" spans="2:29" x14ac:dyDescent="0.25">
      <c r="B404" s="3">
        <v>3</v>
      </c>
      <c r="C404">
        <v>1</v>
      </c>
      <c r="D404">
        <v>2</v>
      </c>
      <c r="E404" s="29" t="s">
        <v>24</v>
      </c>
      <c r="F404" s="3">
        <v>925</v>
      </c>
      <c r="G404" s="3">
        <v>925</v>
      </c>
      <c r="H404" s="29" t="s">
        <v>51</v>
      </c>
      <c r="I404" s="3">
        <v>1</v>
      </c>
      <c r="J404" s="7">
        <v>0.93402777777777779</v>
      </c>
      <c r="K404" s="7">
        <v>0.93402777777777779</v>
      </c>
      <c r="L404" s="3">
        <f t="shared" si="13"/>
        <v>1</v>
      </c>
      <c r="M404" s="3">
        <f t="shared" si="14"/>
        <v>1</v>
      </c>
      <c r="N404" s="29">
        <f>_xlfn.MAXIFS($G$7:G403,$E$7:E403,detalhe_carro1[[#This Row],[Nó]],$B$7:B403,detalhe_carro1[[#This Row],[Numero Voltas]],$L$7:L403,1)</f>
        <v>822</v>
      </c>
      <c r="O404" s="3">
        <f>IF(OR(detalhe_carro1[[#This Row],[Ultima Chegada]]=0,detalhe_carro1[[#This Row],[Chegada]]=0),"",detalhe_carro1[[#This Row],[Hora Inicio]]-detalhe_carro1[[#This Row],[Ultima Chegada]])</f>
        <v>103</v>
      </c>
      <c r="P404" s="3">
        <f>IF(detalhe_carro1[[#This Row],[Tipo]]="Visitar Nó",((detalhe_carro1[[#This Row],[Hora Fim]]-detalhe_carro1[[#This Row],[Hora Inicio]])/60*velocidade_nos),0)</f>
        <v>0</v>
      </c>
      <c r="Q404" s="29">
        <f>detalhe_carro1[[#This Row],[Kms Nós]]+detalhe_carro1[[#This Row],[kms]]</f>
        <v>1</v>
      </c>
      <c r="S404" s="20">
        <v>4</v>
      </c>
      <c r="T404" s="20">
        <v>2</v>
      </c>
      <c r="U404" s="20">
        <v>1</v>
      </c>
      <c r="V404" s="20" t="s">
        <v>22</v>
      </c>
      <c r="W404">
        <v>1354</v>
      </c>
      <c r="X404">
        <v>1354</v>
      </c>
      <c r="Y404">
        <v>1352</v>
      </c>
      <c r="Z404" s="7">
        <v>0.23194444444444445</v>
      </c>
      <c r="AA404" s="7">
        <v>0.23194444444444445</v>
      </c>
      <c r="AB404" s="7">
        <v>0.23055555555555557</v>
      </c>
      <c r="AC40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405" spans="2:29" x14ac:dyDescent="0.25">
      <c r="B405" s="3">
        <v>3</v>
      </c>
      <c r="C405">
        <v>1</v>
      </c>
      <c r="D405">
        <v>1</v>
      </c>
      <c r="E405" s="29" t="s">
        <v>22</v>
      </c>
      <c r="F405" s="3">
        <v>932</v>
      </c>
      <c r="G405" s="3">
        <v>932</v>
      </c>
      <c r="H405" s="29" t="s">
        <v>51</v>
      </c>
      <c r="I405" s="3">
        <v>7</v>
      </c>
      <c r="J405" s="7">
        <v>0.93888888888888888</v>
      </c>
      <c r="K405" s="7">
        <v>0.93888888888888888</v>
      </c>
      <c r="L405" s="3">
        <f t="shared" si="13"/>
        <v>1</v>
      </c>
      <c r="M405" s="3">
        <f t="shared" si="14"/>
        <v>1</v>
      </c>
      <c r="N405" s="29">
        <f>_xlfn.MAXIFS($G$7:G404,$E$7:E404,detalhe_carro1[[#This Row],[Nó]],$B$7:B404,detalhe_carro1[[#This Row],[Numero Voltas]],$L$7:L404,1)</f>
        <v>794</v>
      </c>
      <c r="O405" s="3">
        <f>IF(OR(detalhe_carro1[[#This Row],[Ultima Chegada]]=0,detalhe_carro1[[#This Row],[Chegada]]=0),"",detalhe_carro1[[#This Row],[Hora Inicio]]-detalhe_carro1[[#This Row],[Ultima Chegada]])</f>
        <v>138</v>
      </c>
      <c r="P405" s="3">
        <f>IF(detalhe_carro1[[#This Row],[Tipo]]="Visitar Nó",((detalhe_carro1[[#This Row],[Hora Fim]]-detalhe_carro1[[#This Row],[Hora Inicio]])/60*velocidade_nos),0)</f>
        <v>0</v>
      </c>
      <c r="Q405" s="29">
        <f>detalhe_carro1[[#This Row],[Kms Nós]]+detalhe_carro1[[#This Row],[kms]]</f>
        <v>7</v>
      </c>
      <c r="S405" s="20">
        <v>4</v>
      </c>
      <c r="T405" s="20">
        <v>2</v>
      </c>
      <c r="U405" s="20">
        <v>2</v>
      </c>
      <c r="V405" s="20" t="s">
        <v>24</v>
      </c>
      <c r="W405">
        <v>1361</v>
      </c>
      <c r="X405">
        <v>1361</v>
      </c>
      <c r="Y405">
        <v>1345</v>
      </c>
      <c r="Z405" s="7">
        <v>0.23680555555555555</v>
      </c>
      <c r="AA405" s="7">
        <v>0.23680555555555555</v>
      </c>
      <c r="AB405" s="7">
        <v>0.22569444444444445</v>
      </c>
      <c r="AC40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406" spans="2:29" x14ac:dyDescent="0.25">
      <c r="B406" s="3">
        <v>3</v>
      </c>
      <c r="C406">
        <v>1</v>
      </c>
      <c r="D406">
        <v>0</v>
      </c>
      <c r="E406" s="29" t="s">
        <v>20</v>
      </c>
      <c r="F406" s="3">
        <v>933</v>
      </c>
      <c r="G406" s="3">
        <v>933</v>
      </c>
      <c r="H406" s="29" t="s">
        <v>51</v>
      </c>
      <c r="I406" s="3">
        <v>1</v>
      </c>
      <c r="J406" s="7">
        <v>0.93958333333333333</v>
      </c>
      <c r="K406" s="7">
        <v>0.93958333333333333</v>
      </c>
      <c r="L406" s="3">
        <f t="shared" si="13"/>
        <v>0</v>
      </c>
      <c r="M406" s="3">
        <f t="shared" si="14"/>
        <v>1</v>
      </c>
      <c r="N406" s="29">
        <f>_xlfn.MAXIFS($G$7:G405,$E$7:E405,detalhe_carro1[[#This Row],[Nó]],$B$7:B405,detalhe_carro1[[#This Row],[Numero Voltas]],$L$7:L405,1)</f>
        <v>787</v>
      </c>
      <c r="O406" s="3">
        <f>IF(OR(detalhe_carro1[[#This Row],[Ultima Chegada]]=0,detalhe_carro1[[#This Row],[Chegada]]=0),"",detalhe_carro1[[#This Row],[Hora Inicio]]-detalhe_carro1[[#This Row],[Ultima Chegada]])</f>
        <v>146</v>
      </c>
      <c r="P406" s="3">
        <f>IF(detalhe_carro1[[#This Row],[Tipo]]="Visitar Nó",((detalhe_carro1[[#This Row],[Hora Fim]]-detalhe_carro1[[#This Row],[Hora Inicio]])/60*velocidade_nos),0)</f>
        <v>0</v>
      </c>
      <c r="Q406" s="29">
        <f>detalhe_carro1[[#This Row],[Kms Nós]]+detalhe_carro1[[#This Row],[kms]]</f>
        <v>1</v>
      </c>
      <c r="S406" s="20">
        <v>4</v>
      </c>
      <c r="T406" s="20">
        <v>2</v>
      </c>
      <c r="U406" s="20">
        <v>3</v>
      </c>
      <c r="V406" s="20" t="s">
        <v>26</v>
      </c>
      <c r="W406">
        <v>1362</v>
      </c>
      <c r="X406">
        <v>1362</v>
      </c>
      <c r="Y406">
        <v>1344</v>
      </c>
      <c r="Z406" s="7">
        <v>0.23749999999999999</v>
      </c>
      <c r="AA406" s="7">
        <v>0.23749999999999999</v>
      </c>
      <c r="AB406" s="7">
        <v>0.22500000000000001</v>
      </c>
      <c r="AC40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07" spans="2:29" x14ac:dyDescent="0.25">
      <c r="B407" s="3">
        <v>3</v>
      </c>
      <c r="C407">
        <v>1</v>
      </c>
      <c r="D407">
        <v>0</v>
      </c>
      <c r="E407" s="29" t="s">
        <v>20</v>
      </c>
      <c r="F407" s="3">
        <v>933</v>
      </c>
      <c r="G407" s="3">
        <v>933</v>
      </c>
      <c r="H407" s="29" t="s">
        <v>51</v>
      </c>
      <c r="I407" s="3">
        <v>1</v>
      </c>
      <c r="J407" s="7">
        <v>0.93958333333333333</v>
      </c>
      <c r="K407" s="7">
        <v>0.93958333333333333</v>
      </c>
      <c r="L407" s="3">
        <f t="shared" si="13"/>
        <v>1</v>
      </c>
      <c r="M407" s="3">
        <f t="shared" si="14"/>
        <v>0</v>
      </c>
      <c r="N407" s="29">
        <f>_xlfn.MAXIFS($G$7:G406,$E$7:E406,detalhe_carro1[[#This Row],[Nó]],$B$7:B406,detalhe_carro1[[#This Row],[Numero Voltas]],$L$7:L406,1)</f>
        <v>787</v>
      </c>
      <c r="O407" s="3" t="str">
        <f>IF(OR(detalhe_carro1[[#This Row],[Ultima Chegada]]=0,detalhe_carro1[[#This Row],[Chegada]]=0),"",detalhe_carro1[[#This Row],[Hora Inicio]]-detalhe_carro1[[#This Row],[Ultima Chegada]])</f>
        <v/>
      </c>
      <c r="P407" s="3">
        <f>IF(detalhe_carro1[[#This Row],[Tipo]]="Visitar Nó",((detalhe_carro1[[#This Row],[Hora Fim]]-detalhe_carro1[[#This Row],[Hora Inicio]])/60*velocidade_nos),0)</f>
        <v>0</v>
      </c>
      <c r="Q407" s="29">
        <f>detalhe_carro1[[#This Row],[Kms Nós]]+detalhe_carro1[[#This Row],[kms]]</f>
        <v>1</v>
      </c>
      <c r="S407" s="20">
        <v>4</v>
      </c>
      <c r="T407" s="20">
        <v>2</v>
      </c>
      <c r="U407" s="20">
        <v>4</v>
      </c>
      <c r="V407" s="20" t="s">
        <v>27</v>
      </c>
      <c r="W407">
        <v>1363</v>
      </c>
      <c r="X407">
        <v>1363</v>
      </c>
      <c r="Y407">
        <v>1343</v>
      </c>
      <c r="Z407" s="7">
        <v>0.23819444444444443</v>
      </c>
      <c r="AA407" s="7">
        <v>0.23819444444444443</v>
      </c>
      <c r="AB407" s="7">
        <v>0.22430555555555556</v>
      </c>
      <c r="AC40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08" spans="2:29" x14ac:dyDescent="0.25">
      <c r="B408" s="3">
        <v>3</v>
      </c>
      <c r="C408">
        <v>1</v>
      </c>
      <c r="D408">
        <v>1</v>
      </c>
      <c r="E408" s="29" t="s">
        <v>22</v>
      </c>
      <c r="F408" s="3">
        <v>934</v>
      </c>
      <c r="G408" s="3">
        <v>934</v>
      </c>
      <c r="H408" s="29" t="s">
        <v>51</v>
      </c>
      <c r="I408" s="3">
        <v>1</v>
      </c>
      <c r="J408" s="7">
        <v>0.94027777777777777</v>
      </c>
      <c r="K408" s="7">
        <v>0.94027777777777777</v>
      </c>
      <c r="L408" s="3">
        <f t="shared" si="13"/>
        <v>1</v>
      </c>
      <c r="M408" s="3">
        <f t="shared" si="14"/>
        <v>1</v>
      </c>
      <c r="N408" s="29">
        <f>_xlfn.MAXIFS($G$7:G407,$E$7:E407,detalhe_carro1[[#This Row],[Nó]],$B$7:B407,detalhe_carro1[[#This Row],[Numero Voltas]],$L$7:L407,1)</f>
        <v>932</v>
      </c>
      <c r="O408" s="3">
        <f>IF(OR(detalhe_carro1[[#This Row],[Ultima Chegada]]=0,detalhe_carro1[[#This Row],[Chegada]]=0),"",detalhe_carro1[[#This Row],[Hora Inicio]]-detalhe_carro1[[#This Row],[Ultima Chegada]])</f>
        <v>2</v>
      </c>
      <c r="P408" s="3">
        <f>IF(detalhe_carro1[[#This Row],[Tipo]]="Visitar Nó",((detalhe_carro1[[#This Row],[Hora Fim]]-detalhe_carro1[[#This Row],[Hora Inicio]])/60*velocidade_nos),0)</f>
        <v>0</v>
      </c>
      <c r="Q408" s="29">
        <f>detalhe_carro1[[#This Row],[Kms Nós]]+detalhe_carro1[[#This Row],[kms]]</f>
        <v>1</v>
      </c>
      <c r="S408" s="20">
        <v>4</v>
      </c>
      <c r="T408" s="20">
        <v>2</v>
      </c>
      <c r="U408" s="20">
        <v>5</v>
      </c>
      <c r="V408" s="20" t="s">
        <v>29</v>
      </c>
      <c r="W408">
        <v>1366</v>
      </c>
      <c r="X408">
        <v>1366</v>
      </c>
      <c r="Y408">
        <v>1340</v>
      </c>
      <c r="Z408" s="7">
        <v>0.24027777777777778</v>
      </c>
      <c r="AA408" s="7">
        <v>0.24027777777777778</v>
      </c>
      <c r="AB408" s="7">
        <v>0.22222222222222221</v>
      </c>
      <c r="AC40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409" spans="2:29" x14ac:dyDescent="0.25">
      <c r="B409" s="3">
        <v>3</v>
      </c>
      <c r="C409">
        <v>1</v>
      </c>
      <c r="D409">
        <v>2</v>
      </c>
      <c r="E409" s="29" t="s">
        <v>24</v>
      </c>
      <c r="F409" s="3">
        <v>941</v>
      </c>
      <c r="G409" s="3">
        <v>941</v>
      </c>
      <c r="H409" s="29" t="s">
        <v>51</v>
      </c>
      <c r="I409" s="3">
        <v>7</v>
      </c>
      <c r="J409" s="7">
        <v>0.94513888888888886</v>
      </c>
      <c r="K409" s="7">
        <v>0.94513888888888886</v>
      </c>
      <c r="L409" s="3">
        <f t="shared" si="13"/>
        <v>1</v>
      </c>
      <c r="M409" s="3">
        <f t="shared" si="14"/>
        <v>1</v>
      </c>
      <c r="N409" s="29">
        <f>_xlfn.MAXIFS($G$7:G408,$E$7:E408,detalhe_carro1[[#This Row],[Nó]],$B$7:B408,detalhe_carro1[[#This Row],[Numero Voltas]],$L$7:L408,1)</f>
        <v>925</v>
      </c>
      <c r="O409" s="3">
        <f>IF(OR(detalhe_carro1[[#This Row],[Ultima Chegada]]=0,detalhe_carro1[[#This Row],[Chegada]]=0),"",detalhe_carro1[[#This Row],[Hora Inicio]]-detalhe_carro1[[#This Row],[Ultima Chegada]])</f>
        <v>16</v>
      </c>
      <c r="P409" s="3">
        <f>IF(detalhe_carro1[[#This Row],[Tipo]]="Visitar Nó",((detalhe_carro1[[#This Row],[Hora Fim]]-detalhe_carro1[[#This Row],[Hora Inicio]])/60*velocidade_nos),0)</f>
        <v>0</v>
      </c>
      <c r="Q409" s="29">
        <f>detalhe_carro1[[#This Row],[Kms Nós]]+detalhe_carro1[[#This Row],[kms]]</f>
        <v>7</v>
      </c>
      <c r="S409" s="20">
        <v>4</v>
      </c>
      <c r="T409" s="20">
        <v>2</v>
      </c>
      <c r="U409" s="20">
        <v>6</v>
      </c>
      <c r="V409" s="20" t="s">
        <v>31</v>
      </c>
      <c r="W409">
        <v>1369</v>
      </c>
      <c r="X409">
        <v>1369</v>
      </c>
      <c r="Y409">
        <v>1337</v>
      </c>
      <c r="Z409" s="7">
        <v>0.24236111111111111</v>
      </c>
      <c r="AA409" s="7">
        <v>0.24236111111111111</v>
      </c>
      <c r="AB409" s="7">
        <v>0.22013888888888888</v>
      </c>
      <c r="AC40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410" spans="2:29" x14ac:dyDescent="0.25">
      <c r="B410" s="3">
        <v>3</v>
      </c>
      <c r="C410">
        <v>1</v>
      </c>
      <c r="D410">
        <v>3</v>
      </c>
      <c r="E410" s="29" t="s">
        <v>26</v>
      </c>
      <c r="F410" s="3">
        <v>942</v>
      </c>
      <c r="G410" s="3">
        <v>942</v>
      </c>
      <c r="H410" s="29" t="s">
        <v>51</v>
      </c>
      <c r="I410" s="3">
        <v>1</v>
      </c>
      <c r="J410" s="7">
        <v>0.9458333333333333</v>
      </c>
      <c r="K410" s="7">
        <v>0.9458333333333333</v>
      </c>
      <c r="L410" s="3">
        <f t="shared" si="13"/>
        <v>1</v>
      </c>
      <c r="M410" s="3">
        <f t="shared" si="14"/>
        <v>1</v>
      </c>
      <c r="N410" s="29">
        <f>_xlfn.MAXIFS($G$7:G409,$E$7:E409,detalhe_carro1[[#This Row],[Nó]],$B$7:B409,detalhe_carro1[[#This Row],[Numero Voltas]],$L$7:L409,1)</f>
        <v>924</v>
      </c>
      <c r="O410" s="3">
        <f>IF(OR(detalhe_carro1[[#This Row],[Ultima Chegada]]=0,detalhe_carro1[[#This Row],[Chegada]]=0),"",detalhe_carro1[[#This Row],[Hora Inicio]]-detalhe_carro1[[#This Row],[Ultima Chegada]])</f>
        <v>18</v>
      </c>
      <c r="P410" s="3">
        <f>IF(detalhe_carro1[[#This Row],[Tipo]]="Visitar Nó",((detalhe_carro1[[#This Row],[Hora Fim]]-detalhe_carro1[[#This Row],[Hora Inicio]])/60*velocidade_nos),0)</f>
        <v>0</v>
      </c>
      <c r="Q410" s="29">
        <f>detalhe_carro1[[#This Row],[Kms Nós]]+detalhe_carro1[[#This Row],[kms]]</f>
        <v>1</v>
      </c>
      <c r="S410" s="20">
        <v>4</v>
      </c>
      <c r="T410" s="20">
        <v>2</v>
      </c>
      <c r="U410" s="20">
        <v>7</v>
      </c>
      <c r="V410" s="20" t="s">
        <v>33</v>
      </c>
      <c r="W410">
        <v>1372</v>
      </c>
      <c r="X410">
        <v>1372</v>
      </c>
      <c r="Y410">
        <v>1334</v>
      </c>
      <c r="Z410" s="7">
        <v>0.24444444444444444</v>
      </c>
      <c r="AA410" s="7">
        <v>0.24444444444444444</v>
      </c>
      <c r="AB410" s="7">
        <v>0.21805555555555556</v>
      </c>
      <c r="AC41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11" spans="2:29" x14ac:dyDescent="0.25">
      <c r="B411" s="3">
        <v>3</v>
      </c>
      <c r="C411">
        <v>1</v>
      </c>
      <c r="D411">
        <v>4</v>
      </c>
      <c r="E411" s="29" t="s">
        <v>27</v>
      </c>
      <c r="F411" s="3">
        <v>943</v>
      </c>
      <c r="G411" s="3">
        <v>943</v>
      </c>
      <c r="H411" s="29" t="s">
        <v>51</v>
      </c>
      <c r="I411" s="3">
        <v>1</v>
      </c>
      <c r="J411" s="7">
        <v>0.94652777777777775</v>
      </c>
      <c r="K411" s="7">
        <v>0.94652777777777775</v>
      </c>
      <c r="L411" s="3">
        <f t="shared" si="13"/>
        <v>1</v>
      </c>
      <c r="M411" s="3">
        <f t="shared" si="14"/>
        <v>1</v>
      </c>
      <c r="N411" s="29">
        <f>_xlfn.MAXIFS($G$7:G410,$E$7:E410,detalhe_carro1[[#This Row],[Nó]],$B$7:B410,detalhe_carro1[[#This Row],[Numero Voltas]],$L$7:L410,1)</f>
        <v>923</v>
      </c>
      <c r="O411" s="3">
        <f>IF(OR(detalhe_carro1[[#This Row],[Ultima Chegada]]=0,detalhe_carro1[[#This Row],[Chegada]]=0),"",detalhe_carro1[[#This Row],[Hora Inicio]]-detalhe_carro1[[#This Row],[Ultima Chegada]])</f>
        <v>20</v>
      </c>
      <c r="P411" s="3">
        <f>IF(detalhe_carro1[[#This Row],[Tipo]]="Visitar Nó",((detalhe_carro1[[#This Row],[Hora Fim]]-detalhe_carro1[[#This Row],[Hora Inicio]])/60*velocidade_nos),0)</f>
        <v>0</v>
      </c>
      <c r="Q411" s="29">
        <f>detalhe_carro1[[#This Row],[Kms Nós]]+detalhe_carro1[[#This Row],[kms]]</f>
        <v>1</v>
      </c>
      <c r="S411" s="20">
        <v>4</v>
      </c>
      <c r="T411" s="20">
        <v>2</v>
      </c>
      <c r="U411" s="20">
        <v>6</v>
      </c>
      <c r="V411" s="20" t="s">
        <v>31</v>
      </c>
      <c r="W411">
        <v>1375</v>
      </c>
      <c r="X411">
        <v>1375</v>
      </c>
      <c r="Y411">
        <v>1369</v>
      </c>
      <c r="Z411" s="7">
        <v>0.24652777777777779</v>
      </c>
      <c r="AA411" s="7">
        <v>0.24652777777777779</v>
      </c>
      <c r="AB411" s="7">
        <v>0.24236111111111111</v>
      </c>
      <c r="AC41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412" spans="2:29" x14ac:dyDescent="0.25">
      <c r="B412" s="3">
        <v>3</v>
      </c>
      <c r="C412">
        <v>1</v>
      </c>
      <c r="D412">
        <v>5</v>
      </c>
      <c r="E412" s="29" t="s">
        <v>29</v>
      </c>
      <c r="F412" s="3">
        <v>946</v>
      </c>
      <c r="G412" s="3">
        <v>946</v>
      </c>
      <c r="H412" s="29" t="s">
        <v>51</v>
      </c>
      <c r="I412" s="3">
        <v>3</v>
      </c>
      <c r="J412" s="7">
        <v>0.94861111111111107</v>
      </c>
      <c r="K412" s="7">
        <v>0.94861111111111107</v>
      </c>
      <c r="L412" s="3">
        <f t="shared" si="13"/>
        <v>1</v>
      </c>
      <c r="M412" s="3">
        <f t="shared" si="14"/>
        <v>1</v>
      </c>
      <c r="N412" s="29">
        <f>_xlfn.MAXIFS($G$7:G411,$E$7:E411,detalhe_carro1[[#This Row],[Nó]],$B$7:B411,detalhe_carro1[[#This Row],[Numero Voltas]],$L$7:L411,1)</f>
        <v>920</v>
      </c>
      <c r="O412" s="3">
        <f>IF(OR(detalhe_carro1[[#This Row],[Ultima Chegada]]=0,detalhe_carro1[[#This Row],[Chegada]]=0),"",detalhe_carro1[[#This Row],[Hora Inicio]]-detalhe_carro1[[#This Row],[Ultima Chegada]])</f>
        <v>26</v>
      </c>
      <c r="P412" s="3">
        <f>IF(detalhe_carro1[[#This Row],[Tipo]]="Visitar Nó",((detalhe_carro1[[#This Row],[Hora Fim]]-detalhe_carro1[[#This Row],[Hora Inicio]])/60*velocidade_nos),0)</f>
        <v>0</v>
      </c>
      <c r="Q412" s="29">
        <f>detalhe_carro1[[#This Row],[Kms Nós]]+detalhe_carro1[[#This Row],[kms]]</f>
        <v>3</v>
      </c>
      <c r="S412" s="20">
        <v>4</v>
      </c>
      <c r="T412" s="20">
        <v>2</v>
      </c>
      <c r="U412" s="20">
        <v>5</v>
      </c>
      <c r="V412" s="20" t="s">
        <v>29</v>
      </c>
      <c r="W412">
        <v>1378</v>
      </c>
      <c r="X412">
        <v>1378</v>
      </c>
      <c r="Y412">
        <v>1366</v>
      </c>
      <c r="Z412" s="7">
        <v>0.24861111111111112</v>
      </c>
      <c r="AA412" s="7">
        <v>0.24861111111111112</v>
      </c>
      <c r="AB412" s="7">
        <v>0.24027777777777778</v>
      </c>
      <c r="AC41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413" spans="2:29" x14ac:dyDescent="0.25">
      <c r="B413" s="3">
        <v>3</v>
      </c>
      <c r="C413">
        <v>1</v>
      </c>
      <c r="D413">
        <v>6</v>
      </c>
      <c r="E413" s="29" t="s">
        <v>31</v>
      </c>
      <c r="F413" s="3">
        <v>949</v>
      </c>
      <c r="G413" s="3">
        <v>949</v>
      </c>
      <c r="H413" s="29" t="s">
        <v>51</v>
      </c>
      <c r="I413" s="3">
        <v>3</v>
      </c>
      <c r="J413" s="7">
        <v>0.9506944444444444</v>
      </c>
      <c r="K413" s="7">
        <v>0.9506944444444444</v>
      </c>
      <c r="L413" s="3">
        <f t="shared" si="13"/>
        <v>1</v>
      </c>
      <c r="M413" s="3">
        <f t="shared" si="14"/>
        <v>1</v>
      </c>
      <c r="N413" s="29">
        <f>_xlfn.MAXIFS($G$7:G412,$E$7:E412,detalhe_carro1[[#This Row],[Nó]],$B$7:B412,detalhe_carro1[[#This Row],[Numero Voltas]],$L$7:L412,1)</f>
        <v>917</v>
      </c>
      <c r="O413" s="3">
        <f>IF(OR(detalhe_carro1[[#This Row],[Ultima Chegada]]=0,detalhe_carro1[[#This Row],[Chegada]]=0),"",detalhe_carro1[[#This Row],[Hora Inicio]]-detalhe_carro1[[#This Row],[Ultima Chegada]])</f>
        <v>32</v>
      </c>
      <c r="P413" s="3">
        <f>IF(detalhe_carro1[[#This Row],[Tipo]]="Visitar Nó",((detalhe_carro1[[#This Row],[Hora Fim]]-detalhe_carro1[[#This Row],[Hora Inicio]])/60*velocidade_nos),0)</f>
        <v>0</v>
      </c>
      <c r="Q413" s="29">
        <f>detalhe_carro1[[#This Row],[Kms Nós]]+detalhe_carro1[[#This Row],[kms]]</f>
        <v>3</v>
      </c>
      <c r="S413" s="20">
        <v>4</v>
      </c>
      <c r="T413" s="20">
        <v>2</v>
      </c>
      <c r="U413" s="20">
        <v>4</v>
      </c>
      <c r="V413" s="20" t="s">
        <v>27</v>
      </c>
      <c r="W413">
        <v>1381</v>
      </c>
      <c r="X413">
        <v>1381</v>
      </c>
      <c r="Y413">
        <v>1363</v>
      </c>
      <c r="Z413" s="7">
        <v>0.25069444444444444</v>
      </c>
      <c r="AA413" s="7">
        <v>0.25069444444444444</v>
      </c>
      <c r="AB413" s="7">
        <v>0.23819444444444443</v>
      </c>
      <c r="AC41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14" spans="2:29" x14ac:dyDescent="0.25">
      <c r="B414" s="3">
        <v>3</v>
      </c>
      <c r="C414">
        <v>1</v>
      </c>
      <c r="D414">
        <v>7</v>
      </c>
      <c r="E414" s="29" t="s">
        <v>33</v>
      </c>
      <c r="F414" s="3">
        <v>952</v>
      </c>
      <c r="G414" s="3">
        <v>952</v>
      </c>
      <c r="H414" s="29" t="s">
        <v>51</v>
      </c>
      <c r="I414" s="3">
        <v>3</v>
      </c>
      <c r="J414" s="7">
        <v>0.95277777777777772</v>
      </c>
      <c r="K414" s="7">
        <v>0.95277777777777772</v>
      </c>
      <c r="L414" s="3">
        <f t="shared" si="13"/>
        <v>0</v>
      </c>
      <c r="M414" s="3">
        <f t="shared" si="14"/>
        <v>1</v>
      </c>
      <c r="N414" s="29">
        <f>_xlfn.MAXIFS($G$7:G413,$E$7:E413,detalhe_carro1[[#This Row],[Nó]],$B$7:B413,detalhe_carro1[[#This Row],[Numero Voltas]],$L$7:L413,1)</f>
        <v>914</v>
      </c>
      <c r="O414" s="3">
        <f>IF(OR(detalhe_carro1[[#This Row],[Ultima Chegada]]=0,detalhe_carro1[[#This Row],[Chegada]]=0),"",detalhe_carro1[[#This Row],[Hora Inicio]]-detalhe_carro1[[#This Row],[Ultima Chegada]])</f>
        <v>38</v>
      </c>
      <c r="P414" s="3">
        <f>IF(detalhe_carro1[[#This Row],[Tipo]]="Visitar Nó",((detalhe_carro1[[#This Row],[Hora Fim]]-detalhe_carro1[[#This Row],[Hora Inicio]])/60*velocidade_nos),0)</f>
        <v>0</v>
      </c>
      <c r="Q414" s="29">
        <f>detalhe_carro1[[#This Row],[Kms Nós]]+detalhe_carro1[[#This Row],[kms]]</f>
        <v>3</v>
      </c>
      <c r="S414" s="20">
        <v>4</v>
      </c>
      <c r="T414" s="20">
        <v>2</v>
      </c>
      <c r="U414" s="20">
        <v>3</v>
      </c>
      <c r="V414" s="20" t="s">
        <v>26</v>
      </c>
      <c r="W414">
        <v>1382</v>
      </c>
      <c r="X414">
        <v>1382</v>
      </c>
      <c r="Y414">
        <v>1362</v>
      </c>
      <c r="Z414" s="7">
        <v>0.25138888888888888</v>
      </c>
      <c r="AA414" s="7">
        <v>0.25138888888888888</v>
      </c>
      <c r="AB414" s="7">
        <v>0.23749999999999999</v>
      </c>
      <c r="AC41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15" spans="2:29" x14ac:dyDescent="0.25">
      <c r="B415" s="3">
        <v>3</v>
      </c>
      <c r="C415">
        <v>1</v>
      </c>
      <c r="D415">
        <v>7</v>
      </c>
      <c r="E415" s="29" t="s">
        <v>33</v>
      </c>
      <c r="F415" s="3">
        <v>952</v>
      </c>
      <c r="G415" s="3">
        <v>952</v>
      </c>
      <c r="H415" s="29" t="s">
        <v>51</v>
      </c>
      <c r="I415" s="3">
        <v>3</v>
      </c>
      <c r="J415" s="7">
        <v>0.95277777777777772</v>
      </c>
      <c r="K415" s="7">
        <v>0.95277777777777772</v>
      </c>
      <c r="L415" s="3">
        <f t="shared" si="13"/>
        <v>1</v>
      </c>
      <c r="M415" s="3">
        <f t="shared" si="14"/>
        <v>0</v>
      </c>
      <c r="N415" s="29">
        <f>_xlfn.MAXIFS($G$7:G414,$E$7:E414,detalhe_carro1[[#This Row],[Nó]],$B$7:B414,detalhe_carro1[[#This Row],[Numero Voltas]],$L$7:L414,1)</f>
        <v>914</v>
      </c>
      <c r="O415" s="3" t="str">
        <f>IF(OR(detalhe_carro1[[#This Row],[Ultima Chegada]]=0,detalhe_carro1[[#This Row],[Chegada]]=0),"",detalhe_carro1[[#This Row],[Hora Inicio]]-detalhe_carro1[[#This Row],[Ultima Chegada]])</f>
        <v/>
      </c>
      <c r="P415" s="3">
        <f>IF(detalhe_carro1[[#This Row],[Tipo]]="Visitar Nó",((detalhe_carro1[[#This Row],[Hora Fim]]-detalhe_carro1[[#This Row],[Hora Inicio]])/60*velocidade_nos),0)</f>
        <v>0</v>
      </c>
      <c r="Q415" s="29">
        <f>detalhe_carro1[[#This Row],[Kms Nós]]+detalhe_carro1[[#This Row],[kms]]</f>
        <v>3</v>
      </c>
      <c r="S415" s="20">
        <v>4</v>
      </c>
      <c r="T415" s="20">
        <v>2</v>
      </c>
      <c r="U415" s="20">
        <v>2</v>
      </c>
      <c r="V415" s="20" t="s">
        <v>24</v>
      </c>
      <c r="W415">
        <v>1383</v>
      </c>
      <c r="X415">
        <v>1383</v>
      </c>
      <c r="Y415">
        <v>1361</v>
      </c>
      <c r="Z415" s="7">
        <v>0.25208333333333333</v>
      </c>
      <c r="AA415" s="7">
        <v>0.25208333333333333</v>
      </c>
      <c r="AB415" s="7">
        <v>0.23680555555555555</v>
      </c>
      <c r="AC4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416" spans="2:29" x14ac:dyDescent="0.25">
      <c r="B416" s="3">
        <v>3</v>
      </c>
      <c r="C416">
        <v>1</v>
      </c>
      <c r="D416">
        <v>6</v>
      </c>
      <c r="E416" s="29" t="s">
        <v>31</v>
      </c>
      <c r="F416" s="3">
        <v>955</v>
      </c>
      <c r="G416" s="3">
        <v>955</v>
      </c>
      <c r="H416" s="29" t="s">
        <v>51</v>
      </c>
      <c r="I416" s="3">
        <v>3</v>
      </c>
      <c r="J416" s="7">
        <v>0.95486111111111116</v>
      </c>
      <c r="K416" s="7">
        <v>0.95486111111111116</v>
      </c>
      <c r="L416" s="3">
        <f t="shared" si="13"/>
        <v>1</v>
      </c>
      <c r="M416" s="3">
        <f t="shared" si="14"/>
        <v>1</v>
      </c>
      <c r="N416" s="29">
        <f>_xlfn.MAXIFS($G$7:G415,$E$7:E415,detalhe_carro1[[#This Row],[Nó]],$B$7:B415,detalhe_carro1[[#This Row],[Numero Voltas]],$L$7:L415,1)</f>
        <v>949</v>
      </c>
      <c r="O416" s="3">
        <f>IF(OR(detalhe_carro1[[#This Row],[Ultima Chegada]]=0,detalhe_carro1[[#This Row],[Chegada]]=0),"",detalhe_carro1[[#This Row],[Hora Inicio]]-detalhe_carro1[[#This Row],[Ultima Chegada]])</f>
        <v>6</v>
      </c>
      <c r="P416" s="3">
        <f>IF(detalhe_carro1[[#This Row],[Tipo]]="Visitar Nó",((detalhe_carro1[[#This Row],[Hora Fim]]-detalhe_carro1[[#This Row],[Hora Inicio]])/60*velocidade_nos),0)</f>
        <v>0</v>
      </c>
      <c r="Q416" s="29">
        <f>detalhe_carro1[[#This Row],[Kms Nós]]+detalhe_carro1[[#This Row],[kms]]</f>
        <v>3</v>
      </c>
      <c r="S416" s="20">
        <v>4</v>
      </c>
      <c r="T416" s="20">
        <v>2</v>
      </c>
      <c r="U416" s="20">
        <v>1</v>
      </c>
      <c r="V416" s="20" t="s">
        <v>22</v>
      </c>
      <c r="W416">
        <v>1390</v>
      </c>
      <c r="X416">
        <v>1390</v>
      </c>
      <c r="Y416">
        <v>1354</v>
      </c>
      <c r="Z416" s="7">
        <v>0.25694444444444442</v>
      </c>
      <c r="AA416" s="7">
        <v>0.25694444444444442</v>
      </c>
      <c r="AB416" s="7">
        <v>0.23194444444444445</v>
      </c>
      <c r="AC4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417" spans="2:29" x14ac:dyDescent="0.25">
      <c r="B417" s="3">
        <v>3</v>
      </c>
      <c r="C417">
        <v>1</v>
      </c>
      <c r="D417">
        <v>5</v>
      </c>
      <c r="E417" s="29" t="s">
        <v>29</v>
      </c>
      <c r="F417" s="3">
        <v>958</v>
      </c>
      <c r="G417" s="3">
        <v>958</v>
      </c>
      <c r="H417" s="29" t="s">
        <v>51</v>
      </c>
      <c r="I417" s="3">
        <v>3</v>
      </c>
      <c r="J417" s="7">
        <v>0.95694444444444449</v>
      </c>
      <c r="K417" s="7">
        <v>0.95694444444444449</v>
      </c>
      <c r="L417" s="3">
        <f t="shared" si="13"/>
        <v>1</v>
      </c>
      <c r="M417" s="3">
        <f t="shared" si="14"/>
        <v>1</v>
      </c>
      <c r="N417" s="29">
        <f>_xlfn.MAXIFS($G$7:G416,$E$7:E416,detalhe_carro1[[#This Row],[Nó]],$B$7:B416,detalhe_carro1[[#This Row],[Numero Voltas]],$L$7:L416,1)</f>
        <v>946</v>
      </c>
      <c r="O417" s="3">
        <f>IF(OR(detalhe_carro1[[#This Row],[Ultima Chegada]]=0,detalhe_carro1[[#This Row],[Chegada]]=0),"",detalhe_carro1[[#This Row],[Hora Inicio]]-detalhe_carro1[[#This Row],[Ultima Chegada]])</f>
        <v>12</v>
      </c>
      <c r="P417" s="3">
        <f>IF(detalhe_carro1[[#This Row],[Tipo]]="Visitar Nó",((detalhe_carro1[[#This Row],[Hora Fim]]-detalhe_carro1[[#This Row],[Hora Inicio]])/60*velocidade_nos),0)</f>
        <v>0</v>
      </c>
      <c r="Q417" s="29">
        <f>detalhe_carro1[[#This Row],[Kms Nós]]+detalhe_carro1[[#This Row],[kms]]</f>
        <v>3</v>
      </c>
      <c r="S417" s="20">
        <v>4</v>
      </c>
      <c r="T417" s="20">
        <v>2</v>
      </c>
      <c r="U417" s="20">
        <v>0</v>
      </c>
      <c r="V417" s="20" t="s">
        <v>20</v>
      </c>
      <c r="W417">
        <v>1391</v>
      </c>
      <c r="X417">
        <v>1391</v>
      </c>
      <c r="Y417">
        <v>1353</v>
      </c>
      <c r="Z417" s="7">
        <v>0.25763888888888886</v>
      </c>
      <c r="AA417" s="7">
        <v>0.25763888888888886</v>
      </c>
      <c r="AB417" s="7">
        <v>0.23125000000000001</v>
      </c>
      <c r="AC4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18" spans="2:29" x14ac:dyDescent="0.25">
      <c r="B418" s="3">
        <v>3</v>
      </c>
      <c r="C418">
        <v>1</v>
      </c>
      <c r="D418">
        <v>4</v>
      </c>
      <c r="E418" s="29" t="s">
        <v>27</v>
      </c>
      <c r="F418" s="3">
        <v>961</v>
      </c>
      <c r="G418" s="3">
        <v>961</v>
      </c>
      <c r="H418" s="29" t="s">
        <v>51</v>
      </c>
      <c r="I418" s="3">
        <v>3</v>
      </c>
      <c r="J418" s="7">
        <v>0.95902777777777781</v>
      </c>
      <c r="K418" s="7">
        <v>0.95902777777777781</v>
      </c>
      <c r="L418" s="3">
        <f t="shared" si="13"/>
        <v>1</v>
      </c>
      <c r="M418" s="3">
        <f t="shared" si="14"/>
        <v>1</v>
      </c>
      <c r="N418" s="29">
        <f>_xlfn.MAXIFS($G$7:G417,$E$7:E417,detalhe_carro1[[#This Row],[Nó]],$B$7:B417,detalhe_carro1[[#This Row],[Numero Voltas]],$L$7:L417,1)</f>
        <v>943</v>
      </c>
      <c r="O418" s="3">
        <f>IF(OR(detalhe_carro1[[#This Row],[Ultima Chegada]]=0,detalhe_carro1[[#This Row],[Chegada]]=0),"",detalhe_carro1[[#This Row],[Hora Inicio]]-detalhe_carro1[[#This Row],[Ultima Chegada]])</f>
        <v>18</v>
      </c>
      <c r="P418" s="3">
        <f>IF(detalhe_carro1[[#This Row],[Tipo]]="Visitar Nó",((detalhe_carro1[[#This Row],[Hora Fim]]-detalhe_carro1[[#This Row],[Hora Inicio]])/60*velocidade_nos),0)</f>
        <v>0</v>
      </c>
      <c r="Q418" s="29">
        <f>detalhe_carro1[[#This Row],[Kms Nós]]+detalhe_carro1[[#This Row],[kms]]</f>
        <v>3</v>
      </c>
      <c r="S418" s="20">
        <v>4</v>
      </c>
      <c r="T418" s="20">
        <v>2</v>
      </c>
      <c r="U418" s="20">
        <v>1</v>
      </c>
      <c r="V418" s="20" t="s">
        <v>22</v>
      </c>
      <c r="W418">
        <v>1392</v>
      </c>
      <c r="X418">
        <v>1392</v>
      </c>
      <c r="Y418">
        <v>1390</v>
      </c>
      <c r="Z418" s="7">
        <v>0.25833333333333336</v>
      </c>
      <c r="AA418" s="7">
        <v>0.25833333333333336</v>
      </c>
      <c r="AB418" s="7">
        <v>0.25694444444444442</v>
      </c>
      <c r="AC4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419" spans="2:29" x14ac:dyDescent="0.25">
      <c r="B419" s="3">
        <v>3</v>
      </c>
      <c r="C419">
        <v>1</v>
      </c>
      <c r="D419">
        <v>3</v>
      </c>
      <c r="E419" s="29" t="s">
        <v>26</v>
      </c>
      <c r="F419" s="3">
        <v>962</v>
      </c>
      <c r="G419" s="3">
        <v>962</v>
      </c>
      <c r="H419" s="29" t="s">
        <v>51</v>
      </c>
      <c r="I419" s="3">
        <v>1</v>
      </c>
      <c r="J419" s="7">
        <v>0.95972222222222225</v>
      </c>
      <c r="K419" s="7">
        <v>0.95972222222222225</v>
      </c>
      <c r="L419" s="3">
        <f t="shared" si="13"/>
        <v>1</v>
      </c>
      <c r="M419" s="3">
        <f t="shared" si="14"/>
        <v>1</v>
      </c>
      <c r="N419" s="29">
        <f>_xlfn.MAXIFS($G$7:G418,$E$7:E418,detalhe_carro1[[#This Row],[Nó]],$B$7:B418,detalhe_carro1[[#This Row],[Numero Voltas]],$L$7:L418,1)</f>
        <v>942</v>
      </c>
      <c r="O419" s="3">
        <f>IF(OR(detalhe_carro1[[#This Row],[Ultima Chegada]]=0,detalhe_carro1[[#This Row],[Chegada]]=0),"",detalhe_carro1[[#This Row],[Hora Inicio]]-detalhe_carro1[[#This Row],[Ultima Chegada]])</f>
        <v>20</v>
      </c>
      <c r="P419" s="3">
        <f>IF(detalhe_carro1[[#This Row],[Tipo]]="Visitar Nó",((detalhe_carro1[[#This Row],[Hora Fim]]-detalhe_carro1[[#This Row],[Hora Inicio]])/60*velocidade_nos),0)</f>
        <v>0</v>
      </c>
      <c r="Q419" s="29">
        <f>detalhe_carro1[[#This Row],[Kms Nós]]+detalhe_carro1[[#This Row],[kms]]</f>
        <v>1</v>
      </c>
      <c r="S419" s="20">
        <v>4</v>
      </c>
      <c r="T419" s="20">
        <v>2</v>
      </c>
      <c r="U419" s="20">
        <v>2</v>
      </c>
      <c r="V419" s="20" t="s">
        <v>24</v>
      </c>
      <c r="W419">
        <v>1399</v>
      </c>
      <c r="X419">
        <v>1399</v>
      </c>
      <c r="Y419">
        <v>1383</v>
      </c>
      <c r="Z419" s="7">
        <v>0.26319444444444445</v>
      </c>
      <c r="AA419" s="7">
        <v>0.26319444444444445</v>
      </c>
      <c r="AB419" s="7">
        <v>0.25208333333333333</v>
      </c>
      <c r="AC4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420" spans="2:29" x14ac:dyDescent="0.25">
      <c r="B420" s="3">
        <v>3</v>
      </c>
      <c r="C420">
        <v>1</v>
      </c>
      <c r="D420">
        <v>2</v>
      </c>
      <c r="E420" s="29" t="s">
        <v>24</v>
      </c>
      <c r="F420" s="3">
        <v>963</v>
      </c>
      <c r="G420" s="3">
        <v>963</v>
      </c>
      <c r="H420" s="29" t="s">
        <v>51</v>
      </c>
      <c r="I420" s="3">
        <v>1</v>
      </c>
      <c r="J420" s="7">
        <v>0.9604166666666667</v>
      </c>
      <c r="K420" s="7">
        <v>0.9604166666666667</v>
      </c>
      <c r="L420" s="3">
        <f t="shared" si="13"/>
        <v>1</v>
      </c>
      <c r="M420" s="3">
        <f t="shared" si="14"/>
        <v>1</v>
      </c>
      <c r="N420" s="29">
        <f>_xlfn.MAXIFS($G$7:G419,$E$7:E419,detalhe_carro1[[#This Row],[Nó]],$B$7:B419,detalhe_carro1[[#This Row],[Numero Voltas]],$L$7:L419,1)</f>
        <v>941</v>
      </c>
      <c r="O420" s="3">
        <f>IF(OR(detalhe_carro1[[#This Row],[Ultima Chegada]]=0,detalhe_carro1[[#This Row],[Chegada]]=0),"",detalhe_carro1[[#This Row],[Hora Inicio]]-detalhe_carro1[[#This Row],[Ultima Chegada]])</f>
        <v>22</v>
      </c>
      <c r="P420" s="3">
        <f>IF(detalhe_carro1[[#This Row],[Tipo]]="Visitar Nó",((detalhe_carro1[[#This Row],[Hora Fim]]-detalhe_carro1[[#This Row],[Hora Inicio]])/60*velocidade_nos),0)</f>
        <v>0</v>
      </c>
      <c r="Q420" s="29">
        <f>detalhe_carro1[[#This Row],[Kms Nós]]+detalhe_carro1[[#This Row],[kms]]</f>
        <v>1</v>
      </c>
      <c r="S420" s="20">
        <v>4</v>
      </c>
      <c r="T420" s="20">
        <v>2</v>
      </c>
      <c r="U420" s="20">
        <v>3</v>
      </c>
      <c r="V420" s="20" t="s">
        <v>26</v>
      </c>
      <c r="W420">
        <v>1400</v>
      </c>
      <c r="X420">
        <v>1400</v>
      </c>
      <c r="Y420">
        <v>1382</v>
      </c>
      <c r="Z420" s="7">
        <v>0.2638888888888889</v>
      </c>
      <c r="AA420" s="7">
        <v>0.2638888888888889</v>
      </c>
      <c r="AB420" s="7">
        <v>0.25138888888888888</v>
      </c>
      <c r="AC4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21" spans="2:29" x14ac:dyDescent="0.25">
      <c r="B421" s="3">
        <v>3</v>
      </c>
      <c r="C421">
        <v>1</v>
      </c>
      <c r="D421">
        <v>1</v>
      </c>
      <c r="E421" s="29" t="s">
        <v>22</v>
      </c>
      <c r="F421" s="3">
        <v>970</v>
      </c>
      <c r="G421" s="3">
        <v>970</v>
      </c>
      <c r="H421" s="29" t="s">
        <v>51</v>
      </c>
      <c r="I421" s="3">
        <v>7</v>
      </c>
      <c r="J421" s="7">
        <v>0.96527777777777779</v>
      </c>
      <c r="K421" s="7">
        <v>0.96527777777777779</v>
      </c>
      <c r="L421" s="3">
        <f t="shared" si="13"/>
        <v>1</v>
      </c>
      <c r="M421" s="3">
        <f t="shared" si="14"/>
        <v>1</v>
      </c>
      <c r="N421" s="29">
        <f>_xlfn.MAXIFS($G$7:G420,$E$7:E420,detalhe_carro1[[#This Row],[Nó]],$B$7:B420,detalhe_carro1[[#This Row],[Numero Voltas]],$L$7:L420,1)</f>
        <v>934</v>
      </c>
      <c r="O421" s="3">
        <f>IF(OR(detalhe_carro1[[#This Row],[Ultima Chegada]]=0,detalhe_carro1[[#This Row],[Chegada]]=0),"",detalhe_carro1[[#This Row],[Hora Inicio]]-detalhe_carro1[[#This Row],[Ultima Chegada]])</f>
        <v>36</v>
      </c>
      <c r="P421" s="3">
        <f>IF(detalhe_carro1[[#This Row],[Tipo]]="Visitar Nó",((detalhe_carro1[[#This Row],[Hora Fim]]-detalhe_carro1[[#This Row],[Hora Inicio]])/60*velocidade_nos),0)</f>
        <v>0</v>
      </c>
      <c r="Q421" s="29">
        <f>detalhe_carro1[[#This Row],[Kms Nós]]+detalhe_carro1[[#This Row],[kms]]</f>
        <v>7</v>
      </c>
      <c r="S421" s="20">
        <v>4</v>
      </c>
      <c r="T421" s="20">
        <v>2</v>
      </c>
      <c r="U421" s="20">
        <v>4</v>
      </c>
      <c r="V421" s="20" t="s">
        <v>27</v>
      </c>
      <c r="W421">
        <v>1401</v>
      </c>
      <c r="X421">
        <v>1401</v>
      </c>
      <c r="Y421">
        <v>1381</v>
      </c>
      <c r="Z421" s="7">
        <v>0.26458333333333334</v>
      </c>
      <c r="AA421" s="7">
        <v>0.26458333333333334</v>
      </c>
      <c r="AB421" s="7">
        <v>0.25069444444444444</v>
      </c>
      <c r="AC4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22" spans="2:29" x14ac:dyDescent="0.25">
      <c r="B422" s="3">
        <v>3</v>
      </c>
      <c r="C422">
        <v>1</v>
      </c>
      <c r="D422">
        <v>0</v>
      </c>
      <c r="E422" s="29" t="s">
        <v>20</v>
      </c>
      <c r="F422" s="3">
        <v>971</v>
      </c>
      <c r="G422" s="3">
        <v>971</v>
      </c>
      <c r="H422" s="29" t="s">
        <v>51</v>
      </c>
      <c r="I422" s="3">
        <v>1</v>
      </c>
      <c r="J422" s="7">
        <v>0.96597222222222223</v>
      </c>
      <c r="K422" s="7">
        <v>0.96597222222222223</v>
      </c>
      <c r="L422" s="3">
        <f t="shared" si="13"/>
        <v>0</v>
      </c>
      <c r="M422" s="3">
        <f t="shared" si="14"/>
        <v>1</v>
      </c>
      <c r="N422" s="29">
        <f>_xlfn.MAXIFS($G$7:G421,$E$7:E421,detalhe_carro1[[#This Row],[Nó]],$B$7:B421,detalhe_carro1[[#This Row],[Numero Voltas]],$L$7:L421,1)</f>
        <v>933</v>
      </c>
      <c r="O422" s="3">
        <f>IF(OR(detalhe_carro1[[#This Row],[Ultima Chegada]]=0,detalhe_carro1[[#This Row],[Chegada]]=0),"",detalhe_carro1[[#This Row],[Hora Inicio]]-detalhe_carro1[[#This Row],[Ultima Chegada]])</f>
        <v>38</v>
      </c>
      <c r="P422" s="3">
        <f>IF(detalhe_carro1[[#This Row],[Tipo]]="Visitar Nó",((detalhe_carro1[[#This Row],[Hora Fim]]-detalhe_carro1[[#This Row],[Hora Inicio]])/60*velocidade_nos),0)</f>
        <v>0</v>
      </c>
      <c r="Q422" s="29">
        <f>detalhe_carro1[[#This Row],[Kms Nós]]+detalhe_carro1[[#This Row],[kms]]</f>
        <v>1</v>
      </c>
      <c r="S422" s="20">
        <v>4</v>
      </c>
      <c r="T422" s="20">
        <v>2</v>
      </c>
      <c r="U422" s="20">
        <v>5</v>
      </c>
      <c r="V422" s="20" t="s">
        <v>29</v>
      </c>
      <c r="W422">
        <v>1404</v>
      </c>
      <c r="X422">
        <v>1404</v>
      </c>
      <c r="Y422">
        <v>1378</v>
      </c>
      <c r="Z422" s="7">
        <v>0.26666666666666666</v>
      </c>
      <c r="AA422" s="7">
        <v>0.26666666666666666</v>
      </c>
      <c r="AB422" s="7">
        <v>0.24861111111111112</v>
      </c>
      <c r="AC4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423" spans="2:29" x14ac:dyDescent="0.25">
      <c r="B423" s="3">
        <v>3</v>
      </c>
      <c r="C423">
        <v>1</v>
      </c>
      <c r="D423">
        <v>0</v>
      </c>
      <c r="E423" s="29" t="s">
        <v>20</v>
      </c>
      <c r="F423" s="3">
        <v>971</v>
      </c>
      <c r="G423" s="3">
        <v>971</v>
      </c>
      <c r="H423" s="29" t="s">
        <v>51</v>
      </c>
      <c r="I423" s="3">
        <v>1</v>
      </c>
      <c r="J423" s="7">
        <v>0.96597222222222223</v>
      </c>
      <c r="K423" s="7">
        <v>0.96597222222222223</v>
      </c>
      <c r="L423" s="3">
        <f t="shared" si="13"/>
        <v>1</v>
      </c>
      <c r="M423" s="3">
        <f t="shared" si="14"/>
        <v>0</v>
      </c>
      <c r="N423" s="29">
        <f>_xlfn.MAXIFS($G$7:G422,$E$7:E422,detalhe_carro1[[#This Row],[Nó]],$B$7:B422,detalhe_carro1[[#This Row],[Numero Voltas]],$L$7:L422,1)</f>
        <v>933</v>
      </c>
      <c r="O423" s="3" t="str">
        <f>IF(OR(detalhe_carro1[[#This Row],[Ultima Chegada]]=0,detalhe_carro1[[#This Row],[Chegada]]=0),"",detalhe_carro1[[#This Row],[Hora Inicio]]-detalhe_carro1[[#This Row],[Ultima Chegada]])</f>
        <v/>
      </c>
      <c r="P423" s="3">
        <f>IF(detalhe_carro1[[#This Row],[Tipo]]="Visitar Nó",((detalhe_carro1[[#This Row],[Hora Fim]]-detalhe_carro1[[#This Row],[Hora Inicio]])/60*velocidade_nos),0)</f>
        <v>0</v>
      </c>
      <c r="Q423" s="29">
        <f>detalhe_carro1[[#This Row],[Kms Nós]]+detalhe_carro1[[#This Row],[kms]]</f>
        <v>1</v>
      </c>
      <c r="S423" s="20">
        <v>4</v>
      </c>
      <c r="T423" s="20">
        <v>2</v>
      </c>
      <c r="U423" s="20">
        <v>6</v>
      </c>
      <c r="V423" s="20" t="s">
        <v>31</v>
      </c>
      <c r="W423">
        <v>1407</v>
      </c>
      <c r="X423">
        <v>1407</v>
      </c>
      <c r="Y423">
        <v>1375</v>
      </c>
      <c r="Z423" s="7">
        <v>0.26874999999999999</v>
      </c>
      <c r="AA423" s="7">
        <v>0.26874999999999999</v>
      </c>
      <c r="AB423" s="7">
        <v>0.24652777777777779</v>
      </c>
      <c r="AC4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424" spans="2:29" x14ac:dyDescent="0.25">
      <c r="B424" s="3">
        <v>3</v>
      </c>
      <c r="C424">
        <v>1</v>
      </c>
      <c r="D424">
        <v>1</v>
      </c>
      <c r="E424" s="29" t="s">
        <v>22</v>
      </c>
      <c r="F424" s="3">
        <v>972</v>
      </c>
      <c r="G424" s="3">
        <v>1032</v>
      </c>
      <c r="H424" s="29" t="s">
        <v>52</v>
      </c>
      <c r="I424" s="3">
        <v>0</v>
      </c>
      <c r="J424" s="7">
        <v>0.96666666666666667</v>
      </c>
      <c r="K424" s="7">
        <v>8.3333333333333332E-3</v>
      </c>
      <c r="L424" s="3">
        <f t="shared" si="13"/>
        <v>0</v>
      </c>
      <c r="M424" s="3">
        <f t="shared" si="14"/>
        <v>1</v>
      </c>
      <c r="N424" s="29">
        <f>_xlfn.MAXIFS($G$7:G423,$E$7:E423,detalhe_carro1[[#This Row],[Nó]],$B$7:B423,detalhe_carro1[[#This Row],[Numero Voltas]],$L$7:L423,1)</f>
        <v>970</v>
      </c>
      <c r="O424" s="3">
        <f>IF(OR(detalhe_carro1[[#This Row],[Ultima Chegada]]=0,detalhe_carro1[[#This Row],[Chegada]]=0),"",detalhe_carro1[[#This Row],[Hora Inicio]]-detalhe_carro1[[#This Row],[Ultima Chegada]])</f>
        <v>2</v>
      </c>
      <c r="P424" s="3">
        <f>IF(detalhe_carro1[[#This Row],[Tipo]]="Visitar Nó",((detalhe_carro1[[#This Row],[Hora Fim]]-detalhe_carro1[[#This Row],[Hora Inicio]])/60*velocidade_nos),0)</f>
        <v>0</v>
      </c>
      <c r="Q424" s="29">
        <f>detalhe_carro1[[#This Row],[Kms Nós]]+detalhe_carro1[[#This Row],[kms]]</f>
        <v>0</v>
      </c>
      <c r="S424" s="20">
        <v>4</v>
      </c>
      <c r="T424" s="20">
        <v>2</v>
      </c>
      <c r="U424" s="20">
        <v>7</v>
      </c>
      <c r="V424" s="20" t="s">
        <v>33</v>
      </c>
      <c r="W424">
        <v>1410</v>
      </c>
      <c r="X424">
        <v>1410</v>
      </c>
      <c r="Y424">
        <v>1372</v>
      </c>
      <c r="Z424" s="7">
        <v>0.27083333333333331</v>
      </c>
      <c r="AA424" s="7">
        <v>0.27083333333333331</v>
      </c>
      <c r="AB424" s="7">
        <v>0.24444444444444444</v>
      </c>
      <c r="AC4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25" spans="2:29" x14ac:dyDescent="0.25">
      <c r="B425" s="3">
        <v>3</v>
      </c>
      <c r="C425">
        <v>1</v>
      </c>
      <c r="D425">
        <v>1</v>
      </c>
      <c r="E425" s="29" t="s">
        <v>22</v>
      </c>
      <c r="F425" s="3">
        <v>1033</v>
      </c>
      <c r="G425" s="3">
        <v>1033</v>
      </c>
      <c r="H425" s="29" t="s">
        <v>51</v>
      </c>
      <c r="I425" s="3">
        <v>1</v>
      </c>
      <c r="J425" s="7">
        <v>9.0277777777777769E-3</v>
      </c>
      <c r="K425" s="7">
        <v>9.0277777777777769E-3</v>
      </c>
      <c r="L425" s="3">
        <f t="shared" si="13"/>
        <v>1</v>
      </c>
      <c r="M425" s="3">
        <f t="shared" si="14"/>
        <v>0</v>
      </c>
      <c r="N425" s="29">
        <f>_xlfn.MAXIFS($G$7:G424,$E$7:E424,detalhe_carro1[[#This Row],[Nó]],$B$7:B424,detalhe_carro1[[#This Row],[Numero Voltas]],$L$7:L424,1)</f>
        <v>970</v>
      </c>
      <c r="O425" s="3" t="str">
        <f>IF(OR(detalhe_carro1[[#This Row],[Ultima Chegada]]=0,detalhe_carro1[[#This Row],[Chegada]]=0),"",detalhe_carro1[[#This Row],[Hora Inicio]]-detalhe_carro1[[#This Row],[Ultima Chegada]])</f>
        <v/>
      </c>
      <c r="P425" s="3">
        <f>IF(detalhe_carro1[[#This Row],[Tipo]]="Visitar Nó",((detalhe_carro1[[#This Row],[Hora Fim]]-detalhe_carro1[[#This Row],[Hora Inicio]])/60*velocidade_nos),0)</f>
        <v>0</v>
      </c>
      <c r="Q425" s="29">
        <f>detalhe_carro1[[#This Row],[Kms Nós]]+detalhe_carro1[[#This Row],[kms]]</f>
        <v>1</v>
      </c>
      <c r="S425" s="20">
        <v>4</v>
      </c>
      <c r="T425" s="20">
        <v>2</v>
      </c>
      <c r="U425" s="20">
        <v>6</v>
      </c>
      <c r="V425" s="20" t="s">
        <v>31</v>
      </c>
      <c r="W425">
        <v>1413</v>
      </c>
      <c r="X425">
        <v>1413</v>
      </c>
      <c r="Y425">
        <v>1407</v>
      </c>
      <c r="Z425" s="7">
        <v>0.27291666666666664</v>
      </c>
      <c r="AA425" s="7">
        <v>0.27291666666666664</v>
      </c>
      <c r="AB425" s="7">
        <v>0.26874999999999999</v>
      </c>
      <c r="AC4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426" spans="2:29" x14ac:dyDescent="0.25">
      <c r="B426" s="3">
        <v>3</v>
      </c>
      <c r="C426">
        <v>1</v>
      </c>
      <c r="D426">
        <v>2</v>
      </c>
      <c r="E426" s="29" t="s">
        <v>24</v>
      </c>
      <c r="F426" s="3">
        <v>1040</v>
      </c>
      <c r="G426" s="3">
        <v>1040</v>
      </c>
      <c r="H426" s="29" t="s">
        <v>51</v>
      </c>
      <c r="I426" s="3">
        <v>7</v>
      </c>
      <c r="J426" s="7">
        <v>1.3888888888888888E-2</v>
      </c>
      <c r="K426" s="7">
        <v>1.3888888888888888E-2</v>
      </c>
      <c r="L426" s="3">
        <f t="shared" si="13"/>
        <v>1</v>
      </c>
      <c r="M426" s="3">
        <f t="shared" si="14"/>
        <v>1</v>
      </c>
      <c r="N426" s="29">
        <f>_xlfn.MAXIFS($G$7:G425,$E$7:E425,detalhe_carro1[[#This Row],[Nó]],$B$7:B425,detalhe_carro1[[#This Row],[Numero Voltas]],$L$7:L425,1)</f>
        <v>963</v>
      </c>
      <c r="O426" s="3">
        <f>IF(OR(detalhe_carro1[[#This Row],[Ultima Chegada]]=0,detalhe_carro1[[#This Row],[Chegada]]=0),"",detalhe_carro1[[#This Row],[Hora Inicio]]-detalhe_carro1[[#This Row],[Ultima Chegada]])</f>
        <v>77</v>
      </c>
      <c r="P426" s="3">
        <f>IF(detalhe_carro1[[#This Row],[Tipo]]="Visitar Nó",((detalhe_carro1[[#This Row],[Hora Fim]]-detalhe_carro1[[#This Row],[Hora Inicio]])/60*velocidade_nos),0)</f>
        <v>0</v>
      </c>
      <c r="Q426" s="29">
        <f>detalhe_carro1[[#This Row],[Kms Nós]]+detalhe_carro1[[#This Row],[kms]]</f>
        <v>7</v>
      </c>
      <c r="S426" s="20">
        <v>4</v>
      </c>
      <c r="T426" s="20">
        <v>2</v>
      </c>
      <c r="U426" s="20">
        <v>5</v>
      </c>
      <c r="V426" s="20" t="s">
        <v>29</v>
      </c>
      <c r="W426">
        <v>1416</v>
      </c>
      <c r="X426">
        <v>1416</v>
      </c>
      <c r="Y426">
        <v>1404</v>
      </c>
      <c r="Z426" s="7">
        <v>0.27500000000000002</v>
      </c>
      <c r="AA426" s="7">
        <v>0.27500000000000002</v>
      </c>
      <c r="AB426" s="7">
        <v>0.26666666666666666</v>
      </c>
      <c r="AC4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427" spans="2:29" x14ac:dyDescent="0.25">
      <c r="B427" s="3">
        <v>3</v>
      </c>
      <c r="C427">
        <v>1</v>
      </c>
      <c r="D427">
        <v>3</v>
      </c>
      <c r="E427" s="29" t="s">
        <v>26</v>
      </c>
      <c r="F427" s="3">
        <v>1041</v>
      </c>
      <c r="G427" s="3">
        <v>1041</v>
      </c>
      <c r="H427" s="29" t="s">
        <v>51</v>
      </c>
      <c r="I427" s="3">
        <v>1</v>
      </c>
      <c r="J427" s="7">
        <v>1.4583333333333334E-2</v>
      </c>
      <c r="K427" s="7">
        <v>1.4583333333333334E-2</v>
      </c>
      <c r="L427" s="3">
        <f t="shared" si="13"/>
        <v>1</v>
      </c>
      <c r="M427" s="3">
        <f t="shared" si="14"/>
        <v>1</v>
      </c>
      <c r="N427" s="29">
        <f>_xlfn.MAXIFS($G$7:G426,$E$7:E426,detalhe_carro1[[#This Row],[Nó]],$B$7:B426,detalhe_carro1[[#This Row],[Numero Voltas]],$L$7:L426,1)</f>
        <v>962</v>
      </c>
      <c r="O427" s="3">
        <f>IF(OR(detalhe_carro1[[#This Row],[Ultima Chegada]]=0,detalhe_carro1[[#This Row],[Chegada]]=0),"",detalhe_carro1[[#This Row],[Hora Inicio]]-detalhe_carro1[[#This Row],[Ultima Chegada]])</f>
        <v>79</v>
      </c>
      <c r="P427" s="3">
        <f>IF(detalhe_carro1[[#This Row],[Tipo]]="Visitar Nó",((detalhe_carro1[[#This Row],[Hora Fim]]-detalhe_carro1[[#This Row],[Hora Inicio]])/60*velocidade_nos),0)</f>
        <v>0</v>
      </c>
      <c r="Q427" s="29">
        <f>detalhe_carro1[[#This Row],[Kms Nós]]+detalhe_carro1[[#This Row],[kms]]</f>
        <v>1</v>
      </c>
      <c r="S427" s="20">
        <v>4</v>
      </c>
      <c r="T427" s="20">
        <v>2</v>
      </c>
      <c r="U427" s="20">
        <v>4</v>
      </c>
      <c r="V427" s="20" t="s">
        <v>27</v>
      </c>
      <c r="W427">
        <v>1419</v>
      </c>
      <c r="X427">
        <v>1419</v>
      </c>
      <c r="Y427">
        <v>1401</v>
      </c>
      <c r="Z427" s="7">
        <v>0.27708333333333335</v>
      </c>
      <c r="AA427" s="7">
        <v>0.27708333333333335</v>
      </c>
      <c r="AB427" s="7">
        <v>0.26458333333333334</v>
      </c>
      <c r="AC4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28" spans="2:29" x14ac:dyDescent="0.25">
      <c r="B428" s="3">
        <v>3</v>
      </c>
      <c r="C428">
        <v>1</v>
      </c>
      <c r="D428">
        <v>4</v>
      </c>
      <c r="E428" s="29" t="s">
        <v>27</v>
      </c>
      <c r="F428" s="3">
        <v>1042</v>
      </c>
      <c r="G428" s="3">
        <v>1042</v>
      </c>
      <c r="H428" s="29" t="s">
        <v>51</v>
      </c>
      <c r="I428" s="3">
        <v>1</v>
      </c>
      <c r="J428" s="7">
        <v>1.5277777777777777E-2</v>
      </c>
      <c r="K428" s="7">
        <v>1.5277777777777777E-2</v>
      </c>
      <c r="L428" s="3">
        <f t="shared" si="13"/>
        <v>1</v>
      </c>
      <c r="M428" s="3">
        <f t="shared" si="14"/>
        <v>1</v>
      </c>
      <c r="N428" s="29">
        <f>_xlfn.MAXIFS($G$7:G427,$E$7:E427,detalhe_carro1[[#This Row],[Nó]],$B$7:B427,detalhe_carro1[[#This Row],[Numero Voltas]],$L$7:L427,1)</f>
        <v>961</v>
      </c>
      <c r="O428" s="3">
        <f>IF(OR(detalhe_carro1[[#This Row],[Ultima Chegada]]=0,detalhe_carro1[[#This Row],[Chegada]]=0),"",detalhe_carro1[[#This Row],[Hora Inicio]]-detalhe_carro1[[#This Row],[Ultima Chegada]])</f>
        <v>81</v>
      </c>
      <c r="P428" s="3">
        <f>IF(detalhe_carro1[[#This Row],[Tipo]]="Visitar Nó",((detalhe_carro1[[#This Row],[Hora Fim]]-detalhe_carro1[[#This Row],[Hora Inicio]])/60*velocidade_nos),0)</f>
        <v>0</v>
      </c>
      <c r="Q428" s="29">
        <f>detalhe_carro1[[#This Row],[Kms Nós]]+detalhe_carro1[[#This Row],[kms]]</f>
        <v>1</v>
      </c>
      <c r="S428" s="20">
        <v>4</v>
      </c>
      <c r="T428" s="20">
        <v>2</v>
      </c>
      <c r="U428" s="20">
        <v>3</v>
      </c>
      <c r="V428" s="20" t="s">
        <v>26</v>
      </c>
      <c r="W428">
        <v>1420</v>
      </c>
      <c r="X428">
        <v>1420</v>
      </c>
      <c r="Y428">
        <v>1400</v>
      </c>
      <c r="Z428" s="7">
        <v>0.27777777777777779</v>
      </c>
      <c r="AA428" s="7">
        <v>0.27777777777777779</v>
      </c>
      <c r="AB428" s="7">
        <v>0.2638888888888889</v>
      </c>
      <c r="AC4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29" spans="2:29" x14ac:dyDescent="0.25">
      <c r="B429" s="3">
        <v>3</v>
      </c>
      <c r="C429">
        <v>1</v>
      </c>
      <c r="D429">
        <v>5</v>
      </c>
      <c r="E429" s="29" t="s">
        <v>29</v>
      </c>
      <c r="F429" s="3">
        <v>1045</v>
      </c>
      <c r="G429" s="3">
        <v>1045</v>
      </c>
      <c r="H429" s="29" t="s">
        <v>51</v>
      </c>
      <c r="I429" s="3">
        <v>3</v>
      </c>
      <c r="J429" s="7">
        <v>1.7361111111111112E-2</v>
      </c>
      <c r="K429" s="7">
        <v>1.7361111111111112E-2</v>
      </c>
      <c r="L429" s="3">
        <f t="shared" si="13"/>
        <v>1</v>
      </c>
      <c r="M429" s="3">
        <f t="shared" si="14"/>
        <v>1</v>
      </c>
      <c r="N429" s="29">
        <f>_xlfn.MAXIFS($G$7:G428,$E$7:E428,detalhe_carro1[[#This Row],[Nó]],$B$7:B428,detalhe_carro1[[#This Row],[Numero Voltas]],$L$7:L428,1)</f>
        <v>958</v>
      </c>
      <c r="O429" s="3">
        <f>IF(OR(detalhe_carro1[[#This Row],[Ultima Chegada]]=0,detalhe_carro1[[#This Row],[Chegada]]=0),"",detalhe_carro1[[#This Row],[Hora Inicio]]-detalhe_carro1[[#This Row],[Ultima Chegada]])</f>
        <v>87</v>
      </c>
      <c r="P429" s="3">
        <f>IF(detalhe_carro1[[#This Row],[Tipo]]="Visitar Nó",((detalhe_carro1[[#This Row],[Hora Fim]]-detalhe_carro1[[#This Row],[Hora Inicio]])/60*velocidade_nos),0)</f>
        <v>0</v>
      </c>
      <c r="Q429" s="29">
        <f>detalhe_carro1[[#This Row],[Kms Nós]]+detalhe_carro1[[#This Row],[kms]]</f>
        <v>3</v>
      </c>
      <c r="S429" s="20">
        <v>4</v>
      </c>
      <c r="T429" s="20">
        <v>2</v>
      </c>
      <c r="U429" s="20">
        <v>2</v>
      </c>
      <c r="V429" s="20" t="s">
        <v>24</v>
      </c>
      <c r="W429">
        <v>1421</v>
      </c>
      <c r="X429">
        <v>1421</v>
      </c>
      <c r="Y429">
        <v>1399</v>
      </c>
      <c r="Z429" s="7">
        <v>0.27847222222222223</v>
      </c>
      <c r="AA429" s="7">
        <v>0.27847222222222223</v>
      </c>
      <c r="AB429" s="7">
        <v>0.26319444444444445</v>
      </c>
      <c r="AC4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430" spans="2:29" x14ac:dyDescent="0.25">
      <c r="B430" s="3">
        <v>3</v>
      </c>
      <c r="C430">
        <v>1</v>
      </c>
      <c r="D430">
        <v>6</v>
      </c>
      <c r="E430" s="29" t="s">
        <v>31</v>
      </c>
      <c r="F430" s="3">
        <v>1048</v>
      </c>
      <c r="G430" s="3">
        <v>1048</v>
      </c>
      <c r="H430" s="29" t="s">
        <v>51</v>
      </c>
      <c r="I430" s="3">
        <v>3</v>
      </c>
      <c r="J430" s="7">
        <v>1.9444444444444445E-2</v>
      </c>
      <c r="K430" s="7">
        <v>1.9444444444444445E-2</v>
      </c>
      <c r="L430" s="3">
        <f t="shared" si="13"/>
        <v>1</v>
      </c>
      <c r="M430" s="3">
        <f t="shared" si="14"/>
        <v>1</v>
      </c>
      <c r="N430" s="29">
        <f>_xlfn.MAXIFS($G$7:G429,$E$7:E429,detalhe_carro1[[#This Row],[Nó]],$B$7:B429,detalhe_carro1[[#This Row],[Numero Voltas]],$L$7:L429,1)</f>
        <v>955</v>
      </c>
      <c r="O430" s="3">
        <f>IF(OR(detalhe_carro1[[#This Row],[Ultima Chegada]]=0,detalhe_carro1[[#This Row],[Chegada]]=0),"",detalhe_carro1[[#This Row],[Hora Inicio]]-detalhe_carro1[[#This Row],[Ultima Chegada]])</f>
        <v>93</v>
      </c>
      <c r="P430" s="3">
        <f>IF(detalhe_carro1[[#This Row],[Tipo]]="Visitar Nó",((detalhe_carro1[[#This Row],[Hora Fim]]-detalhe_carro1[[#This Row],[Hora Inicio]])/60*velocidade_nos),0)</f>
        <v>0</v>
      </c>
      <c r="Q430" s="29">
        <f>detalhe_carro1[[#This Row],[Kms Nós]]+detalhe_carro1[[#This Row],[kms]]</f>
        <v>3</v>
      </c>
      <c r="S430" s="20">
        <v>4</v>
      </c>
      <c r="T430" s="20">
        <v>2</v>
      </c>
      <c r="U430" s="20">
        <v>1</v>
      </c>
      <c r="V430" s="20" t="s">
        <v>22</v>
      </c>
      <c r="W430">
        <v>1428</v>
      </c>
      <c r="X430">
        <v>1428</v>
      </c>
      <c r="Y430">
        <v>1392</v>
      </c>
      <c r="Z430" s="7">
        <v>0.28333333333333333</v>
      </c>
      <c r="AA430" s="7">
        <v>0.28333333333333333</v>
      </c>
      <c r="AB430" s="7">
        <v>0.25833333333333336</v>
      </c>
      <c r="AC4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431" spans="2:29" x14ac:dyDescent="0.25">
      <c r="B431" s="3">
        <v>3</v>
      </c>
      <c r="C431">
        <v>1</v>
      </c>
      <c r="D431">
        <v>7</v>
      </c>
      <c r="E431" s="29" t="s">
        <v>33</v>
      </c>
      <c r="F431" s="3">
        <v>1051</v>
      </c>
      <c r="G431" s="3">
        <v>1051</v>
      </c>
      <c r="H431" s="29" t="s">
        <v>51</v>
      </c>
      <c r="I431" s="3">
        <v>3</v>
      </c>
      <c r="J431" s="7">
        <v>2.1527777777777778E-2</v>
      </c>
      <c r="K431" s="7">
        <v>2.1527777777777778E-2</v>
      </c>
      <c r="L431" s="3">
        <f t="shared" si="13"/>
        <v>0</v>
      </c>
      <c r="M431" s="3">
        <f t="shared" si="14"/>
        <v>1</v>
      </c>
      <c r="N431" s="29">
        <f>_xlfn.MAXIFS($G$7:G430,$E$7:E430,detalhe_carro1[[#This Row],[Nó]],$B$7:B430,detalhe_carro1[[#This Row],[Numero Voltas]],$L$7:L430,1)</f>
        <v>952</v>
      </c>
      <c r="O431" s="3">
        <f>IF(OR(detalhe_carro1[[#This Row],[Ultima Chegada]]=0,detalhe_carro1[[#This Row],[Chegada]]=0),"",detalhe_carro1[[#This Row],[Hora Inicio]]-detalhe_carro1[[#This Row],[Ultima Chegada]])</f>
        <v>99</v>
      </c>
      <c r="P431" s="3">
        <f>IF(detalhe_carro1[[#This Row],[Tipo]]="Visitar Nó",((detalhe_carro1[[#This Row],[Hora Fim]]-detalhe_carro1[[#This Row],[Hora Inicio]])/60*velocidade_nos),0)</f>
        <v>0</v>
      </c>
      <c r="Q431" s="29">
        <f>detalhe_carro1[[#This Row],[Kms Nós]]+detalhe_carro1[[#This Row],[kms]]</f>
        <v>3</v>
      </c>
      <c r="S431" s="20">
        <v>4</v>
      </c>
      <c r="T431" s="20">
        <v>2</v>
      </c>
      <c r="U431" s="20">
        <v>0</v>
      </c>
      <c r="V431" s="20" t="s">
        <v>20</v>
      </c>
      <c r="W431">
        <v>1429</v>
      </c>
      <c r="X431">
        <v>1429</v>
      </c>
      <c r="Y431">
        <v>1391</v>
      </c>
      <c r="Z431" s="7">
        <v>0.28402777777777777</v>
      </c>
      <c r="AA431" s="7">
        <v>0.28402777777777777</v>
      </c>
      <c r="AB431" s="7">
        <v>0.25763888888888886</v>
      </c>
      <c r="AC4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32" spans="2:29" x14ac:dyDescent="0.25">
      <c r="B432" s="3">
        <v>3</v>
      </c>
      <c r="C432">
        <v>1</v>
      </c>
      <c r="D432">
        <v>7</v>
      </c>
      <c r="E432" s="29" t="s">
        <v>33</v>
      </c>
      <c r="F432" s="3">
        <v>1051</v>
      </c>
      <c r="G432" s="3">
        <v>1051</v>
      </c>
      <c r="H432" s="29" t="s">
        <v>51</v>
      </c>
      <c r="I432" s="3">
        <v>3</v>
      </c>
      <c r="J432" s="7">
        <v>2.1527777777777778E-2</v>
      </c>
      <c r="K432" s="7">
        <v>2.1527777777777778E-2</v>
      </c>
      <c r="L432" s="3">
        <f t="shared" si="13"/>
        <v>0</v>
      </c>
      <c r="M432" s="3">
        <f t="shared" si="14"/>
        <v>0</v>
      </c>
      <c r="N432" s="29">
        <f>_xlfn.MAXIFS($G$7:G431,$E$7:E431,detalhe_carro1[[#This Row],[Nó]],$B$7:B431,detalhe_carro1[[#This Row],[Numero Voltas]],$L$7:L431,1)</f>
        <v>952</v>
      </c>
      <c r="O432" s="3" t="str">
        <f>IF(OR(detalhe_carro1[[#This Row],[Ultima Chegada]]=0,detalhe_carro1[[#This Row],[Chegada]]=0),"",detalhe_carro1[[#This Row],[Hora Inicio]]-detalhe_carro1[[#This Row],[Ultima Chegada]])</f>
        <v/>
      </c>
      <c r="P432" s="3">
        <f>IF(detalhe_carro1[[#This Row],[Tipo]]="Visitar Nó",((detalhe_carro1[[#This Row],[Hora Fim]]-detalhe_carro1[[#This Row],[Hora Inicio]])/60*velocidade_nos),0)</f>
        <v>0</v>
      </c>
      <c r="Q432" s="29">
        <f>detalhe_carro1[[#This Row],[Kms Nós]]+detalhe_carro1[[#This Row],[kms]]</f>
        <v>3</v>
      </c>
      <c r="S432" s="20">
        <v>4</v>
      </c>
      <c r="T432" s="20">
        <v>2</v>
      </c>
      <c r="U432" s="20">
        <v>1</v>
      </c>
      <c r="V432" s="20" t="s">
        <v>22</v>
      </c>
      <c r="W432">
        <v>1430</v>
      </c>
      <c r="X432">
        <v>1513</v>
      </c>
      <c r="Y432">
        <v>1428</v>
      </c>
      <c r="Z432" s="7">
        <v>0.28472222222222221</v>
      </c>
      <c r="AA432" s="7">
        <v>0.34236111111111112</v>
      </c>
      <c r="AB432" s="7">
        <v>0.28333333333333333</v>
      </c>
      <c r="AC4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433" spans="2:29" x14ac:dyDescent="0.25">
      <c r="B433" s="3">
        <v>3</v>
      </c>
      <c r="C433">
        <v>1</v>
      </c>
      <c r="D433">
        <v>7</v>
      </c>
      <c r="E433" s="29" t="s">
        <v>33</v>
      </c>
      <c r="F433" s="3">
        <v>1051</v>
      </c>
      <c r="G433" s="3">
        <v>1051</v>
      </c>
      <c r="H433" s="29" t="s">
        <v>51</v>
      </c>
      <c r="I433" s="3">
        <v>3</v>
      </c>
      <c r="J433" s="7">
        <v>2.1527777777777778E-2</v>
      </c>
      <c r="K433" s="7">
        <v>2.1527777777777778E-2</v>
      </c>
      <c r="L433" s="3">
        <f t="shared" si="13"/>
        <v>0</v>
      </c>
      <c r="M433" s="3">
        <f t="shared" si="14"/>
        <v>0</v>
      </c>
      <c r="N433" s="29">
        <f>_xlfn.MAXIFS($G$7:G432,$E$7:E432,detalhe_carro1[[#This Row],[Nó]],$B$7:B432,detalhe_carro1[[#This Row],[Numero Voltas]],$L$7:L432,1)</f>
        <v>952</v>
      </c>
      <c r="O433" s="3" t="str">
        <f>IF(OR(detalhe_carro1[[#This Row],[Ultima Chegada]]=0,detalhe_carro1[[#This Row],[Chegada]]=0),"",detalhe_carro1[[#This Row],[Hora Inicio]]-detalhe_carro1[[#This Row],[Ultima Chegada]])</f>
        <v/>
      </c>
      <c r="P433" s="3">
        <f>IF(detalhe_carro1[[#This Row],[Tipo]]="Visitar Nó",((detalhe_carro1[[#This Row],[Hora Fim]]-detalhe_carro1[[#This Row],[Hora Inicio]])/60*velocidade_nos),0)</f>
        <v>0</v>
      </c>
      <c r="Q433" s="29">
        <f>detalhe_carro1[[#This Row],[Kms Nós]]+detalhe_carro1[[#This Row],[kms]]</f>
        <v>3</v>
      </c>
      <c r="S433" s="20">
        <v>4</v>
      </c>
      <c r="T433" s="20">
        <v>2</v>
      </c>
      <c r="U433" s="20">
        <v>2</v>
      </c>
      <c r="V433" s="20" t="s">
        <v>24</v>
      </c>
      <c r="W433">
        <v>1520</v>
      </c>
      <c r="X433">
        <v>1520</v>
      </c>
      <c r="Y433">
        <v>1421</v>
      </c>
      <c r="Z433" s="7">
        <v>0.34722222222222221</v>
      </c>
      <c r="AA433" s="7">
        <v>0.34722222222222221</v>
      </c>
      <c r="AB433" s="7">
        <v>0.27847222222222223</v>
      </c>
      <c r="AC4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1.65</v>
      </c>
    </row>
    <row r="434" spans="2:29" x14ac:dyDescent="0.25">
      <c r="B434" s="3">
        <v>3</v>
      </c>
      <c r="C434">
        <v>2</v>
      </c>
      <c r="D434">
        <v>7</v>
      </c>
      <c r="E434" s="29" t="s">
        <v>33</v>
      </c>
      <c r="F434" s="3">
        <v>990</v>
      </c>
      <c r="G434" s="3">
        <v>1050</v>
      </c>
      <c r="H434" s="29" t="s">
        <v>54</v>
      </c>
      <c r="I434" s="3">
        <v>0</v>
      </c>
      <c r="J434" s="7">
        <v>0.97916666666666663</v>
      </c>
      <c r="K434" s="7">
        <v>2.0833333333333332E-2</v>
      </c>
      <c r="L434" s="3">
        <f t="shared" si="13"/>
        <v>0</v>
      </c>
      <c r="M434" s="3">
        <f t="shared" si="14"/>
        <v>0</v>
      </c>
      <c r="N434" s="29">
        <f>_xlfn.MAXIFS($G$7:G433,$E$7:E433,detalhe_carro1[[#This Row],[Nó]],$B$7:B433,detalhe_carro1[[#This Row],[Numero Voltas]],$L$7:L433,1)</f>
        <v>952</v>
      </c>
      <c r="O434" s="3" t="str">
        <f>IF(OR(detalhe_carro1[[#This Row],[Ultima Chegada]]=0,detalhe_carro1[[#This Row],[Chegada]]=0),"",detalhe_carro1[[#This Row],[Hora Inicio]]-detalhe_carro1[[#This Row],[Ultima Chegada]])</f>
        <v/>
      </c>
      <c r="P434" s="3">
        <f>IF(detalhe_carro1[[#This Row],[Tipo]]="Visitar Nó",((detalhe_carro1[[#This Row],[Hora Fim]]-detalhe_carro1[[#This Row],[Hora Inicio]])/60*velocidade_nos),0)</f>
        <v>0</v>
      </c>
      <c r="Q434" s="29">
        <f>detalhe_carro1[[#This Row],[Kms Nós]]+detalhe_carro1[[#This Row],[kms]]</f>
        <v>0</v>
      </c>
      <c r="S434" s="20">
        <v>4</v>
      </c>
      <c r="T434" s="20">
        <v>2</v>
      </c>
      <c r="U434" s="20">
        <v>3</v>
      </c>
      <c r="V434" s="20" t="s">
        <v>26</v>
      </c>
      <c r="W434">
        <v>1521</v>
      </c>
      <c r="X434">
        <v>1521</v>
      </c>
      <c r="Y434">
        <v>1420</v>
      </c>
      <c r="Z434" s="7">
        <v>0.34791666666666665</v>
      </c>
      <c r="AA434" s="7">
        <v>0.34791666666666665</v>
      </c>
      <c r="AB434" s="7">
        <v>0.27777777777777779</v>
      </c>
      <c r="AC4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1.6833333333333333</v>
      </c>
    </row>
    <row r="435" spans="2:29" x14ac:dyDescent="0.25">
      <c r="B435" s="3">
        <v>3</v>
      </c>
      <c r="C435">
        <v>2</v>
      </c>
      <c r="D435">
        <v>7</v>
      </c>
      <c r="E435" s="29" t="s">
        <v>33</v>
      </c>
      <c r="F435" s="3">
        <v>1020</v>
      </c>
      <c r="G435" s="3">
        <v>1050</v>
      </c>
      <c r="H435" s="29" t="s">
        <v>54</v>
      </c>
      <c r="I435" s="3">
        <v>0</v>
      </c>
      <c r="J435" s="7">
        <v>0</v>
      </c>
      <c r="K435" s="7">
        <v>2.0833333333333332E-2</v>
      </c>
      <c r="L435" s="3">
        <f t="shared" si="13"/>
        <v>0</v>
      </c>
      <c r="M435" s="3">
        <f t="shared" si="14"/>
        <v>0</v>
      </c>
      <c r="N435" s="29">
        <f>_xlfn.MAXIFS($G$7:G434,$E$7:E434,detalhe_carro1[[#This Row],[Nó]],$B$7:B434,detalhe_carro1[[#This Row],[Numero Voltas]],$L$7:L434,1)</f>
        <v>952</v>
      </c>
      <c r="O435" s="3" t="str">
        <f>IF(OR(detalhe_carro1[[#This Row],[Ultima Chegada]]=0,detalhe_carro1[[#This Row],[Chegada]]=0),"",detalhe_carro1[[#This Row],[Hora Inicio]]-detalhe_carro1[[#This Row],[Ultima Chegada]])</f>
        <v/>
      </c>
      <c r="P435" s="3">
        <f>IF(detalhe_carro1[[#This Row],[Tipo]]="Visitar Nó",((detalhe_carro1[[#This Row],[Hora Fim]]-detalhe_carro1[[#This Row],[Hora Inicio]])/60*velocidade_nos),0)</f>
        <v>0</v>
      </c>
      <c r="Q435" s="29">
        <f>detalhe_carro1[[#This Row],[Kms Nós]]+detalhe_carro1[[#This Row],[kms]]</f>
        <v>0</v>
      </c>
      <c r="S435" s="20">
        <v>4</v>
      </c>
      <c r="T435" s="20">
        <v>2</v>
      </c>
      <c r="U435" s="20">
        <v>4</v>
      </c>
      <c r="V435" s="20" t="s">
        <v>27</v>
      </c>
      <c r="W435">
        <v>1522</v>
      </c>
      <c r="X435">
        <v>1522</v>
      </c>
      <c r="Y435">
        <v>1419</v>
      </c>
      <c r="Z435" s="7">
        <v>0.34861111111111109</v>
      </c>
      <c r="AA435" s="7">
        <v>0.34861111111111109</v>
      </c>
      <c r="AB435" s="7">
        <v>0.27708333333333335</v>
      </c>
      <c r="AC4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</row>
    <row r="436" spans="2:29" x14ac:dyDescent="0.25">
      <c r="B436" s="3">
        <v>3</v>
      </c>
      <c r="C436">
        <v>2</v>
      </c>
      <c r="D436">
        <v>7</v>
      </c>
      <c r="E436" s="29" t="s">
        <v>33</v>
      </c>
      <c r="F436" s="3">
        <v>1050</v>
      </c>
      <c r="G436" s="3">
        <v>1050</v>
      </c>
      <c r="H436" s="29" t="s">
        <v>49</v>
      </c>
      <c r="I436" s="3">
        <v>0</v>
      </c>
      <c r="J436" s="7">
        <v>2.0833333333333332E-2</v>
      </c>
      <c r="K436" s="7">
        <v>2.0833333333333332E-2</v>
      </c>
      <c r="L436" s="3">
        <f t="shared" si="13"/>
        <v>0</v>
      </c>
      <c r="M436" s="3">
        <f t="shared" si="14"/>
        <v>0</v>
      </c>
      <c r="N436" s="29">
        <f>_xlfn.MAXIFS($G$7:G435,$E$7:E435,detalhe_carro1[[#This Row],[Nó]],$B$7:B435,detalhe_carro1[[#This Row],[Numero Voltas]],$L$7:L435,1)</f>
        <v>952</v>
      </c>
      <c r="O436" s="3" t="str">
        <f>IF(OR(detalhe_carro1[[#This Row],[Ultima Chegada]]=0,detalhe_carro1[[#This Row],[Chegada]]=0),"",detalhe_carro1[[#This Row],[Hora Inicio]]-detalhe_carro1[[#This Row],[Ultima Chegada]])</f>
        <v/>
      </c>
      <c r="P436" s="3">
        <f>IF(detalhe_carro1[[#This Row],[Tipo]]="Visitar Nó",((detalhe_carro1[[#This Row],[Hora Fim]]-detalhe_carro1[[#This Row],[Hora Inicio]])/60*velocidade_nos),0)</f>
        <v>0</v>
      </c>
      <c r="Q436" s="29">
        <f>detalhe_carro1[[#This Row],[Kms Nós]]+detalhe_carro1[[#This Row],[kms]]</f>
        <v>0</v>
      </c>
      <c r="S436" s="20">
        <v>4</v>
      </c>
      <c r="T436" s="20">
        <v>2</v>
      </c>
      <c r="U436" s="20">
        <v>5</v>
      </c>
      <c r="V436" s="20" t="s">
        <v>29</v>
      </c>
      <c r="W436">
        <v>1525</v>
      </c>
      <c r="X436">
        <v>1525</v>
      </c>
      <c r="Y436">
        <v>1416</v>
      </c>
      <c r="Z436" s="7">
        <v>0.35069444444444442</v>
      </c>
      <c r="AA436" s="7">
        <v>0.35069444444444442</v>
      </c>
      <c r="AB436" s="7">
        <v>0.27500000000000002</v>
      </c>
      <c r="AC4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1.8166666666666667</v>
      </c>
    </row>
    <row r="437" spans="2:29" x14ac:dyDescent="0.25">
      <c r="B437" s="3">
        <v>3</v>
      </c>
      <c r="C437">
        <v>2</v>
      </c>
      <c r="D437">
        <v>7</v>
      </c>
      <c r="E437" s="29" t="s">
        <v>33</v>
      </c>
      <c r="F437" s="3">
        <v>1050</v>
      </c>
      <c r="G437" s="3">
        <v>1063</v>
      </c>
      <c r="H437" s="29" t="s">
        <v>50</v>
      </c>
      <c r="I437" s="3">
        <v>0</v>
      </c>
      <c r="J437" s="7">
        <v>2.0833333333333332E-2</v>
      </c>
      <c r="K437" s="7">
        <v>2.9861111111111113E-2</v>
      </c>
      <c r="L437" s="3">
        <f t="shared" si="13"/>
        <v>0</v>
      </c>
      <c r="M437" s="3">
        <f t="shared" si="14"/>
        <v>0</v>
      </c>
      <c r="N437" s="29">
        <f>_xlfn.MAXIFS($G$7:G436,$E$7:E436,detalhe_carro1[[#This Row],[Nó]],$B$7:B436,detalhe_carro1[[#This Row],[Numero Voltas]],$L$7:L436,1)</f>
        <v>952</v>
      </c>
      <c r="O437" s="3" t="str">
        <f>IF(OR(detalhe_carro1[[#This Row],[Ultima Chegada]]=0,detalhe_carro1[[#This Row],[Chegada]]=0),"",detalhe_carro1[[#This Row],[Hora Inicio]]-detalhe_carro1[[#This Row],[Ultima Chegada]])</f>
        <v/>
      </c>
      <c r="P437" s="3">
        <f>IF(detalhe_carro1[[#This Row],[Tipo]]="Visitar Nó",((detalhe_carro1[[#This Row],[Hora Fim]]-detalhe_carro1[[#This Row],[Hora Inicio]])/60*velocidade_nos),0)</f>
        <v>6.5</v>
      </c>
      <c r="Q437" s="29">
        <f>detalhe_carro1[[#This Row],[Kms Nós]]+detalhe_carro1[[#This Row],[kms]]</f>
        <v>6.5</v>
      </c>
      <c r="S437" s="20">
        <v>4</v>
      </c>
      <c r="T437" s="20">
        <v>2</v>
      </c>
      <c r="U437" s="20">
        <v>6</v>
      </c>
      <c r="V437" s="20" t="s">
        <v>31</v>
      </c>
      <c r="W437">
        <v>1528</v>
      </c>
      <c r="X437">
        <v>1528</v>
      </c>
      <c r="Y437">
        <v>1413</v>
      </c>
      <c r="Z437" s="7">
        <v>0.3527777777777778</v>
      </c>
      <c r="AA437" s="7">
        <v>0.3527777777777778</v>
      </c>
      <c r="AB437" s="7">
        <v>0.27291666666666664</v>
      </c>
      <c r="AC4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1.9166666666666667</v>
      </c>
    </row>
    <row r="438" spans="2:29" x14ac:dyDescent="0.25">
      <c r="B438" s="3">
        <v>3</v>
      </c>
      <c r="C438">
        <v>2</v>
      </c>
      <c r="D438">
        <v>7</v>
      </c>
      <c r="E438" s="29" t="s">
        <v>33</v>
      </c>
      <c r="F438" s="3">
        <v>1063</v>
      </c>
      <c r="G438" s="3">
        <v>1063</v>
      </c>
      <c r="H438" s="29" t="s">
        <v>51</v>
      </c>
      <c r="I438" s="3">
        <v>0</v>
      </c>
      <c r="J438" s="7">
        <v>2.9861111111111113E-2</v>
      </c>
      <c r="K438" s="7">
        <v>2.9861111111111113E-2</v>
      </c>
      <c r="L438" s="3">
        <f t="shared" si="13"/>
        <v>1</v>
      </c>
      <c r="M438" s="3">
        <f t="shared" si="14"/>
        <v>0</v>
      </c>
      <c r="N438" s="29">
        <f>_xlfn.MAXIFS($G$7:G437,$E$7:E437,detalhe_carro1[[#This Row],[Nó]],$B$7:B437,detalhe_carro1[[#This Row],[Numero Voltas]],$L$7:L437,1)</f>
        <v>952</v>
      </c>
      <c r="O438" s="3" t="str">
        <f>IF(OR(detalhe_carro1[[#This Row],[Ultima Chegada]]=0,detalhe_carro1[[#This Row],[Chegada]]=0),"",detalhe_carro1[[#This Row],[Hora Inicio]]-detalhe_carro1[[#This Row],[Ultima Chegada]])</f>
        <v/>
      </c>
      <c r="P438" s="3">
        <f>IF(detalhe_carro1[[#This Row],[Tipo]]="Visitar Nó",((detalhe_carro1[[#This Row],[Hora Fim]]-detalhe_carro1[[#This Row],[Hora Inicio]])/60*velocidade_nos),0)</f>
        <v>0</v>
      </c>
      <c r="Q438" s="29">
        <f>detalhe_carro1[[#This Row],[Kms Nós]]+detalhe_carro1[[#This Row],[kms]]</f>
        <v>0</v>
      </c>
      <c r="S438" s="20">
        <v>4</v>
      </c>
      <c r="T438" s="20">
        <v>2</v>
      </c>
      <c r="U438" s="20">
        <v>7</v>
      </c>
      <c r="V438" s="20" t="s">
        <v>33</v>
      </c>
      <c r="W438">
        <v>1531</v>
      </c>
      <c r="X438">
        <v>1531</v>
      </c>
      <c r="Y438">
        <v>1410</v>
      </c>
      <c r="Z438" s="7">
        <v>0.35486111111111113</v>
      </c>
      <c r="AA438" s="7">
        <v>0.35486111111111113</v>
      </c>
      <c r="AB438" s="7">
        <v>0.27083333333333331</v>
      </c>
      <c r="AC4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2.0166666666666666</v>
      </c>
    </row>
    <row r="439" spans="2:29" x14ac:dyDescent="0.25">
      <c r="B439" s="3">
        <v>3</v>
      </c>
      <c r="C439">
        <v>2</v>
      </c>
      <c r="D439">
        <v>6</v>
      </c>
      <c r="E439" s="29" t="s">
        <v>31</v>
      </c>
      <c r="F439" s="3">
        <v>1066</v>
      </c>
      <c r="G439" s="3">
        <v>1076</v>
      </c>
      <c r="H439" s="29" t="s">
        <v>297</v>
      </c>
      <c r="I439" s="3">
        <v>0</v>
      </c>
      <c r="J439" s="7">
        <v>3.1944444444444442E-2</v>
      </c>
      <c r="K439" s="7">
        <v>3.888888888888889E-2</v>
      </c>
      <c r="L439" s="3">
        <f t="shared" si="13"/>
        <v>0</v>
      </c>
      <c r="M439" s="3">
        <f t="shared" si="14"/>
        <v>1</v>
      </c>
      <c r="N439" s="29">
        <f>_xlfn.MAXIFS($G$7:G438,$E$7:E438,detalhe_carro1[[#This Row],[Nó]],$B$7:B438,detalhe_carro1[[#This Row],[Numero Voltas]],$L$7:L438,1)</f>
        <v>1048</v>
      </c>
      <c r="O439" s="3">
        <f>IF(OR(detalhe_carro1[[#This Row],[Ultima Chegada]]=0,detalhe_carro1[[#This Row],[Chegada]]=0),"",detalhe_carro1[[#This Row],[Hora Inicio]]-detalhe_carro1[[#This Row],[Ultima Chegada]])</f>
        <v>18</v>
      </c>
      <c r="P439" s="3">
        <f>IF(detalhe_carro1[[#This Row],[Tipo]]="Visitar Nó",((detalhe_carro1[[#This Row],[Hora Fim]]-detalhe_carro1[[#This Row],[Hora Inicio]])/60*velocidade_nos),0)</f>
        <v>0</v>
      </c>
      <c r="Q439" s="29">
        <f>detalhe_carro1[[#This Row],[Kms Nós]]+detalhe_carro1[[#This Row],[kms]]</f>
        <v>0</v>
      </c>
    </row>
    <row r="440" spans="2:29" x14ac:dyDescent="0.25">
      <c r="B440" s="3">
        <v>3</v>
      </c>
      <c r="C440">
        <v>2</v>
      </c>
      <c r="D440">
        <v>6</v>
      </c>
      <c r="E440" s="29" t="s">
        <v>31</v>
      </c>
      <c r="F440" s="3">
        <v>1079</v>
      </c>
      <c r="G440" s="3">
        <v>1088</v>
      </c>
      <c r="H440" s="29" t="s">
        <v>50</v>
      </c>
      <c r="I440" s="3">
        <v>0</v>
      </c>
      <c r="J440" s="7">
        <v>4.0972222222222222E-2</v>
      </c>
      <c r="K440" s="7">
        <v>4.7222222222222221E-2</v>
      </c>
      <c r="L440" s="3">
        <f t="shared" si="13"/>
        <v>0</v>
      </c>
      <c r="M440" s="3">
        <f t="shared" si="14"/>
        <v>0</v>
      </c>
      <c r="N440" s="29">
        <f>_xlfn.MAXIFS($G$7:G439,$E$7:E439,detalhe_carro1[[#This Row],[Nó]],$B$7:B439,detalhe_carro1[[#This Row],[Numero Voltas]],$L$7:L439,1)</f>
        <v>1048</v>
      </c>
      <c r="O440" s="3" t="str">
        <f>IF(OR(detalhe_carro1[[#This Row],[Ultima Chegada]]=0,detalhe_carro1[[#This Row],[Chegada]]=0),"",detalhe_carro1[[#This Row],[Hora Inicio]]-detalhe_carro1[[#This Row],[Ultima Chegada]])</f>
        <v/>
      </c>
      <c r="P440" s="3">
        <f>IF(detalhe_carro1[[#This Row],[Tipo]]="Visitar Nó",((detalhe_carro1[[#This Row],[Hora Fim]]-detalhe_carro1[[#This Row],[Hora Inicio]])/60*velocidade_nos),0)</f>
        <v>4.5</v>
      </c>
      <c r="Q440" s="29">
        <f>detalhe_carro1[[#This Row],[Kms Nós]]+detalhe_carro1[[#This Row],[kms]]</f>
        <v>4.5</v>
      </c>
    </row>
    <row r="441" spans="2:29" x14ac:dyDescent="0.25">
      <c r="B441" s="3">
        <v>3</v>
      </c>
      <c r="C441">
        <v>2</v>
      </c>
      <c r="D441">
        <v>6</v>
      </c>
      <c r="E441" s="29" t="s">
        <v>31</v>
      </c>
      <c r="F441" s="3">
        <v>1091</v>
      </c>
      <c r="G441" s="3">
        <v>1091</v>
      </c>
      <c r="H441" s="29" t="s">
        <v>51</v>
      </c>
      <c r="I441" s="3">
        <v>3</v>
      </c>
      <c r="J441" s="7">
        <v>4.9305555555555554E-2</v>
      </c>
      <c r="K441" s="7">
        <v>4.9305555555555554E-2</v>
      </c>
      <c r="L441" s="3">
        <f t="shared" si="13"/>
        <v>1</v>
      </c>
      <c r="M441" s="3">
        <f t="shared" si="14"/>
        <v>0</v>
      </c>
      <c r="N441" s="29">
        <f>_xlfn.MAXIFS($G$7:G440,$E$7:E440,detalhe_carro1[[#This Row],[Nó]],$B$7:B440,detalhe_carro1[[#This Row],[Numero Voltas]],$L$7:L440,1)</f>
        <v>1048</v>
      </c>
      <c r="O441" s="3" t="str">
        <f>IF(OR(detalhe_carro1[[#This Row],[Ultima Chegada]]=0,detalhe_carro1[[#This Row],[Chegada]]=0),"",detalhe_carro1[[#This Row],[Hora Inicio]]-detalhe_carro1[[#This Row],[Ultima Chegada]])</f>
        <v/>
      </c>
      <c r="P441" s="3">
        <f>IF(detalhe_carro1[[#This Row],[Tipo]]="Visitar Nó",((detalhe_carro1[[#This Row],[Hora Fim]]-detalhe_carro1[[#This Row],[Hora Inicio]])/60*velocidade_nos),0)</f>
        <v>0</v>
      </c>
      <c r="Q441" s="29">
        <f>detalhe_carro1[[#This Row],[Kms Nós]]+detalhe_carro1[[#This Row],[kms]]</f>
        <v>3</v>
      </c>
    </row>
    <row r="442" spans="2:29" x14ac:dyDescent="0.25">
      <c r="B442" s="3">
        <v>3</v>
      </c>
      <c r="C442">
        <v>2</v>
      </c>
      <c r="D442">
        <v>5</v>
      </c>
      <c r="E442" s="29" t="s">
        <v>29</v>
      </c>
      <c r="F442" s="3">
        <v>1094</v>
      </c>
      <c r="G442" s="3">
        <v>1122</v>
      </c>
      <c r="H442" s="29" t="s">
        <v>50</v>
      </c>
      <c r="I442" s="3">
        <v>0</v>
      </c>
      <c r="J442" s="7">
        <v>5.1388888888888887E-2</v>
      </c>
      <c r="K442" s="7">
        <v>7.0833333333333331E-2</v>
      </c>
      <c r="L442" s="3">
        <f t="shared" si="13"/>
        <v>0</v>
      </c>
      <c r="M442" s="3">
        <f t="shared" si="14"/>
        <v>1</v>
      </c>
      <c r="N442" s="29">
        <f>_xlfn.MAXIFS($G$7:G441,$E$7:E441,detalhe_carro1[[#This Row],[Nó]],$B$7:B441,detalhe_carro1[[#This Row],[Numero Voltas]],$L$7:L441,1)</f>
        <v>1045</v>
      </c>
      <c r="O442" s="3">
        <f>IF(OR(detalhe_carro1[[#This Row],[Ultima Chegada]]=0,detalhe_carro1[[#This Row],[Chegada]]=0),"",detalhe_carro1[[#This Row],[Hora Inicio]]-detalhe_carro1[[#This Row],[Ultima Chegada]])</f>
        <v>49</v>
      </c>
      <c r="P442" s="3">
        <f>IF(detalhe_carro1[[#This Row],[Tipo]]="Visitar Nó",((detalhe_carro1[[#This Row],[Hora Fim]]-detalhe_carro1[[#This Row],[Hora Inicio]])/60*velocidade_nos),0)</f>
        <v>14</v>
      </c>
      <c r="Q442" s="29">
        <f>detalhe_carro1[[#This Row],[Kms Nós]]+detalhe_carro1[[#This Row],[kms]]</f>
        <v>14</v>
      </c>
    </row>
    <row r="443" spans="2:29" x14ac:dyDescent="0.25">
      <c r="B443" s="3">
        <v>3</v>
      </c>
      <c r="C443">
        <v>2</v>
      </c>
      <c r="D443">
        <v>5</v>
      </c>
      <c r="E443" s="29" t="s">
        <v>29</v>
      </c>
      <c r="F443" s="3">
        <v>1125</v>
      </c>
      <c r="G443" s="3">
        <v>1125</v>
      </c>
      <c r="H443" s="29" t="s">
        <v>51</v>
      </c>
      <c r="I443" s="3">
        <v>3</v>
      </c>
      <c r="J443" s="7">
        <v>7.2916666666666671E-2</v>
      </c>
      <c r="K443" s="7">
        <v>7.2916666666666671E-2</v>
      </c>
      <c r="L443" s="3">
        <f t="shared" si="13"/>
        <v>1</v>
      </c>
      <c r="M443" s="3">
        <f t="shared" si="14"/>
        <v>0</v>
      </c>
      <c r="N443" s="29">
        <f>_xlfn.MAXIFS($G$7:G442,$E$7:E442,detalhe_carro1[[#This Row],[Nó]],$B$7:B442,detalhe_carro1[[#This Row],[Numero Voltas]],$L$7:L442,1)</f>
        <v>1045</v>
      </c>
      <c r="O443" s="3" t="str">
        <f>IF(OR(detalhe_carro1[[#This Row],[Ultima Chegada]]=0,detalhe_carro1[[#This Row],[Chegada]]=0),"",detalhe_carro1[[#This Row],[Hora Inicio]]-detalhe_carro1[[#This Row],[Ultima Chegada]])</f>
        <v/>
      </c>
      <c r="P443" s="3">
        <f>IF(detalhe_carro1[[#This Row],[Tipo]]="Visitar Nó",((detalhe_carro1[[#This Row],[Hora Fim]]-detalhe_carro1[[#This Row],[Hora Inicio]])/60*velocidade_nos),0)</f>
        <v>0</v>
      </c>
      <c r="Q443" s="29">
        <f>detalhe_carro1[[#This Row],[Kms Nós]]+detalhe_carro1[[#This Row],[kms]]</f>
        <v>3</v>
      </c>
    </row>
    <row r="444" spans="2:29" x14ac:dyDescent="0.25">
      <c r="B444" s="3">
        <v>3</v>
      </c>
      <c r="C444">
        <v>2</v>
      </c>
      <c r="D444">
        <v>4</v>
      </c>
      <c r="E444" s="29" t="s">
        <v>27</v>
      </c>
      <c r="F444" s="3">
        <v>1128</v>
      </c>
      <c r="G444" s="3">
        <v>1141</v>
      </c>
      <c r="H444" s="29" t="s">
        <v>50</v>
      </c>
      <c r="I444" s="3">
        <v>0</v>
      </c>
      <c r="J444" s="7">
        <v>7.4999999999999997E-2</v>
      </c>
      <c r="K444" s="7">
        <v>8.4027777777777785E-2</v>
      </c>
      <c r="L444" s="3">
        <f t="shared" si="13"/>
        <v>0</v>
      </c>
      <c r="M444" s="3">
        <f t="shared" si="14"/>
        <v>1</v>
      </c>
      <c r="N444" s="29">
        <f>_xlfn.MAXIFS($G$7:G443,$E$7:E443,detalhe_carro1[[#This Row],[Nó]],$B$7:B443,detalhe_carro1[[#This Row],[Numero Voltas]],$L$7:L443,1)</f>
        <v>1042</v>
      </c>
      <c r="O444" s="3">
        <f>IF(OR(detalhe_carro1[[#This Row],[Ultima Chegada]]=0,detalhe_carro1[[#This Row],[Chegada]]=0),"",detalhe_carro1[[#This Row],[Hora Inicio]]-detalhe_carro1[[#This Row],[Ultima Chegada]])</f>
        <v>86</v>
      </c>
      <c r="P444" s="3">
        <f>IF(detalhe_carro1[[#This Row],[Tipo]]="Visitar Nó",((detalhe_carro1[[#This Row],[Hora Fim]]-detalhe_carro1[[#This Row],[Hora Inicio]])/60*velocidade_nos),0)</f>
        <v>6.5</v>
      </c>
      <c r="Q444" s="29">
        <f>detalhe_carro1[[#This Row],[Kms Nós]]+detalhe_carro1[[#This Row],[kms]]</f>
        <v>6.5</v>
      </c>
    </row>
    <row r="445" spans="2:29" x14ac:dyDescent="0.25">
      <c r="B445" s="3">
        <v>3</v>
      </c>
      <c r="C445">
        <v>2</v>
      </c>
      <c r="D445">
        <v>4</v>
      </c>
      <c r="E445" s="29" t="s">
        <v>27</v>
      </c>
      <c r="F445" s="3">
        <v>1144</v>
      </c>
      <c r="G445" s="3">
        <v>1144</v>
      </c>
      <c r="H445" s="29" t="s">
        <v>51</v>
      </c>
      <c r="I445" s="3">
        <v>3</v>
      </c>
      <c r="J445" s="7">
        <v>8.611111111111111E-2</v>
      </c>
      <c r="K445" s="7">
        <v>8.611111111111111E-2</v>
      </c>
      <c r="L445" s="3">
        <f t="shared" si="13"/>
        <v>1</v>
      </c>
      <c r="M445" s="3">
        <f t="shared" si="14"/>
        <v>0</v>
      </c>
      <c r="N445" s="29">
        <f>_xlfn.MAXIFS($G$7:G444,$E$7:E444,detalhe_carro1[[#This Row],[Nó]],$B$7:B444,detalhe_carro1[[#This Row],[Numero Voltas]],$L$7:L444,1)</f>
        <v>1042</v>
      </c>
      <c r="O445" s="3" t="str">
        <f>IF(OR(detalhe_carro1[[#This Row],[Ultima Chegada]]=0,detalhe_carro1[[#This Row],[Chegada]]=0),"",detalhe_carro1[[#This Row],[Hora Inicio]]-detalhe_carro1[[#This Row],[Ultima Chegada]])</f>
        <v/>
      </c>
      <c r="P445" s="3">
        <f>IF(detalhe_carro1[[#This Row],[Tipo]]="Visitar Nó",((detalhe_carro1[[#This Row],[Hora Fim]]-detalhe_carro1[[#This Row],[Hora Inicio]])/60*velocidade_nos),0)</f>
        <v>0</v>
      </c>
      <c r="Q445" s="29">
        <f>detalhe_carro1[[#This Row],[Kms Nós]]+detalhe_carro1[[#This Row],[kms]]</f>
        <v>3</v>
      </c>
    </row>
    <row r="446" spans="2:29" x14ac:dyDescent="0.25">
      <c r="B446" s="3">
        <v>3</v>
      </c>
      <c r="C446">
        <v>2</v>
      </c>
      <c r="D446">
        <v>3</v>
      </c>
      <c r="E446" s="29" t="s">
        <v>26</v>
      </c>
      <c r="F446" s="3">
        <v>1145</v>
      </c>
      <c r="G446" s="3">
        <v>1155</v>
      </c>
      <c r="H446" s="29" t="s">
        <v>50</v>
      </c>
      <c r="I446" s="3">
        <v>0</v>
      </c>
      <c r="J446" s="7">
        <v>8.6805555555555552E-2</v>
      </c>
      <c r="K446" s="7">
        <v>9.375E-2</v>
      </c>
      <c r="L446" s="3">
        <f t="shared" si="13"/>
        <v>0</v>
      </c>
      <c r="M446" s="3">
        <f t="shared" si="14"/>
        <v>1</v>
      </c>
      <c r="N446" s="29">
        <f>_xlfn.MAXIFS($G$7:G445,$E$7:E445,detalhe_carro1[[#This Row],[Nó]],$B$7:B445,detalhe_carro1[[#This Row],[Numero Voltas]],$L$7:L445,1)</f>
        <v>1041</v>
      </c>
      <c r="O446" s="3">
        <f>IF(OR(detalhe_carro1[[#This Row],[Ultima Chegada]]=0,detalhe_carro1[[#This Row],[Chegada]]=0),"",detalhe_carro1[[#This Row],[Hora Inicio]]-detalhe_carro1[[#This Row],[Ultima Chegada]])</f>
        <v>104</v>
      </c>
      <c r="P446" s="3">
        <f>IF(detalhe_carro1[[#This Row],[Tipo]]="Visitar Nó",((detalhe_carro1[[#This Row],[Hora Fim]]-detalhe_carro1[[#This Row],[Hora Inicio]])/60*velocidade_nos),0)</f>
        <v>5</v>
      </c>
      <c r="Q446" s="29">
        <f>detalhe_carro1[[#This Row],[Kms Nós]]+detalhe_carro1[[#This Row],[kms]]</f>
        <v>5</v>
      </c>
    </row>
    <row r="447" spans="2:29" x14ac:dyDescent="0.25">
      <c r="B447" s="3">
        <v>3</v>
      </c>
      <c r="C447">
        <v>2</v>
      </c>
      <c r="D447">
        <v>3</v>
      </c>
      <c r="E447" s="29" t="s">
        <v>26</v>
      </c>
      <c r="F447" s="3">
        <v>1156</v>
      </c>
      <c r="G447" s="3">
        <v>1156</v>
      </c>
      <c r="H447" s="29" t="s">
        <v>51</v>
      </c>
      <c r="I447" s="3">
        <v>1</v>
      </c>
      <c r="J447" s="7">
        <v>9.4444444444444442E-2</v>
      </c>
      <c r="K447" s="7">
        <v>9.4444444444444442E-2</v>
      </c>
      <c r="L447" s="3">
        <f t="shared" si="13"/>
        <v>1</v>
      </c>
      <c r="M447" s="3">
        <f t="shared" si="14"/>
        <v>0</v>
      </c>
      <c r="N447" s="29">
        <f>_xlfn.MAXIFS($G$7:G446,$E$7:E446,detalhe_carro1[[#This Row],[Nó]],$B$7:B446,detalhe_carro1[[#This Row],[Numero Voltas]],$L$7:L446,1)</f>
        <v>1041</v>
      </c>
      <c r="O447" s="3" t="str">
        <f>IF(OR(detalhe_carro1[[#This Row],[Ultima Chegada]]=0,detalhe_carro1[[#This Row],[Chegada]]=0),"",detalhe_carro1[[#This Row],[Hora Inicio]]-detalhe_carro1[[#This Row],[Ultima Chegada]])</f>
        <v/>
      </c>
      <c r="P447" s="3">
        <f>IF(detalhe_carro1[[#This Row],[Tipo]]="Visitar Nó",((detalhe_carro1[[#This Row],[Hora Fim]]-detalhe_carro1[[#This Row],[Hora Inicio]])/60*velocidade_nos),0)</f>
        <v>0</v>
      </c>
      <c r="Q447" s="29">
        <f>detalhe_carro1[[#This Row],[Kms Nós]]+detalhe_carro1[[#This Row],[kms]]</f>
        <v>1</v>
      </c>
    </row>
    <row r="448" spans="2:29" x14ac:dyDescent="0.25">
      <c r="B448" s="3">
        <v>3</v>
      </c>
      <c r="C448">
        <v>2</v>
      </c>
      <c r="D448">
        <v>2</v>
      </c>
      <c r="E448" s="29" t="s">
        <v>24</v>
      </c>
      <c r="F448" s="3">
        <v>1157</v>
      </c>
      <c r="G448" s="3">
        <v>1171</v>
      </c>
      <c r="H448" s="29" t="s">
        <v>50</v>
      </c>
      <c r="I448" s="3">
        <v>0</v>
      </c>
      <c r="J448" s="7">
        <v>9.5138888888888884E-2</v>
      </c>
      <c r="K448" s="7">
        <v>0.10486111111111111</v>
      </c>
      <c r="L448" s="3">
        <f t="shared" si="13"/>
        <v>0</v>
      </c>
      <c r="M448" s="3">
        <f t="shared" si="14"/>
        <v>1</v>
      </c>
      <c r="N448" s="29">
        <f>_xlfn.MAXIFS($G$7:G447,$E$7:E447,detalhe_carro1[[#This Row],[Nó]],$B$7:B447,detalhe_carro1[[#This Row],[Numero Voltas]],$L$7:L447,1)</f>
        <v>1040</v>
      </c>
      <c r="O448" s="3">
        <f>IF(OR(detalhe_carro1[[#This Row],[Ultima Chegada]]=0,detalhe_carro1[[#This Row],[Chegada]]=0),"",detalhe_carro1[[#This Row],[Hora Inicio]]-detalhe_carro1[[#This Row],[Ultima Chegada]])</f>
        <v>117</v>
      </c>
      <c r="P448" s="3">
        <f>IF(detalhe_carro1[[#This Row],[Tipo]]="Visitar Nó",((detalhe_carro1[[#This Row],[Hora Fim]]-detalhe_carro1[[#This Row],[Hora Inicio]])/60*velocidade_nos),0)</f>
        <v>7</v>
      </c>
      <c r="Q448" s="29">
        <f>detalhe_carro1[[#This Row],[Kms Nós]]+detalhe_carro1[[#This Row],[kms]]</f>
        <v>7</v>
      </c>
    </row>
    <row r="449" spans="2:17" x14ac:dyDescent="0.25">
      <c r="B449" s="3">
        <v>3</v>
      </c>
      <c r="C449">
        <v>2</v>
      </c>
      <c r="D449">
        <v>2</v>
      </c>
      <c r="E449" s="29" t="s">
        <v>24</v>
      </c>
      <c r="F449" s="3">
        <v>1172</v>
      </c>
      <c r="G449" s="3">
        <v>1172</v>
      </c>
      <c r="H449" s="29" t="s">
        <v>51</v>
      </c>
      <c r="I449" s="3">
        <v>1</v>
      </c>
      <c r="J449" s="7">
        <v>0.10555555555555556</v>
      </c>
      <c r="K449" s="7">
        <v>0.10555555555555556</v>
      </c>
      <c r="L449" s="3">
        <f t="shared" si="13"/>
        <v>1</v>
      </c>
      <c r="M449" s="3">
        <f t="shared" si="14"/>
        <v>0</v>
      </c>
      <c r="N449" s="29">
        <f>_xlfn.MAXIFS($G$7:G448,$E$7:E448,detalhe_carro1[[#This Row],[Nó]],$B$7:B448,detalhe_carro1[[#This Row],[Numero Voltas]],$L$7:L448,1)</f>
        <v>1040</v>
      </c>
      <c r="O449" s="3" t="str">
        <f>IF(OR(detalhe_carro1[[#This Row],[Ultima Chegada]]=0,detalhe_carro1[[#This Row],[Chegada]]=0),"",detalhe_carro1[[#This Row],[Hora Inicio]]-detalhe_carro1[[#This Row],[Ultima Chegada]])</f>
        <v/>
      </c>
      <c r="P449" s="3">
        <f>IF(detalhe_carro1[[#This Row],[Tipo]]="Visitar Nó",((detalhe_carro1[[#This Row],[Hora Fim]]-detalhe_carro1[[#This Row],[Hora Inicio]])/60*velocidade_nos),0)</f>
        <v>0</v>
      </c>
      <c r="Q449" s="29">
        <f>detalhe_carro1[[#This Row],[Kms Nós]]+detalhe_carro1[[#This Row],[kms]]</f>
        <v>1</v>
      </c>
    </row>
    <row r="450" spans="2:17" x14ac:dyDescent="0.25">
      <c r="B450" s="3">
        <v>3</v>
      </c>
      <c r="C450">
        <v>2</v>
      </c>
      <c r="D450">
        <v>1</v>
      </c>
      <c r="E450" s="29" t="s">
        <v>22</v>
      </c>
      <c r="F450" s="3">
        <v>1179</v>
      </c>
      <c r="G450" s="3">
        <v>1184</v>
      </c>
      <c r="H450" s="29" t="s">
        <v>50</v>
      </c>
      <c r="I450" s="3">
        <v>0</v>
      </c>
      <c r="J450" s="7">
        <v>0.11041666666666666</v>
      </c>
      <c r="K450" s="7">
        <v>0.11388888888888889</v>
      </c>
      <c r="L450" s="3">
        <f t="shared" si="13"/>
        <v>0</v>
      </c>
      <c r="M450" s="3">
        <f t="shared" si="14"/>
        <v>1</v>
      </c>
      <c r="N450" s="29">
        <f>_xlfn.MAXIFS($G$7:G449,$E$7:E449,detalhe_carro1[[#This Row],[Nó]],$B$7:B449,detalhe_carro1[[#This Row],[Numero Voltas]],$L$7:L449,1)</f>
        <v>1033</v>
      </c>
      <c r="O450" s="3">
        <f>IF(OR(detalhe_carro1[[#This Row],[Ultima Chegada]]=0,detalhe_carro1[[#This Row],[Chegada]]=0),"",detalhe_carro1[[#This Row],[Hora Inicio]]-detalhe_carro1[[#This Row],[Ultima Chegada]])</f>
        <v>146</v>
      </c>
      <c r="P450" s="3">
        <f>IF(detalhe_carro1[[#This Row],[Tipo]]="Visitar Nó",((detalhe_carro1[[#This Row],[Hora Fim]]-detalhe_carro1[[#This Row],[Hora Inicio]])/60*velocidade_nos),0)</f>
        <v>2.5</v>
      </c>
      <c r="Q450" s="29">
        <f>detalhe_carro1[[#This Row],[Kms Nós]]+detalhe_carro1[[#This Row],[kms]]</f>
        <v>2.5</v>
      </c>
    </row>
    <row r="451" spans="2:17" x14ac:dyDescent="0.25">
      <c r="B451" s="3">
        <v>3</v>
      </c>
      <c r="C451">
        <v>2</v>
      </c>
      <c r="D451">
        <v>1</v>
      </c>
      <c r="E451" s="29" t="s">
        <v>22</v>
      </c>
      <c r="F451" s="3">
        <v>1191</v>
      </c>
      <c r="G451" s="3">
        <v>1191</v>
      </c>
      <c r="H451" s="29" t="s">
        <v>51</v>
      </c>
      <c r="I451" s="3">
        <v>7</v>
      </c>
      <c r="J451" s="7">
        <v>0.11874999999999999</v>
      </c>
      <c r="K451" s="7">
        <v>0.11874999999999999</v>
      </c>
      <c r="L451" s="3">
        <f t="shared" si="13"/>
        <v>1</v>
      </c>
      <c r="M451" s="3">
        <f t="shared" si="14"/>
        <v>0</v>
      </c>
      <c r="N451" s="29">
        <f>_xlfn.MAXIFS($G$7:G450,$E$7:E450,detalhe_carro1[[#This Row],[Nó]],$B$7:B450,detalhe_carro1[[#This Row],[Numero Voltas]],$L$7:L450,1)</f>
        <v>1033</v>
      </c>
      <c r="O451" s="3" t="str">
        <f>IF(OR(detalhe_carro1[[#This Row],[Ultima Chegada]]=0,detalhe_carro1[[#This Row],[Chegada]]=0),"",detalhe_carro1[[#This Row],[Hora Inicio]]-detalhe_carro1[[#This Row],[Ultima Chegada]])</f>
        <v/>
      </c>
      <c r="P451" s="3">
        <f>IF(detalhe_carro1[[#This Row],[Tipo]]="Visitar Nó",((detalhe_carro1[[#This Row],[Hora Fim]]-detalhe_carro1[[#This Row],[Hora Inicio]])/60*velocidade_nos),0)</f>
        <v>0</v>
      </c>
      <c r="Q451" s="29">
        <f>detalhe_carro1[[#This Row],[Kms Nós]]+detalhe_carro1[[#This Row],[kms]]</f>
        <v>7</v>
      </c>
    </row>
    <row r="452" spans="2:17" x14ac:dyDescent="0.25">
      <c r="B452" s="3">
        <v>3</v>
      </c>
      <c r="C452">
        <v>2</v>
      </c>
      <c r="D452">
        <v>0</v>
      </c>
      <c r="E452" s="29" t="s">
        <v>20</v>
      </c>
      <c r="F452" s="3">
        <v>1192</v>
      </c>
      <c r="G452" s="3">
        <v>1192</v>
      </c>
      <c r="H452" s="29" t="s">
        <v>51</v>
      </c>
      <c r="I452" s="3">
        <v>1</v>
      </c>
      <c r="J452" s="7">
        <v>0.11944444444444445</v>
      </c>
      <c r="K452" s="7">
        <v>0.11944444444444445</v>
      </c>
      <c r="L452" s="3">
        <f t="shared" si="13"/>
        <v>0</v>
      </c>
      <c r="M452" s="3">
        <f t="shared" si="14"/>
        <v>1</v>
      </c>
      <c r="N452" s="29">
        <f>_xlfn.MAXIFS($G$7:G451,$E$7:E451,detalhe_carro1[[#This Row],[Nó]],$B$7:B451,detalhe_carro1[[#This Row],[Numero Voltas]],$L$7:L451,1)</f>
        <v>971</v>
      </c>
      <c r="O452" s="3">
        <f>IF(OR(detalhe_carro1[[#This Row],[Ultima Chegada]]=0,detalhe_carro1[[#This Row],[Chegada]]=0),"",detalhe_carro1[[#This Row],[Hora Inicio]]-detalhe_carro1[[#This Row],[Ultima Chegada]])</f>
        <v>221</v>
      </c>
      <c r="P452" s="3">
        <f>IF(detalhe_carro1[[#This Row],[Tipo]]="Visitar Nó",((detalhe_carro1[[#This Row],[Hora Fim]]-detalhe_carro1[[#This Row],[Hora Inicio]])/60*velocidade_nos),0)</f>
        <v>0</v>
      </c>
      <c r="Q452" s="29">
        <f>detalhe_carro1[[#This Row],[Kms Nós]]+detalhe_carro1[[#This Row],[kms]]</f>
        <v>1</v>
      </c>
    </row>
    <row r="453" spans="2:17" x14ac:dyDescent="0.25">
      <c r="B453" s="3">
        <v>3</v>
      </c>
      <c r="C453">
        <v>2</v>
      </c>
      <c r="D453">
        <v>0</v>
      </c>
      <c r="E453" s="29" t="s">
        <v>20</v>
      </c>
      <c r="F453" s="3">
        <v>1192</v>
      </c>
      <c r="G453" s="3">
        <v>1207</v>
      </c>
      <c r="H453" s="29" t="s">
        <v>50</v>
      </c>
      <c r="I453" s="3">
        <v>0</v>
      </c>
      <c r="J453" s="7">
        <v>0.11944444444444445</v>
      </c>
      <c r="K453" s="7">
        <v>0.12986111111111112</v>
      </c>
      <c r="L453" s="3">
        <f t="shared" si="13"/>
        <v>0</v>
      </c>
      <c r="M453" s="3">
        <f t="shared" si="14"/>
        <v>0</v>
      </c>
      <c r="N453" s="29">
        <f>_xlfn.MAXIFS($G$7:G452,$E$7:E452,detalhe_carro1[[#This Row],[Nó]],$B$7:B452,detalhe_carro1[[#This Row],[Numero Voltas]],$L$7:L452,1)</f>
        <v>971</v>
      </c>
      <c r="O453" s="3" t="str">
        <f>IF(OR(detalhe_carro1[[#This Row],[Ultima Chegada]]=0,detalhe_carro1[[#This Row],[Chegada]]=0),"",detalhe_carro1[[#This Row],[Hora Inicio]]-detalhe_carro1[[#This Row],[Ultima Chegada]])</f>
        <v/>
      </c>
      <c r="P453" s="3">
        <f>IF(detalhe_carro1[[#This Row],[Tipo]]="Visitar Nó",((detalhe_carro1[[#This Row],[Hora Fim]]-detalhe_carro1[[#This Row],[Hora Inicio]])/60*velocidade_nos),0)</f>
        <v>7.5</v>
      </c>
      <c r="Q453" s="29">
        <f>detalhe_carro1[[#This Row],[Kms Nós]]+detalhe_carro1[[#This Row],[kms]]</f>
        <v>7.5</v>
      </c>
    </row>
    <row r="454" spans="2:17" x14ac:dyDescent="0.25">
      <c r="B454" s="3">
        <v>3</v>
      </c>
      <c r="C454">
        <v>2</v>
      </c>
      <c r="D454">
        <v>0</v>
      </c>
      <c r="E454" s="29" t="s">
        <v>20</v>
      </c>
      <c r="F454" s="3">
        <v>1207</v>
      </c>
      <c r="G454" s="3">
        <v>1207</v>
      </c>
      <c r="H454" s="29" t="s">
        <v>51</v>
      </c>
      <c r="I454" s="3">
        <v>1</v>
      </c>
      <c r="J454" s="7">
        <v>0.12986111111111112</v>
      </c>
      <c r="K454" s="7">
        <v>0.12986111111111112</v>
      </c>
      <c r="L454" s="3">
        <f t="shared" si="13"/>
        <v>1</v>
      </c>
      <c r="M454" s="3">
        <f t="shared" si="14"/>
        <v>0</v>
      </c>
      <c r="N454" s="29">
        <f>_xlfn.MAXIFS($G$7:G453,$E$7:E453,detalhe_carro1[[#This Row],[Nó]],$B$7:B453,detalhe_carro1[[#This Row],[Numero Voltas]],$L$7:L453,1)</f>
        <v>971</v>
      </c>
      <c r="O454" s="3" t="str">
        <f>IF(OR(detalhe_carro1[[#This Row],[Ultima Chegada]]=0,detalhe_carro1[[#This Row],[Chegada]]=0),"",detalhe_carro1[[#This Row],[Hora Inicio]]-detalhe_carro1[[#This Row],[Ultima Chegada]])</f>
        <v/>
      </c>
      <c r="P454" s="3">
        <f>IF(detalhe_carro1[[#This Row],[Tipo]]="Visitar Nó",((detalhe_carro1[[#This Row],[Hora Fim]]-detalhe_carro1[[#This Row],[Hora Inicio]])/60*velocidade_nos),0)</f>
        <v>0</v>
      </c>
      <c r="Q454" s="29">
        <f>detalhe_carro1[[#This Row],[Kms Nós]]+detalhe_carro1[[#This Row],[kms]]</f>
        <v>1</v>
      </c>
    </row>
    <row r="455" spans="2:17" x14ac:dyDescent="0.25">
      <c r="B455" s="3">
        <v>3</v>
      </c>
      <c r="C455">
        <v>2</v>
      </c>
      <c r="D455">
        <v>1</v>
      </c>
      <c r="E455" s="29" t="s">
        <v>22</v>
      </c>
      <c r="F455" s="3">
        <v>1208</v>
      </c>
      <c r="G455" s="3">
        <v>1213</v>
      </c>
      <c r="H455" s="29" t="s">
        <v>50</v>
      </c>
      <c r="I455" s="3">
        <v>0</v>
      </c>
      <c r="J455" s="7">
        <v>0.13055555555555556</v>
      </c>
      <c r="K455" s="7">
        <v>0.13402777777777777</v>
      </c>
      <c r="L455" s="3">
        <f t="shared" ref="L455:L518" si="15">IF(E455&lt;&gt;E456,1,0)</f>
        <v>0</v>
      </c>
      <c r="M455" s="3">
        <f t="shared" ref="M455:M518" si="16">IF(E455&lt;&gt;E454,1,0)</f>
        <v>1</v>
      </c>
      <c r="N455" s="29">
        <f>_xlfn.MAXIFS($G$7:G454,$E$7:E454,detalhe_carro1[[#This Row],[Nó]],$B$7:B454,detalhe_carro1[[#This Row],[Numero Voltas]],$L$7:L454,1)</f>
        <v>1191</v>
      </c>
      <c r="O455" s="3">
        <f>IF(OR(detalhe_carro1[[#This Row],[Ultima Chegada]]=0,detalhe_carro1[[#This Row],[Chegada]]=0),"",detalhe_carro1[[#This Row],[Hora Inicio]]-detalhe_carro1[[#This Row],[Ultima Chegada]])</f>
        <v>17</v>
      </c>
      <c r="P455" s="3">
        <f>IF(detalhe_carro1[[#This Row],[Tipo]]="Visitar Nó",((detalhe_carro1[[#This Row],[Hora Fim]]-detalhe_carro1[[#This Row],[Hora Inicio]])/60*velocidade_nos),0)</f>
        <v>2.5</v>
      </c>
      <c r="Q455" s="29">
        <f>detalhe_carro1[[#This Row],[Kms Nós]]+detalhe_carro1[[#This Row],[kms]]</f>
        <v>2.5</v>
      </c>
    </row>
    <row r="456" spans="2:17" x14ac:dyDescent="0.25">
      <c r="B456" s="3">
        <v>3</v>
      </c>
      <c r="C456">
        <v>2</v>
      </c>
      <c r="D456">
        <v>1</v>
      </c>
      <c r="E456" s="29" t="s">
        <v>22</v>
      </c>
      <c r="F456" s="3">
        <v>1214</v>
      </c>
      <c r="G456" s="3">
        <v>1214</v>
      </c>
      <c r="H456" s="29" t="s">
        <v>51</v>
      </c>
      <c r="I456" s="3">
        <v>1</v>
      </c>
      <c r="J456" s="7">
        <v>0.13472222222222222</v>
      </c>
      <c r="K456" s="7">
        <v>0.13472222222222222</v>
      </c>
      <c r="L456" s="3">
        <f t="shared" si="15"/>
        <v>1</v>
      </c>
      <c r="M456" s="3">
        <f t="shared" si="16"/>
        <v>0</v>
      </c>
      <c r="N456" s="29">
        <f>_xlfn.MAXIFS($G$7:G455,$E$7:E455,detalhe_carro1[[#This Row],[Nó]],$B$7:B455,detalhe_carro1[[#This Row],[Numero Voltas]],$L$7:L455,1)</f>
        <v>1191</v>
      </c>
      <c r="O456" s="3" t="str">
        <f>IF(OR(detalhe_carro1[[#This Row],[Ultima Chegada]]=0,detalhe_carro1[[#This Row],[Chegada]]=0),"",detalhe_carro1[[#This Row],[Hora Inicio]]-detalhe_carro1[[#This Row],[Ultima Chegada]])</f>
        <v/>
      </c>
      <c r="P456" s="3">
        <f>IF(detalhe_carro1[[#This Row],[Tipo]]="Visitar Nó",((detalhe_carro1[[#This Row],[Hora Fim]]-detalhe_carro1[[#This Row],[Hora Inicio]])/60*velocidade_nos),0)</f>
        <v>0</v>
      </c>
      <c r="Q456" s="29">
        <f>detalhe_carro1[[#This Row],[Kms Nós]]+detalhe_carro1[[#This Row],[kms]]</f>
        <v>1</v>
      </c>
    </row>
    <row r="457" spans="2:17" x14ac:dyDescent="0.25">
      <c r="B457" s="3">
        <v>3</v>
      </c>
      <c r="C457">
        <v>2</v>
      </c>
      <c r="D457">
        <v>2</v>
      </c>
      <c r="E457" s="29" t="s">
        <v>24</v>
      </c>
      <c r="F457" s="3">
        <v>1221</v>
      </c>
      <c r="G457" s="3">
        <v>1235</v>
      </c>
      <c r="H457" s="29" t="s">
        <v>50</v>
      </c>
      <c r="I457" s="3">
        <v>0</v>
      </c>
      <c r="J457" s="7">
        <v>0.13958333333333334</v>
      </c>
      <c r="K457" s="7">
        <v>0.14930555555555555</v>
      </c>
      <c r="L457" s="3">
        <f t="shared" si="15"/>
        <v>0</v>
      </c>
      <c r="M457" s="3">
        <f t="shared" si="16"/>
        <v>1</v>
      </c>
      <c r="N457" s="29">
        <f>_xlfn.MAXIFS($G$7:G456,$E$7:E456,detalhe_carro1[[#This Row],[Nó]],$B$7:B456,detalhe_carro1[[#This Row],[Numero Voltas]],$L$7:L456,1)</f>
        <v>1172</v>
      </c>
      <c r="O457" s="3">
        <f>IF(OR(detalhe_carro1[[#This Row],[Ultima Chegada]]=0,detalhe_carro1[[#This Row],[Chegada]]=0),"",detalhe_carro1[[#This Row],[Hora Inicio]]-detalhe_carro1[[#This Row],[Ultima Chegada]])</f>
        <v>49</v>
      </c>
      <c r="P457" s="3">
        <f>IF(detalhe_carro1[[#This Row],[Tipo]]="Visitar Nó",((detalhe_carro1[[#This Row],[Hora Fim]]-detalhe_carro1[[#This Row],[Hora Inicio]])/60*velocidade_nos),0)</f>
        <v>7</v>
      </c>
      <c r="Q457" s="29">
        <f>detalhe_carro1[[#This Row],[Kms Nós]]+detalhe_carro1[[#This Row],[kms]]</f>
        <v>7</v>
      </c>
    </row>
    <row r="458" spans="2:17" x14ac:dyDescent="0.25">
      <c r="B458" s="3">
        <v>3</v>
      </c>
      <c r="C458">
        <v>2</v>
      </c>
      <c r="D458">
        <v>2</v>
      </c>
      <c r="E458" s="29" t="s">
        <v>24</v>
      </c>
      <c r="F458" s="3">
        <v>1242</v>
      </c>
      <c r="G458" s="3">
        <v>1242</v>
      </c>
      <c r="H458" s="29" t="s">
        <v>51</v>
      </c>
      <c r="I458" s="3">
        <v>7</v>
      </c>
      <c r="J458" s="7">
        <v>0.15416666666666667</v>
      </c>
      <c r="K458" s="7">
        <v>0.15416666666666667</v>
      </c>
      <c r="L458" s="3">
        <f t="shared" si="15"/>
        <v>1</v>
      </c>
      <c r="M458" s="3">
        <f t="shared" si="16"/>
        <v>0</v>
      </c>
      <c r="N458" s="29">
        <f>_xlfn.MAXIFS($G$7:G457,$E$7:E457,detalhe_carro1[[#This Row],[Nó]],$B$7:B457,detalhe_carro1[[#This Row],[Numero Voltas]],$L$7:L457,1)</f>
        <v>1172</v>
      </c>
      <c r="O458" s="3" t="str">
        <f>IF(OR(detalhe_carro1[[#This Row],[Ultima Chegada]]=0,detalhe_carro1[[#This Row],[Chegada]]=0),"",detalhe_carro1[[#This Row],[Hora Inicio]]-detalhe_carro1[[#This Row],[Ultima Chegada]])</f>
        <v/>
      </c>
      <c r="P458" s="3">
        <f>IF(detalhe_carro1[[#This Row],[Tipo]]="Visitar Nó",((detalhe_carro1[[#This Row],[Hora Fim]]-detalhe_carro1[[#This Row],[Hora Inicio]])/60*velocidade_nos),0)</f>
        <v>0</v>
      </c>
      <c r="Q458" s="29">
        <f>detalhe_carro1[[#This Row],[Kms Nós]]+detalhe_carro1[[#This Row],[kms]]</f>
        <v>7</v>
      </c>
    </row>
    <row r="459" spans="2:17" x14ac:dyDescent="0.25">
      <c r="B459" s="3">
        <v>3</v>
      </c>
      <c r="C459">
        <v>2</v>
      </c>
      <c r="D459">
        <v>3</v>
      </c>
      <c r="E459" s="29" t="s">
        <v>26</v>
      </c>
      <c r="F459" s="3">
        <v>1243</v>
      </c>
      <c r="G459" s="3">
        <v>1253</v>
      </c>
      <c r="H459" s="29" t="s">
        <v>50</v>
      </c>
      <c r="I459" s="3">
        <v>0</v>
      </c>
      <c r="J459" s="7">
        <v>0.15486111111111112</v>
      </c>
      <c r="K459" s="7">
        <v>0.16180555555555556</v>
      </c>
      <c r="L459" s="3">
        <f t="shared" si="15"/>
        <v>0</v>
      </c>
      <c r="M459" s="3">
        <f t="shared" si="16"/>
        <v>1</v>
      </c>
      <c r="N459" s="29">
        <f>_xlfn.MAXIFS($G$7:G458,$E$7:E458,detalhe_carro1[[#This Row],[Nó]],$B$7:B458,detalhe_carro1[[#This Row],[Numero Voltas]],$L$7:L458,1)</f>
        <v>1156</v>
      </c>
      <c r="O459" s="3">
        <f>IF(OR(detalhe_carro1[[#This Row],[Ultima Chegada]]=0,detalhe_carro1[[#This Row],[Chegada]]=0),"",detalhe_carro1[[#This Row],[Hora Inicio]]-detalhe_carro1[[#This Row],[Ultima Chegada]])</f>
        <v>87</v>
      </c>
      <c r="P459" s="3">
        <f>IF(detalhe_carro1[[#This Row],[Tipo]]="Visitar Nó",((detalhe_carro1[[#This Row],[Hora Fim]]-detalhe_carro1[[#This Row],[Hora Inicio]])/60*velocidade_nos),0)</f>
        <v>5</v>
      </c>
      <c r="Q459" s="29">
        <f>detalhe_carro1[[#This Row],[Kms Nós]]+detalhe_carro1[[#This Row],[kms]]</f>
        <v>5</v>
      </c>
    </row>
    <row r="460" spans="2:17" x14ac:dyDescent="0.25">
      <c r="B460" s="3">
        <v>3</v>
      </c>
      <c r="C460">
        <v>2</v>
      </c>
      <c r="D460">
        <v>3</v>
      </c>
      <c r="E460" s="29" t="s">
        <v>26</v>
      </c>
      <c r="F460" s="3">
        <v>1254</v>
      </c>
      <c r="G460" s="3">
        <v>1254</v>
      </c>
      <c r="H460" s="29" t="s">
        <v>51</v>
      </c>
      <c r="I460" s="3">
        <v>1</v>
      </c>
      <c r="J460" s="7">
        <v>0.16250000000000001</v>
      </c>
      <c r="K460" s="7">
        <v>0.16250000000000001</v>
      </c>
      <c r="L460" s="3">
        <f t="shared" si="15"/>
        <v>1</v>
      </c>
      <c r="M460" s="3">
        <f t="shared" si="16"/>
        <v>0</v>
      </c>
      <c r="N460" s="29">
        <f>_xlfn.MAXIFS($G$7:G459,$E$7:E459,detalhe_carro1[[#This Row],[Nó]],$B$7:B459,detalhe_carro1[[#This Row],[Numero Voltas]],$L$7:L459,1)</f>
        <v>1156</v>
      </c>
      <c r="O460" s="3" t="str">
        <f>IF(OR(detalhe_carro1[[#This Row],[Ultima Chegada]]=0,detalhe_carro1[[#This Row],[Chegada]]=0),"",detalhe_carro1[[#This Row],[Hora Inicio]]-detalhe_carro1[[#This Row],[Ultima Chegada]])</f>
        <v/>
      </c>
      <c r="P460" s="3">
        <f>IF(detalhe_carro1[[#This Row],[Tipo]]="Visitar Nó",((detalhe_carro1[[#This Row],[Hora Fim]]-detalhe_carro1[[#This Row],[Hora Inicio]])/60*velocidade_nos),0)</f>
        <v>0</v>
      </c>
      <c r="Q460" s="29">
        <f>detalhe_carro1[[#This Row],[Kms Nós]]+detalhe_carro1[[#This Row],[kms]]</f>
        <v>1</v>
      </c>
    </row>
    <row r="461" spans="2:17" x14ac:dyDescent="0.25">
      <c r="B461" s="3">
        <v>3</v>
      </c>
      <c r="C461">
        <v>2</v>
      </c>
      <c r="D461">
        <v>4</v>
      </c>
      <c r="E461" s="29" t="s">
        <v>27</v>
      </c>
      <c r="F461" s="3">
        <v>1255</v>
      </c>
      <c r="G461" s="3">
        <v>1268</v>
      </c>
      <c r="H461" s="29" t="s">
        <v>50</v>
      </c>
      <c r="I461" s="3">
        <v>0</v>
      </c>
      <c r="J461" s="7">
        <v>0.16319444444444445</v>
      </c>
      <c r="K461" s="7">
        <v>0.17222222222222222</v>
      </c>
      <c r="L461" s="3">
        <f t="shared" si="15"/>
        <v>0</v>
      </c>
      <c r="M461" s="3">
        <f t="shared" si="16"/>
        <v>1</v>
      </c>
      <c r="N461" s="29">
        <f>_xlfn.MAXIFS($G$7:G460,$E$7:E460,detalhe_carro1[[#This Row],[Nó]],$B$7:B460,detalhe_carro1[[#This Row],[Numero Voltas]],$L$7:L460,1)</f>
        <v>1144</v>
      </c>
      <c r="O461" s="3">
        <f>IF(OR(detalhe_carro1[[#This Row],[Ultima Chegada]]=0,detalhe_carro1[[#This Row],[Chegada]]=0),"",detalhe_carro1[[#This Row],[Hora Inicio]]-detalhe_carro1[[#This Row],[Ultima Chegada]])</f>
        <v>111</v>
      </c>
      <c r="P461" s="3">
        <f>IF(detalhe_carro1[[#This Row],[Tipo]]="Visitar Nó",((detalhe_carro1[[#This Row],[Hora Fim]]-detalhe_carro1[[#This Row],[Hora Inicio]])/60*velocidade_nos),0)</f>
        <v>6.5</v>
      </c>
      <c r="Q461" s="29">
        <f>detalhe_carro1[[#This Row],[Kms Nós]]+detalhe_carro1[[#This Row],[kms]]</f>
        <v>6.5</v>
      </c>
    </row>
    <row r="462" spans="2:17" x14ac:dyDescent="0.25">
      <c r="B462" s="3">
        <v>3</v>
      </c>
      <c r="C462">
        <v>2</v>
      </c>
      <c r="D462">
        <v>4</v>
      </c>
      <c r="E462" s="29" t="s">
        <v>27</v>
      </c>
      <c r="F462" s="3">
        <v>1269</v>
      </c>
      <c r="G462" s="3">
        <v>1269</v>
      </c>
      <c r="H462" s="29" t="s">
        <v>51</v>
      </c>
      <c r="I462" s="3">
        <v>1</v>
      </c>
      <c r="J462" s="7">
        <v>0.17291666666666666</v>
      </c>
      <c r="K462" s="7">
        <v>0.17291666666666666</v>
      </c>
      <c r="L462" s="3">
        <f t="shared" si="15"/>
        <v>1</v>
      </c>
      <c r="M462" s="3">
        <f t="shared" si="16"/>
        <v>0</v>
      </c>
      <c r="N462" s="29">
        <f>_xlfn.MAXIFS($G$7:G461,$E$7:E461,detalhe_carro1[[#This Row],[Nó]],$B$7:B461,detalhe_carro1[[#This Row],[Numero Voltas]],$L$7:L461,1)</f>
        <v>1144</v>
      </c>
      <c r="O462" s="3" t="str">
        <f>IF(OR(detalhe_carro1[[#This Row],[Ultima Chegada]]=0,detalhe_carro1[[#This Row],[Chegada]]=0),"",detalhe_carro1[[#This Row],[Hora Inicio]]-detalhe_carro1[[#This Row],[Ultima Chegada]])</f>
        <v/>
      </c>
      <c r="P462" s="3">
        <f>IF(detalhe_carro1[[#This Row],[Tipo]]="Visitar Nó",((detalhe_carro1[[#This Row],[Hora Fim]]-detalhe_carro1[[#This Row],[Hora Inicio]])/60*velocidade_nos),0)</f>
        <v>0</v>
      </c>
      <c r="Q462" s="29">
        <f>detalhe_carro1[[#This Row],[Kms Nós]]+detalhe_carro1[[#This Row],[kms]]</f>
        <v>1</v>
      </c>
    </row>
    <row r="463" spans="2:17" x14ac:dyDescent="0.25">
      <c r="B463" s="3">
        <v>3</v>
      </c>
      <c r="C463">
        <v>2</v>
      </c>
      <c r="D463">
        <v>5</v>
      </c>
      <c r="E463" s="29" t="s">
        <v>29</v>
      </c>
      <c r="F463" s="3">
        <v>1272</v>
      </c>
      <c r="G463" s="3">
        <v>1282</v>
      </c>
      <c r="H463" s="29" t="s">
        <v>297</v>
      </c>
      <c r="I463" s="3">
        <v>0</v>
      </c>
      <c r="J463" s="7">
        <v>0.17499999999999999</v>
      </c>
      <c r="K463" s="7">
        <v>0.18194444444444444</v>
      </c>
      <c r="L463" s="3">
        <f t="shared" si="15"/>
        <v>0</v>
      </c>
      <c r="M463" s="3">
        <f t="shared" si="16"/>
        <v>1</v>
      </c>
      <c r="N463" s="29">
        <f>_xlfn.MAXIFS($G$7:G462,$E$7:E462,detalhe_carro1[[#This Row],[Nó]],$B$7:B462,detalhe_carro1[[#This Row],[Numero Voltas]],$L$7:L462,1)</f>
        <v>1125</v>
      </c>
      <c r="O463" s="3">
        <f>IF(OR(detalhe_carro1[[#This Row],[Ultima Chegada]]=0,detalhe_carro1[[#This Row],[Chegada]]=0),"",detalhe_carro1[[#This Row],[Hora Inicio]]-detalhe_carro1[[#This Row],[Ultima Chegada]])</f>
        <v>147</v>
      </c>
      <c r="P463" s="3">
        <f>IF(detalhe_carro1[[#This Row],[Tipo]]="Visitar Nó",((detalhe_carro1[[#This Row],[Hora Fim]]-detalhe_carro1[[#This Row],[Hora Inicio]])/60*velocidade_nos),0)</f>
        <v>0</v>
      </c>
      <c r="Q463" s="29">
        <f>detalhe_carro1[[#This Row],[Kms Nós]]+detalhe_carro1[[#This Row],[kms]]</f>
        <v>0</v>
      </c>
    </row>
    <row r="464" spans="2:17" x14ac:dyDescent="0.25">
      <c r="B464" s="3">
        <v>3</v>
      </c>
      <c r="C464">
        <v>2</v>
      </c>
      <c r="D464">
        <v>5</v>
      </c>
      <c r="E464" s="29" t="s">
        <v>29</v>
      </c>
      <c r="F464" s="3">
        <v>1285</v>
      </c>
      <c r="G464" s="3">
        <v>1313</v>
      </c>
      <c r="H464" s="29" t="s">
        <v>50</v>
      </c>
      <c r="I464" s="3">
        <v>0</v>
      </c>
      <c r="J464" s="7">
        <v>0.18402777777777779</v>
      </c>
      <c r="K464" s="7">
        <v>0.20347222222222222</v>
      </c>
      <c r="L464" s="3">
        <f t="shared" si="15"/>
        <v>0</v>
      </c>
      <c r="M464" s="3">
        <f t="shared" si="16"/>
        <v>0</v>
      </c>
      <c r="N464" s="29">
        <f>_xlfn.MAXIFS($G$7:G463,$E$7:E463,detalhe_carro1[[#This Row],[Nó]],$B$7:B463,detalhe_carro1[[#This Row],[Numero Voltas]],$L$7:L463,1)</f>
        <v>1125</v>
      </c>
      <c r="O464" s="3" t="str">
        <f>IF(OR(detalhe_carro1[[#This Row],[Ultima Chegada]]=0,detalhe_carro1[[#This Row],[Chegada]]=0),"",detalhe_carro1[[#This Row],[Hora Inicio]]-detalhe_carro1[[#This Row],[Ultima Chegada]])</f>
        <v/>
      </c>
      <c r="P464" s="3">
        <f>IF(detalhe_carro1[[#This Row],[Tipo]]="Visitar Nó",((detalhe_carro1[[#This Row],[Hora Fim]]-detalhe_carro1[[#This Row],[Hora Inicio]])/60*velocidade_nos),0)</f>
        <v>14</v>
      </c>
      <c r="Q464" s="29">
        <f>detalhe_carro1[[#This Row],[Kms Nós]]+detalhe_carro1[[#This Row],[kms]]</f>
        <v>14</v>
      </c>
    </row>
    <row r="465" spans="2:17" x14ac:dyDescent="0.25">
      <c r="B465" s="3">
        <v>3</v>
      </c>
      <c r="C465">
        <v>2</v>
      </c>
      <c r="D465">
        <v>5</v>
      </c>
      <c r="E465" s="29" t="s">
        <v>29</v>
      </c>
      <c r="F465" s="3">
        <v>1316</v>
      </c>
      <c r="G465" s="3">
        <v>1316</v>
      </c>
      <c r="H465" s="29" t="s">
        <v>51</v>
      </c>
      <c r="I465" s="3">
        <v>3</v>
      </c>
      <c r="J465" s="7">
        <v>0.20555555555555555</v>
      </c>
      <c r="K465" s="7">
        <v>0.20555555555555555</v>
      </c>
      <c r="L465" s="3">
        <f t="shared" si="15"/>
        <v>1</v>
      </c>
      <c r="M465" s="3">
        <f t="shared" si="16"/>
        <v>0</v>
      </c>
      <c r="N465" s="29">
        <f>_xlfn.MAXIFS($G$7:G464,$E$7:E464,detalhe_carro1[[#This Row],[Nó]],$B$7:B464,detalhe_carro1[[#This Row],[Numero Voltas]],$L$7:L464,1)</f>
        <v>1125</v>
      </c>
      <c r="O465" s="3" t="str">
        <f>IF(OR(detalhe_carro1[[#This Row],[Ultima Chegada]]=0,detalhe_carro1[[#This Row],[Chegada]]=0),"",detalhe_carro1[[#This Row],[Hora Inicio]]-detalhe_carro1[[#This Row],[Ultima Chegada]])</f>
        <v/>
      </c>
      <c r="P465" s="3">
        <f>IF(detalhe_carro1[[#This Row],[Tipo]]="Visitar Nó",((detalhe_carro1[[#This Row],[Hora Fim]]-detalhe_carro1[[#This Row],[Hora Inicio]])/60*velocidade_nos),0)</f>
        <v>0</v>
      </c>
      <c r="Q465" s="29">
        <f>detalhe_carro1[[#This Row],[Kms Nós]]+detalhe_carro1[[#This Row],[kms]]</f>
        <v>3</v>
      </c>
    </row>
    <row r="466" spans="2:17" x14ac:dyDescent="0.25">
      <c r="B466" s="3">
        <v>3</v>
      </c>
      <c r="C466">
        <v>2</v>
      </c>
      <c r="D466">
        <v>6</v>
      </c>
      <c r="E466" s="29" t="s">
        <v>31</v>
      </c>
      <c r="F466" s="3">
        <v>1319</v>
      </c>
      <c r="G466" s="3">
        <v>1328</v>
      </c>
      <c r="H466" s="29" t="s">
        <v>50</v>
      </c>
      <c r="I466" s="3">
        <v>0</v>
      </c>
      <c r="J466" s="7">
        <v>0.2076388888888889</v>
      </c>
      <c r="K466" s="7">
        <v>0.21388888888888888</v>
      </c>
      <c r="L466" s="3">
        <f t="shared" si="15"/>
        <v>0</v>
      </c>
      <c r="M466" s="3">
        <f t="shared" si="16"/>
        <v>1</v>
      </c>
      <c r="N466" s="29">
        <f>_xlfn.MAXIFS($G$7:G465,$E$7:E465,detalhe_carro1[[#This Row],[Nó]],$B$7:B465,detalhe_carro1[[#This Row],[Numero Voltas]],$L$7:L465,1)</f>
        <v>1091</v>
      </c>
      <c r="O466" s="3">
        <f>IF(OR(detalhe_carro1[[#This Row],[Ultima Chegada]]=0,detalhe_carro1[[#This Row],[Chegada]]=0),"",detalhe_carro1[[#This Row],[Hora Inicio]]-detalhe_carro1[[#This Row],[Ultima Chegada]])</f>
        <v>228</v>
      </c>
      <c r="P466" s="3">
        <f>IF(detalhe_carro1[[#This Row],[Tipo]]="Visitar Nó",((detalhe_carro1[[#This Row],[Hora Fim]]-detalhe_carro1[[#This Row],[Hora Inicio]])/60*velocidade_nos),0)</f>
        <v>4.5</v>
      </c>
      <c r="Q466" s="29">
        <f>detalhe_carro1[[#This Row],[Kms Nós]]+detalhe_carro1[[#This Row],[kms]]</f>
        <v>4.5</v>
      </c>
    </row>
    <row r="467" spans="2:17" x14ac:dyDescent="0.25">
      <c r="B467" s="3">
        <v>3</v>
      </c>
      <c r="C467">
        <v>2</v>
      </c>
      <c r="D467">
        <v>6</v>
      </c>
      <c r="E467" s="29" t="s">
        <v>31</v>
      </c>
      <c r="F467" s="3">
        <v>1331</v>
      </c>
      <c r="G467" s="3">
        <v>1331</v>
      </c>
      <c r="H467" s="29" t="s">
        <v>51</v>
      </c>
      <c r="I467" s="3">
        <v>3</v>
      </c>
      <c r="J467" s="7">
        <v>0.21597222222222223</v>
      </c>
      <c r="K467" s="7">
        <v>0.21597222222222223</v>
      </c>
      <c r="L467" s="3">
        <f t="shared" si="15"/>
        <v>1</v>
      </c>
      <c r="M467" s="3">
        <f t="shared" si="16"/>
        <v>0</v>
      </c>
      <c r="N467" s="29">
        <f>_xlfn.MAXIFS($G$7:G466,$E$7:E466,detalhe_carro1[[#This Row],[Nó]],$B$7:B466,detalhe_carro1[[#This Row],[Numero Voltas]],$L$7:L466,1)</f>
        <v>1091</v>
      </c>
      <c r="O467" s="3" t="str">
        <f>IF(OR(detalhe_carro1[[#This Row],[Ultima Chegada]]=0,detalhe_carro1[[#This Row],[Chegada]]=0),"",detalhe_carro1[[#This Row],[Hora Inicio]]-detalhe_carro1[[#This Row],[Ultima Chegada]])</f>
        <v/>
      </c>
      <c r="P467" s="3">
        <f>IF(detalhe_carro1[[#This Row],[Tipo]]="Visitar Nó",((detalhe_carro1[[#This Row],[Hora Fim]]-detalhe_carro1[[#This Row],[Hora Inicio]])/60*velocidade_nos),0)</f>
        <v>0</v>
      </c>
      <c r="Q467" s="29">
        <f>detalhe_carro1[[#This Row],[Kms Nós]]+detalhe_carro1[[#This Row],[kms]]</f>
        <v>3</v>
      </c>
    </row>
    <row r="468" spans="2:17" x14ac:dyDescent="0.25">
      <c r="B468" s="3">
        <v>3</v>
      </c>
      <c r="C468">
        <v>2</v>
      </c>
      <c r="D468">
        <v>7</v>
      </c>
      <c r="E468" s="29" t="s">
        <v>33</v>
      </c>
      <c r="F468" s="3">
        <v>1334</v>
      </c>
      <c r="G468" s="3">
        <v>1334</v>
      </c>
      <c r="H468" s="29" t="s">
        <v>51</v>
      </c>
      <c r="I468" s="3">
        <v>3</v>
      </c>
      <c r="J468" s="7">
        <v>0.21805555555555556</v>
      </c>
      <c r="K468" s="7">
        <v>0.21805555555555556</v>
      </c>
      <c r="L468" s="3">
        <f t="shared" si="15"/>
        <v>0</v>
      </c>
      <c r="M468" s="3">
        <f t="shared" si="16"/>
        <v>1</v>
      </c>
      <c r="N468" s="29">
        <f>_xlfn.MAXIFS($G$7:G467,$E$7:E467,detalhe_carro1[[#This Row],[Nó]],$B$7:B467,detalhe_carro1[[#This Row],[Numero Voltas]],$L$7:L467,1)</f>
        <v>1063</v>
      </c>
      <c r="O468" s="3">
        <f>IF(OR(detalhe_carro1[[#This Row],[Ultima Chegada]]=0,detalhe_carro1[[#This Row],[Chegada]]=0),"",detalhe_carro1[[#This Row],[Hora Inicio]]-detalhe_carro1[[#This Row],[Ultima Chegada]])</f>
        <v>271</v>
      </c>
      <c r="P468" s="3">
        <f>IF(detalhe_carro1[[#This Row],[Tipo]]="Visitar Nó",((detalhe_carro1[[#This Row],[Hora Fim]]-detalhe_carro1[[#This Row],[Hora Inicio]])/60*velocidade_nos),0)</f>
        <v>0</v>
      </c>
      <c r="Q468" s="29">
        <f>detalhe_carro1[[#This Row],[Kms Nós]]+detalhe_carro1[[#This Row],[kms]]</f>
        <v>3</v>
      </c>
    </row>
    <row r="469" spans="2:17" x14ac:dyDescent="0.25">
      <c r="B469" s="3">
        <v>3</v>
      </c>
      <c r="C469">
        <v>2</v>
      </c>
      <c r="D469">
        <v>7</v>
      </c>
      <c r="E469" s="29" t="s">
        <v>33</v>
      </c>
      <c r="F469" s="3">
        <v>1334</v>
      </c>
      <c r="G469" s="3">
        <v>1334</v>
      </c>
      <c r="H469" s="29" t="s">
        <v>51</v>
      </c>
      <c r="I469" s="3">
        <v>3</v>
      </c>
      <c r="J469" s="7">
        <v>0.21805555555555556</v>
      </c>
      <c r="K469" s="7">
        <v>0.21805555555555556</v>
      </c>
      <c r="L469" s="3">
        <f t="shared" si="15"/>
        <v>1</v>
      </c>
      <c r="M469" s="3">
        <f t="shared" si="16"/>
        <v>0</v>
      </c>
      <c r="N469" s="29">
        <f>_xlfn.MAXIFS($G$7:G468,$E$7:E468,detalhe_carro1[[#This Row],[Nó]],$B$7:B468,detalhe_carro1[[#This Row],[Numero Voltas]],$L$7:L468,1)</f>
        <v>1063</v>
      </c>
      <c r="O469" s="3" t="str">
        <f>IF(OR(detalhe_carro1[[#This Row],[Ultima Chegada]]=0,detalhe_carro1[[#This Row],[Chegada]]=0),"",detalhe_carro1[[#This Row],[Hora Inicio]]-detalhe_carro1[[#This Row],[Ultima Chegada]])</f>
        <v/>
      </c>
      <c r="P469" s="3">
        <f>IF(detalhe_carro1[[#This Row],[Tipo]]="Visitar Nó",((detalhe_carro1[[#This Row],[Hora Fim]]-detalhe_carro1[[#This Row],[Hora Inicio]])/60*velocidade_nos),0)</f>
        <v>0</v>
      </c>
      <c r="Q469" s="29">
        <f>detalhe_carro1[[#This Row],[Kms Nós]]+detalhe_carro1[[#This Row],[kms]]</f>
        <v>3</v>
      </c>
    </row>
    <row r="470" spans="2:17" x14ac:dyDescent="0.25">
      <c r="B470" s="3">
        <v>3</v>
      </c>
      <c r="C470">
        <v>2</v>
      </c>
      <c r="D470">
        <v>6</v>
      </c>
      <c r="E470" s="29" t="s">
        <v>31</v>
      </c>
      <c r="F470" s="3">
        <v>1337</v>
      </c>
      <c r="G470" s="3">
        <v>1337</v>
      </c>
      <c r="H470" s="29" t="s">
        <v>51</v>
      </c>
      <c r="I470" s="3">
        <v>3</v>
      </c>
      <c r="J470" s="7">
        <v>0.22013888888888888</v>
      </c>
      <c r="K470" s="7">
        <v>0.22013888888888888</v>
      </c>
      <c r="L470" s="3">
        <f t="shared" si="15"/>
        <v>1</v>
      </c>
      <c r="M470" s="3">
        <f t="shared" si="16"/>
        <v>1</v>
      </c>
      <c r="N470" s="29">
        <f>_xlfn.MAXIFS($G$7:G469,$E$7:E469,detalhe_carro1[[#This Row],[Nó]],$B$7:B469,detalhe_carro1[[#This Row],[Numero Voltas]],$L$7:L469,1)</f>
        <v>1331</v>
      </c>
      <c r="O470" s="3">
        <f>IF(OR(detalhe_carro1[[#This Row],[Ultima Chegada]]=0,detalhe_carro1[[#This Row],[Chegada]]=0),"",detalhe_carro1[[#This Row],[Hora Inicio]]-detalhe_carro1[[#This Row],[Ultima Chegada]])</f>
        <v>6</v>
      </c>
      <c r="P470" s="3">
        <f>IF(detalhe_carro1[[#This Row],[Tipo]]="Visitar Nó",((detalhe_carro1[[#This Row],[Hora Fim]]-detalhe_carro1[[#This Row],[Hora Inicio]])/60*velocidade_nos),0)</f>
        <v>0</v>
      </c>
      <c r="Q470" s="29">
        <f>detalhe_carro1[[#This Row],[Kms Nós]]+detalhe_carro1[[#This Row],[kms]]</f>
        <v>3</v>
      </c>
    </row>
    <row r="471" spans="2:17" x14ac:dyDescent="0.25">
      <c r="B471" s="3">
        <v>3</v>
      </c>
      <c r="C471">
        <v>2</v>
      </c>
      <c r="D471">
        <v>5</v>
      </c>
      <c r="E471" s="29" t="s">
        <v>29</v>
      </c>
      <c r="F471" s="3">
        <v>1340</v>
      </c>
      <c r="G471" s="3">
        <v>1340</v>
      </c>
      <c r="H471" s="29" t="s">
        <v>51</v>
      </c>
      <c r="I471" s="3">
        <v>3</v>
      </c>
      <c r="J471" s="7">
        <v>0.22222222222222221</v>
      </c>
      <c r="K471" s="7">
        <v>0.22222222222222221</v>
      </c>
      <c r="L471" s="3">
        <f t="shared" si="15"/>
        <v>1</v>
      </c>
      <c r="M471" s="3">
        <f t="shared" si="16"/>
        <v>1</v>
      </c>
      <c r="N471" s="29">
        <f>_xlfn.MAXIFS($G$7:G470,$E$7:E470,detalhe_carro1[[#This Row],[Nó]],$B$7:B470,detalhe_carro1[[#This Row],[Numero Voltas]],$L$7:L470,1)</f>
        <v>1316</v>
      </c>
      <c r="O471" s="3">
        <f>IF(OR(detalhe_carro1[[#This Row],[Ultima Chegada]]=0,detalhe_carro1[[#This Row],[Chegada]]=0),"",detalhe_carro1[[#This Row],[Hora Inicio]]-detalhe_carro1[[#This Row],[Ultima Chegada]])</f>
        <v>24</v>
      </c>
      <c r="P471" s="3">
        <f>IF(detalhe_carro1[[#This Row],[Tipo]]="Visitar Nó",((detalhe_carro1[[#This Row],[Hora Fim]]-detalhe_carro1[[#This Row],[Hora Inicio]])/60*velocidade_nos),0)</f>
        <v>0</v>
      </c>
      <c r="Q471" s="29">
        <f>detalhe_carro1[[#This Row],[Kms Nós]]+detalhe_carro1[[#This Row],[kms]]</f>
        <v>3</v>
      </c>
    </row>
    <row r="472" spans="2:17" x14ac:dyDescent="0.25">
      <c r="B472" s="3">
        <v>3</v>
      </c>
      <c r="C472">
        <v>2</v>
      </c>
      <c r="D472">
        <v>4</v>
      </c>
      <c r="E472" s="29" t="s">
        <v>27</v>
      </c>
      <c r="F472" s="3">
        <v>1343</v>
      </c>
      <c r="G472" s="3">
        <v>1343</v>
      </c>
      <c r="H472" s="29" t="s">
        <v>51</v>
      </c>
      <c r="I472" s="3">
        <v>3</v>
      </c>
      <c r="J472" s="7">
        <v>0.22430555555555556</v>
      </c>
      <c r="K472" s="7">
        <v>0.22430555555555556</v>
      </c>
      <c r="L472" s="3">
        <f t="shared" si="15"/>
        <v>1</v>
      </c>
      <c r="M472" s="3">
        <f t="shared" si="16"/>
        <v>1</v>
      </c>
      <c r="N472" s="29">
        <f>_xlfn.MAXIFS($G$7:G471,$E$7:E471,detalhe_carro1[[#This Row],[Nó]],$B$7:B471,detalhe_carro1[[#This Row],[Numero Voltas]],$L$7:L471,1)</f>
        <v>1269</v>
      </c>
      <c r="O472" s="3">
        <f>IF(OR(detalhe_carro1[[#This Row],[Ultima Chegada]]=0,detalhe_carro1[[#This Row],[Chegada]]=0),"",detalhe_carro1[[#This Row],[Hora Inicio]]-detalhe_carro1[[#This Row],[Ultima Chegada]])</f>
        <v>74</v>
      </c>
      <c r="P472" s="3">
        <f>IF(detalhe_carro1[[#This Row],[Tipo]]="Visitar Nó",((detalhe_carro1[[#This Row],[Hora Fim]]-detalhe_carro1[[#This Row],[Hora Inicio]])/60*velocidade_nos),0)</f>
        <v>0</v>
      </c>
      <c r="Q472" s="29">
        <f>detalhe_carro1[[#This Row],[Kms Nós]]+detalhe_carro1[[#This Row],[kms]]</f>
        <v>3</v>
      </c>
    </row>
    <row r="473" spans="2:17" x14ac:dyDescent="0.25">
      <c r="B473" s="3">
        <v>3</v>
      </c>
      <c r="C473">
        <v>2</v>
      </c>
      <c r="D473">
        <v>3</v>
      </c>
      <c r="E473" s="29" t="s">
        <v>26</v>
      </c>
      <c r="F473" s="3">
        <v>1344</v>
      </c>
      <c r="G473" s="3">
        <v>1344</v>
      </c>
      <c r="H473" s="29" t="s">
        <v>51</v>
      </c>
      <c r="I473" s="3">
        <v>1</v>
      </c>
      <c r="J473" s="7">
        <v>0.22500000000000001</v>
      </c>
      <c r="K473" s="7">
        <v>0.22500000000000001</v>
      </c>
      <c r="L473" s="3">
        <f t="shared" si="15"/>
        <v>1</v>
      </c>
      <c r="M473" s="3">
        <f t="shared" si="16"/>
        <v>1</v>
      </c>
      <c r="N473" s="29">
        <f>_xlfn.MAXIFS($G$7:G472,$E$7:E472,detalhe_carro1[[#This Row],[Nó]],$B$7:B472,detalhe_carro1[[#This Row],[Numero Voltas]],$L$7:L472,1)</f>
        <v>1254</v>
      </c>
      <c r="O473" s="3">
        <f>IF(OR(detalhe_carro1[[#This Row],[Ultima Chegada]]=0,detalhe_carro1[[#This Row],[Chegada]]=0),"",detalhe_carro1[[#This Row],[Hora Inicio]]-detalhe_carro1[[#This Row],[Ultima Chegada]])</f>
        <v>90</v>
      </c>
      <c r="P473" s="3">
        <f>IF(detalhe_carro1[[#This Row],[Tipo]]="Visitar Nó",((detalhe_carro1[[#This Row],[Hora Fim]]-detalhe_carro1[[#This Row],[Hora Inicio]])/60*velocidade_nos),0)</f>
        <v>0</v>
      </c>
      <c r="Q473" s="29">
        <f>detalhe_carro1[[#This Row],[Kms Nós]]+detalhe_carro1[[#This Row],[kms]]</f>
        <v>1</v>
      </c>
    </row>
    <row r="474" spans="2:17" x14ac:dyDescent="0.25">
      <c r="B474" s="3">
        <v>3</v>
      </c>
      <c r="C474">
        <v>2</v>
      </c>
      <c r="D474">
        <v>2</v>
      </c>
      <c r="E474" s="29" t="s">
        <v>24</v>
      </c>
      <c r="F474" s="3">
        <v>1345</v>
      </c>
      <c r="G474" s="3">
        <v>1345</v>
      </c>
      <c r="H474" s="29" t="s">
        <v>51</v>
      </c>
      <c r="I474" s="3">
        <v>1</v>
      </c>
      <c r="J474" s="7">
        <v>0.22569444444444445</v>
      </c>
      <c r="K474" s="7">
        <v>0.22569444444444445</v>
      </c>
      <c r="L474" s="3">
        <f t="shared" si="15"/>
        <v>1</v>
      </c>
      <c r="M474" s="3">
        <f t="shared" si="16"/>
        <v>1</v>
      </c>
      <c r="N474" s="29">
        <f>_xlfn.MAXIFS($G$7:G473,$E$7:E473,detalhe_carro1[[#This Row],[Nó]],$B$7:B473,detalhe_carro1[[#This Row],[Numero Voltas]],$L$7:L473,1)</f>
        <v>1242</v>
      </c>
      <c r="O474" s="3">
        <f>IF(OR(detalhe_carro1[[#This Row],[Ultima Chegada]]=0,detalhe_carro1[[#This Row],[Chegada]]=0),"",detalhe_carro1[[#This Row],[Hora Inicio]]-detalhe_carro1[[#This Row],[Ultima Chegada]])</f>
        <v>103</v>
      </c>
      <c r="P474" s="3">
        <f>IF(detalhe_carro1[[#This Row],[Tipo]]="Visitar Nó",((detalhe_carro1[[#This Row],[Hora Fim]]-detalhe_carro1[[#This Row],[Hora Inicio]])/60*velocidade_nos),0)</f>
        <v>0</v>
      </c>
      <c r="Q474" s="29">
        <f>detalhe_carro1[[#This Row],[Kms Nós]]+detalhe_carro1[[#This Row],[kms]]</f>
        <v>1</v>
      </c>
    </row>
    <row r="475" spans="2:17" x14ac:dyDescent="0.25">
      <c r="B475" s="3">
        <v>3</v>
      </c>
      <c r="C475">
        <v>2</v>
      </c>
      <c r="D475">
        <v>1</v>
      </c>
      <c r="E475" s="29" t="s">
        <v>22</v>
      </c>
      <c r="F475" s="3">
        <v>1352</v>
      </c>
      <c r="G475" s="3">
        <v>1352</v>
      </c>
      <c r="H475" s="29" t="s">
        <v>51</v>
      </c>
      <c r="I475" s="3">
        <v>7</v>
      </c>
      <c r="J475" s="7">
        <v>0.23055555555555557</v>
      </c>
      <c r="K475" s="7">
        <v>0.23055555555555557</v>
      </c>
      <c r="L475" s="3">
        <f t="shared" si="15"/>
        <v>1</v>
      </c>
      <c r="M475" s="3">
        <f t="shared" si="16"/>
        <v>1</v>
      </c>
      <c r="N475" s="29">
        <f>_xlfn.MAXIFS($G$7:G474,$E$7:E474,detalhe_carro1[[#This Row],[Nó]],$B$7:B474,detalhe_carro1[[#This Row],[Numero Voltas]],$L$7:L474,1)</f>
        <v>1214</v>
      </c>
      <c r="O475" s="3">
        <f>IF(OR(detalhe_carro1[[#This Row],[Ultima Chegada]]=0,detalhe_carro1[[#This Row],[Chegada]]=0),"",detalhe_carro1[[#This Row],[Hora Inicio]]-detalhe_carro1[[#This Row],[Ultima Chegada]])</f>
        <v>138</v>
      </c>
      <c r="P475" s="3">
        <f>IF(detalhe_carro1[[#This Row],[Tipo]]="Visitar Nó",((detalhe_carro1[[#This Row],[Hora Fim]]-detalhe_carro1[[#This Row],[Hora Inicio]])/60*velocidade_nos),0)</f>
        <v>0</v>
      </c>
      <c r="Q475" s="29">
        <f>detalhe_carro1[[#This Row],[Kms Nós]]+detalhe_carro1[[#This Row],[kms]]</f>
        <v>7</v>
      </c>
    </row>
    <row r="476" spans="2:17" x14ac:dyDescent="0.25">
      <c r="B476" s="3">
        <v>3</v>
      </c>
      <c r="C476">
        <v>2</v>
      </c>
      <c r="D476">
        <v>0</v>
      </c>
      <c r="E476" s="29" t="s">
        <v>20</v>
      </c>
      <c r="F476" s="3">
        <v>1353</v>
      </c>
      <c r="G476" s="3">
        <v>1353</v>
      </c>
      <c r="H476" s="29" t="s">
        <v>51</v>
      </c>
      <c r="I476" s="3">
        <v>1</v>
      </c>
      <c r="J476" s="7">
        <v>0.23125000000000001</v>
      </c>
      <c r="K476" s="7">
        <v>0.23125000000000001</v>
      </c>
      <c r="L476" s="3">
        <f t="shared" si="15"/>
        <v>0</v>
      </c>
      <c r="M476" s="3">
        <f t="shared" si="16"/>
        <v>1</v>
      </c>
      <c r="N476" s="29">
        <f>_xlfn.MAXIFS($G$7:G475,$E$7:E475,detalhe_carro1[[#This Row],[Nó]],$B$7:B475,detalhe_carro1[[#This Row],[Numero Voltas]],$L$7:L475,1)</f>
        <v>1207</v>
      </c>
      <c r="O476" s="3">
        <f>IF(OR(detalhe_carro1[[#This Row],[Ultima Chegada]]=0,detalhe_carro1[[#This Row],[Chegada]]=0),"",detalhe_carro1[[#This Row],[Hora Inicio]]-detalhe_carro1[[#This Row],[Ultima Chegada]])</f>
        <v>146</v>
      </c>
      <c r="P476" s="3">
        <f>IF(detalhe_carro1[[#This Row],[Tipo]]="Visitar Nó",((detalhe_carro1[[#This Row],[Hora Fim]]-detalhe_carro1[[#This Row],[Hora Inicio]])/60*velocidade_nos),0)</f>
        <v>0</v>
      </c>
      <c r="Q476" s="29">
        <f>detalhe_carro1[[#This Row],[Kms Nós]]+detalhe_carro1[[#This Row],[kms]]</f>
        <v>1</v>
      </c>
    </row>
    <row r="477" spans="2:17" x14ac:dyDescent="0.25">
      <c r="B477" s="3">
        <v>3</v>
      </c>
      <c r="C477">
        <v>2</v>
      </c>
      <c r="D477">
        <v>0</v>
      </c>
      <c r="E477" s="29" t="s">
        <v>20</v>
      </c>
      <c r="F477" s="3">
        <v>1353</v>
      </c>
      <c r="G477" s="3">
        <v>1353</v>
      </c>
      <c r="H477" s="29" t="s">
        <v>51</v>
      </c>
      <c r="I477" s="3">
        <v>1</v>
      </c>
      <c r="J477" s="7">
        <v>0.23125000000000001</v>
      </c>
      <c r="K477" s="7">
        <v>0.23125000000000001</v>
      </c>
      <c r="L477" s="3">
        <f t="shared" si="15"/>
        <v>1</v>
      </c>
      <c r="M477" s="3">
        <f t="shared" si="16"/>
        <v>0</v>
      </c>
      <c r="N477" s="29">
        <f>_xlfn.MAXIFS($G$7:G476,$E$7:E476,detalhe_carro1[[#This Row],[Nó]],$B$7:B476,detalhe_carro1[[#This Row],[Numero Voltas]],$L$7:L476,1)</f>
        <v>1207</v>
      </c>
      <c r="O477" s="3" t="str">
        <f>IF(OR(detalhe_carro1[[#This Row],[Ultima Chegada]]=0,detalhe_carro1[[#This Row],[Chegada]]=0),"",detalhe_carro1[[#This Row],[Hora Inicio]]-detalhe_carro1[[#This Row],[Ultima Chegada]])</f>
        <v/>
      </c>
      <c r="P477" s="3">
        <f>IF(detalhe_carro1[[#This Row],[Tipo]]="Visitar Nó",((detalhe_carro1[[#This Row],[Hora Fim]]-detalhe_carro1[[#This Row],[Hora Inicio]])/60*velocidade_nos),0)</f>
        <v>0</v>
      </c>
      <c r="Q477" s="29">
        <f>detalhe_carro1[[#This Row],[Kms Nós]]+detalhe_carro1[[#This Row],[kms]]</f>
        <v>1</v>
      </c>
    </row>
    <row r="478" spans="2:17" x14ac:dyDescent="0.25">
      <c r="B478" s="3">
        <v>3</v>
      </c>
      <c r="C478">
        <v>2</v>
      </c>
      <c r="D478">
        <v>1</v>
      </c>
      <c r="E478" s="29" t="s">
        <v>22</v>
      </c>
      <c r="F478" s="3">
        <v>1354</v>
      </c>
      <c r="G478" s="3">
        <v>1354</v>
      </c>
      <c r="H478" s="29" t="s">
        <v>51</v>
      </c>
      <c r="I478" s="3">
        <v>1</v>
      </c>
      <c r="J478" s="7">
        <v>0.23194444444444445</v>
      </c>
      <c r="K478" s="7">
        <v>0.23194444444444445</v>
      </c>
      <c r="L478" s="3">
        <f t="shared" si="15"/>
        <v>1</v>
      </c>
      <c r="M478" s="3">
        <f t="shared" si="16"/>
        <v>1</v>
      </c>
      <c r="N478" s="29">
        <f>_xlfn.MAXIFS($G$7:G477,$E$7:E477,detalhe_carro1[[#This Row],[Nó]],$B$7:B477,detalhe_carro1[[#This Row],[Numero Voltas]],$L$7:L477,1)</f>
        <v>1352</v>
      </c>
      <c r="O478" s="3">
        <f>IF(OR(detalhe_carro1[[#This Row],[Ultima Chegada]]=0,detalhe_carro1[[#This Row],[Chegada]]=0),"",detalhe_carro1[[#This Row],[Hora Inicio]]-detalhe_carro1[[#This Row],[Ultima Chegada]])</f>
        <v>2</v>
      </c>
      <c r="P478" s="3">
        <f>IF(detalhe_carro1[[#This Row],[Tipo]]="Visitar Nó",((detalhe_carro1[[#This Row],[Hora Fim]]-detalhe_carro1[[#This Row],[Hora Inicio]])/60*velocidade_nos),0)</f>
        <v>0</v>
      </c>
      <c r="Q478" s="29">
        <f>detalhe_carro1[[#This Row],[Kms Nós]]+detalhe_carro1[[#This Row],[kms]]</f>
        <v>1</v>
      </c>
    </row>
    <row r="479" spans="2:17" x14ac:dyDescent="0.25">
      <c r="B479" s="3">
        <v>3</v>
      </c>
      <c r="C479">
        <v>2</v>
      </c>
      <c r="D479">
        <v>2</v>
      </c>
      <c r="E479" s="29" t="s">
        <v>24</v>
      </c>
      <c r="F479" s="3">
        <v>1361</v>
      </c>
      <c r="G479" s="3">
        <v>1361</v>
      </c>
      <c r="H479" s="29" t="s">
        <v>51</v>
      </c>
      <c r="I479" s="3">
        <v>7</v>
      </c>
      <c r="J479" s="7">
        <v>0.23680555555555555</v>
      </c>
      <c r="K479" s="7">
        <v>0.23680555555555555</v>
      </c>
      <c r="L479" s="3">
        <f t="shared" si="15"/>
        <v>1</v>
      </c>
      <c r="M479" s="3">
        <f t="shared" si="16"/>
        <v>1</v>
      </c>
      <c r="N479" s="29">
        <f>_xlfn.MAXIFS($G$7:G478,$E$7:E478,detalhe_carro1[[#This Row],[Nó]],$B$7:B478,detalhe_carro1[[#This Row],[Numero Voltas]],$L$7:L478,1)</f>
        <v>1345</v>
      </c>
      <c r="O479" s="3">
        <f>IF(OR(detalhe_carro1[[#This Row],[Ultima Chegada]]=0,detalhe_carro1[[#This Row],[Chegada]]=0),"",detalhe_carro1[[#This Row],[Hora Inicio]]-detalhe_carro1[[#This Row],[Ultima Chegada]])</f>
        <v>16</v>
      </c>
      <c r="P479" s="3">
        <f>IF(detalhe_carro1[[#This Row],[Tipo]]="Visitar Nó",((detalhe_carro1[[#This Row],[Hora Fim]]-detalhe_carro1[[#This Row],[Hora Inicio]])/60*velocidade_nos),0)</f>
        <v>0</v>
      </c>
      <c r="Q479" s="29">
        <f>detalhe_carro1[[#This Row],[Kms Nós]]+detalhe_carro1[[#This Row],[kms]]</f>
        <v>7</v>
      </c>
    </row>
    <row r="480" spans="2:17" x14ac:dyDescent="0.25">
      <c r="B480" s="3">
        <v>3</v>
      </c>
      <c r="C480">
        <v>2</v>
      </c>
      <c r="D480">
        <v>3</v>
      </c>
      <c r="E480" s="29" t="s">
        <v>26</v>
      </c>
      <c r="F480" s="3">
        <v>1362</v>
      </c>
      <c r="G480" s="3">
        <v>1362</v>
      </c>
      <c r="H480" s="29" t="s">
        <v>51</v>
      </c>
      <c r="I480" s="3">
        <v>1</v>
      </c>
      <c r="J480" s="7">
        <v>0.23749999999999999</v>
      </c>
      <c r="K480" s="7">
        <v>0.23749999999999999</v>
      </c>
      <c r="L480" s="3">
        <f t="shared" si="15"/>
        <v>1</v>
      </c>
      <c r="M480" s="3">
        <f t="shared" si="16"/>
        <v>1</v>
      </c>
      <c r="N480" s="29">
        <f>_xlfn.MAXIFS($G$7:G479,$E$7:E479,detalhe_carro1[[#This Row],[Nó]],$B$7:B479,detalhe_carro1[[#This Row],[Numero Voltas]],$L$7:L479,1)</f>
        <v>1344</v>
      </c>
      <c r="O480" s="3">
        <f>IF(OR(detalhe_carro1[[#This Row],[Ultima Chegada]]=0,detalhe_carro1[[#This Row],[Chegada]]=0),"",detalhe_carro1[[#This Row],[Hora Inicio]]-detalhe_carro1[[#This Row],[Ultima Chegada]])</f>
        <v>18</v>
      </c>
      <c r="P480" s="3">
        <f>IF(detalhe_carro1[[#This Row],[Tipo]]="Visitar Nó",((detalhe_carro1[[#This Row],[Hora Fim]]-detalhe_carro1[[#This Row],[Hora Inicio]])/60*velocidade_nos),0)</f>
        <v>0</v>
      </c>
      <c r="Q480" s="29">
        <f>detalhe_carro1[[#This Row],[Kms Nós]]+detalhe_carro1[[#This Row],[kms]]</f>
        <v>1</v>
      </c>
    </row>
    <row r="481" spans="2:17" x14ac:dyDescent="0.25">
      <c r="B481" s="3">
        <v>3</v>
      </c>
      <c r="C481">
        <v>2</v>
      </c>
      <c r="D481">
        <v>4</v>
      </c>
      <c r="E481" s="29" t="s">
        <v>27</v>
      </c>
      <c r="F481" s="3">
        <v>1363</v>
      </c>
      <c r="G481" s="3">
        <v>1363</v>
      </c>
      <c r="H481" s="29" t="s">
        <v>51</v>
      </c>
      <c r="I481" s="3">
        <v>1</v>
      </c>
      <c r="J481" s="7">
        <v>0.23819444444444443</v>
      </c>
      <c r="K481" s="7">
        <v>0.23819444444444443</v>
      </c>
      <c r="L481" s="3">
        <f t="shared" si="15"/>
        <v>1</v>
      </c>
      <c r="M481" s="3">
        <f t="shared" si="16"/>
        <v>1</v>
      </c>
      <c r="N481" s="29">
        <f>_xlfn.MAXIFS($G$7:G480,$E$7:E480,detalhe_carro1[[#This Row],[Nó]],$B$7:B480,detalhe_carro1[[#This Row],[Numero Voltas]],$L$7:L480,1)</f>
        <v>1343</v>
      </c>
      <c r="O481" s="3">
        <f>IF(OR(detalhe_carro1[[#This Row],[Ultima Chegada]]=0,detalhe_carro1[[#This Row],[Chegada]]=0),"",detalhe_carro1[[#This Row],[Hora Inicio]]-detalhe_carro1[[#This Row],[Ultima Chegada]])</f>
        <v>20</v>
      </c>
      <c r="P481" s="3">
        <f>IF(detalhe_carro1[[#This Row],[Tipo]]="Visitar Nó",((detalhe_carro1[[#This Row],[Hora Fim]]-detalhe_carro1[[#This Row],[Hora Inicio]])/60*velocidade_nos),0)</f>
        <v>0</v>
      </c>
      <c r="Q481" s="29">
        <f>detalhe_carro1[[#This Row],[Kms Nós]]+detalhe_carro1[[#This Row],[kms]]</f>
        <v>1</v>
      </c>
    </row>
    <row r="482" spans="2:17" x14ac:dyDescent="0.25">
      <c r="B482" s="3">
        <v>3</v>
      </c>
      <c r="C482">
        <v>2</v>
      </c>
      <c r="D482">
        <v>5</v>
      </c>
      <c r="E482" s="29" t="s">
        <v>29</v>
      </c>
      <c r="F482" s="3">
        <v>1366</v>
      </c>
      <c r="G482" s="3">
        <v>1366</v>
      </c>
      <c r="H482" s="29" t="s">
        <v>51</v>
      </c>
      <c r="I482" s="3">
        <v>3</v>
      </c>
      <c r="J482" s="7">
        <v>0.24027777777777778</v>
      </c>
      <c r="K482" s="7">
        <v>0.24027777777777778</v>
      </c>
      <c r="L482" s="3">
        <f t="shared" si="15"/>
        <v>1</v>
      </c>
      <c r="M482" s="3">
        <f t="shared" si="16"/>
        <v>1</v>
      </c>
      <c r="N482" s="29">
        <f>_xlfn.MAXIFS($G$7:G481,$E$7:E481,detalhe_carro1[[#This Row],[Nó]],$B$7:B481,detalhe_carro1[[#This Row],[Numero Voltas]],$L$7:L481,1)</f>
        <v>1340</v>
      </c>
      <c r="O482" s="3">
        <f>IF(OR(detalhe_carro1[[#This Row],[Ultima Chegada]]=0,detalhe_carro1[[#This Row],[Chegada]]=0),"",detalhe_carro1[[#This Row],[Hora Inicio]]-detalhe_carro1[[#This Row],[Ultima Chegada]])</f>
        <v>26</v>
      </c>
      <c r="P482" s="3">
        <f>IF(detalhe_carro1[[#This Row],[Tipo]]="Visitar Nó",((detalhe_carro1[[#This Row],[Hora Fim]]-detalhe_carro1[[#This Row],[Hora Inicio]])/60*velocidade_nos),0)</f>
        <v>0</v>
      </c>
      <c r="Q482" s="29">
        <f>detalhe_carro1[[#This Row],[Kms Nós]]+detalhe_carro1[[#This Row],[kms]]</f>
        <v>3</v>
      </c>
    </row>
    <row r="483" spans="2:17" x14ac:dyDescent="0.25">
      <c r="B483" s="3">
        <v>3</v>
      </c>
      <c r="C483">
        <v>2</v>
      </c>
      <c r="D483">
        <v>6</v>
      </c>
      <c r="E483" s="29" t="s">
        <v>31</v>
      </c>
      <c r="F483" s="3">
        <v>1369</v>
      </c>
      <c r="G483" s="3">
        <v>1369</v>
      </c>
      <c r="H483" s="29" t="s">
        <v>51</v>
      </c>
      <c r="I483" s="3">
        <v>3</v>
      </c>
      <c r="J483" s="7">
        <v>0.24236111111111111</v>
      </c>
      <c r="K483" s="7">
        <v>0.24236111111111111</v>
      </c>
      <c r="L483" s="3">
        <f t="shared" si="15"/>
        <v>1</v>
      </c>
      <c r="M483" s="3">
        <f t="shared" si="16"/>
        <v>1</v>
      </c>
      <c r="N483" s="29">
        <f>_xlfn.MAXIFS($G$7:G482,$E$7:E482,detalhe_carro1[[#This Row],[Nó]],$B$7:B482,detalhe_carro1[[#This Row],[Numero Voltas]],$L$7:L482,1)</f>
        <v>1337</v>
      </c>
      <c r="O483" s="3">
        <f>IF(OR(detalhe_carro1[[#This Row],[Ultima Chegada]]=0,detalhe_carro1[[#This Row],[Chegada]]=0),"",detalhe_carro1[[#This Row],[Hora Inicio]]-detalhe_carro1[[#This Row],[Ultima Chegada]])</f>
        <v>32</v>
      </c>
      <c r="P483" s="3">
        <f>IF(detalhe_carro1[[#This Row],[Tipo]]="Visitar Nó",((detalhe_carro1[[#This Row],[Hora Fim]]-detalhe_carro1[[#This Row],[Hora Inicio]])/60*velocidade_nos),0)</f>
        <v>0</v>
      </c>
      <c r="Q483" s="29">
        <f>detalhe_carro1[[#This Row],[Kms Nós]]+detalhe_carro1[[#This Row],[kms]]</f>
        <v>3</v>
      </c>
    </row>
    <row r="484" spans="2:17" x14ac:dyDescent="0.25">
      <c r="B484" s="3">
        <v>3</v>
      </c>
      <c r="C484">
        <v>2</v>
      </c>
      <c r="D484">
        <v>7</v>
      </c>
      <c r="E484" s="29" t="s">
        <v>33</v>
      </c>
      <c r="F484" s="3">
        <v>1372</v>
      </c>
      <c r="G484" s="3">
        <v>1372</v>
      </c>
      <c r="H484" s="29" t="s">
        <v>51</v>
      </c>
      <c r="I484" s="3">
        <v>3</v>
      </c>
      <c r="J484" s="7">
        <v>0.24444444444444444</v>
      </c>
      <c r="K484" s="7">
        <v>0.24444444444444444</v>
      </c>
      <c r="L484" s="3">
        <f t="shared" si="15"/>
        <v>0</v>
      </c>
      <c r="M484" s="3">
        <f t="shared" si="16"/>
        <v>1</v>
      </c>
      <c r="N484" s="29">
        <f>_xlfn.MAXIFS($G$7:G483,$E$7:E483,detalhe_carro1[[#This Row],[Nó]],$B$7:B483,detalhe_carro1[[#This Row],[Numero Voltas]],$L$7:L483,1)</f>
        <v>1334</v>
      </c>
      <c r="O484" s="3">
        <f>IF(OR(detalhe_carro1[[#This Row],[Ultima Chegada]]=0,detalhe_carro1[[#This Row],[Chegada]]=0),"",detalhe_carro1[[#This Row],[Hora Inicio]]-detalhe_carro1[[#This Row],[Ultima Chegada]])</f>
        <v>38</v>
      </c>
      <c r="P484" s="3">
        <f>IF(detalhe_carro1[[#This Row],[Tipo]]="Visitar Nó",((detalhe_carro1[[#This Row],[Hora Fim]]-detalhe_carro1[[#This Row],[Hora Inicio]])/60*velocidade_nos),0)</f>
        <v>0</v>
      </c>
      <c r="Q484" s="29">
        <f>detalhe_carro1[[#This Row],[Kms Nós]]+detalhe_carro1[[#This Row],[kms]]</f>
        <v>3</v>
      </c>
    </row>
    <row r="485" spans="2:17" x14ac:dyDescent="0.25">
      <c r="B485" s="3">
        <v>3</v>
      </c>
      <c r="C485">
        <v>2</v>
      </c>
      <c r="D485">
        <v>7</v>
      </c>
      <c r="E485" s="29" t="s">
        <v>33</v>
      </c>
      <c r="F485" s="3">
        <v>1372</v>
      </c>
      <c r="G485" s="3">
        <v>1372</v>
      </c>
      <c r="H485" s="29" t="s">
        <v>51</v>
      </c>
      <c r="I485" s="3">
        <v>3</v>
      </c>
      <c r="J485" s="7">
        <v>0.24444444444444444</v>
      </c>
      <c r="K485" s="7">
        <v>0.24444444444444444</v>
      </c>
      <c r="L485" s="3">
        <f t="shared" si="15"/>
        <v>1</v>
      </c>
      <c r="M485" s="3">
        <f t="shared" si="16"/>
        <v>0</v>
      </c>
      <c r="N485" s="29">
        <f>_xlfn.MAXIFS($G$7:G484,$E$7:E484,detalhe_carro1[[#This Row],[Nó]],$B$7:B484,detalhe_carro1[[#This Row],[Numero Voltas]],$L$7:L484,1)</f>
        <v>1334</v>
      </c>
      <c r="O485" s="3" t="str">
        <f>IF(OR(detalhe_carro1[[#This Row],[Ultima Chegada]]=0,detalhe_carro1[[#This Row],[Chegada]]=0),"",detalhe_carro1[[#This Row],[Hora Inicio]]-detalhe_carro1[[#This Row],[Ultima Chegada]])</f>
        <v/>
      </c>
      <c r="P485" s="3">
        <f>IF(detalhe_carro1[[#This Row],[Tipo]]="Visitar Nó",((detalhe_carro1[[#This Row],[Hora Fim]]-detalhe_carro1[[#This Row],[Hora Inicio]])/60*velocidade_nos),0)</f>
        <v>0</v>
      </c>
      <c r="Q485" s="29">
        <f>detalhe_carro1[[#This Row],[Kms Nós]]+detalhe_carro1[[#This Row],[kms]]</f>
        <v>3</v>
      </c>
    </row>
    <row r="486" spans="2:17" x14ac:dyDescent="0.25">
      <c r="B486" s="3">
        <v>3</v>
      </c>
      <c r="C486">
        <v>2</v>
      </c>
      <c r="D486">
        <v>6</v>
      </c>
      <c r="E486" s="29" t="s">
        <v>31</v>
      </c>
      <c r="F486" s="3">
        <v>1375</v>
      </c>
      <c r="G486" s="3">
        <v>1375</v>
      </c>
      <c r="H486" s="29" t="s">
        <v>51</v>
      </c>
      <c r="I486" s="3">
        <v>3</v>
      </c>
      <c r="J486" s="7">
        <v>0.24652777777777779</v>
      </c>
      <c r="K486" s="7">
        <v>0.24652777777777779</v>
      </c>
      <c r="L486" s="3">
        <f t="shared" si="15"/>
        <v>1</v>
      </c>
      <c r="M486" s="3">
        <f t="shared" si="16"/>
        <v>1</v>
      </c>
      <c r="N486" s="29">
        <f>_xlfn.MAXIFS($G$7:G485,$E$7:E485,detalhe_carro1[[#This Row],[Nó]],$B$7:B485,detalhe_carro1[[#This Row],[Numero Voltas]],$L$7:L485,1)</f>
        <v>1369</v>
      </c>
      <c r="O486" s="3">
        <f>IF(OR(detalhe_carro1[[#This Row],[Ultima Chegada]]=0,detalhe_carro1[[#This Row],[Chegada]]=0),"",detalhe_carro1[[#This Row],[Hora Inicio]]-detalhe_carro1[[#This Row],[Ultima Chegada]])</f>
        <v>6</v>
      </c>
      <c r="P486" s="3">
        <f>IF(detalhe_carro1[[#This Row],[Tipo]]="Visitar Nó",((detalhe_carro1[[#This Row],[Hora Fim]]-detalhe_carro1[[#This Row],[Hora Inicio]])/60*velocidade_nos),0)</f>
        <v>0</v>
      </c>
      <c r="Q486" s="29">
        <f>detalhe_carro1[[#This Row],[Kms Nós]]+detalhe_carro1[[#This Row],[kms]]</f>
        <v>3</v>
      </c>
    </row>
    <row r="487" spans="2:17" x14ac:dyDescent="0.25">
      <c r="B487" s="3">
        <v>3</v>
      </c>
      <c r="C487">
        <v>2</v>
      </c>
      <c r="D487">
        <v>5</v>
      </c>
      <c r="E487" s="29" t="s">
        <v>29</v>
      </c>
      <c r="F487" s="3">
        <v>1378</v>
      </c>
      <c r="G487" s="3">
        <v>1378</v>
      </c>
      <c r="H487" s="29" t="s">
        <v>51</v>
      </c>
      <c r="I487" s="3">
        <v>3</v>
      </c>
      <c r="J487" s="7">
        <v>0.24861111111111112</v>
      </c>
      <c r="K487" s="7">
        <v>0.24861111111111112</v>
      </c>
      <c r="L487" s="3">
        <f t="shared" si="15"/>
        <v>1</v>
      </c>
      <c r="M487" s="3">
        <f t="shared" si="16"/>
        <v>1</v>
      </c>
      <c r="N487" s="29">
        <f>_xlfn.MAXIFS($G$7:G486,$E$7:E486,detalhe_carro1[[#This Row],[Nó]],$B$7:B486,detalhe_carro1[[#This Row],[Numero Voltas]],$L$7:L486,1)</f>
        <v>1366</v>
      </c>
      <c r="O487" s="3">
        <f>IF(OR(detalhe_carro1[[#This Row],[Ultima Chegada]]=0,detalhe_carro1[[#This Row],[Chegada]]=0),"",detalhe_carro1[[#This Row],[Hora Inicio]]-detalhe_carro1[[#This Row],[Ultima Chegada]])</f>
        <v>12</v>
      </c>
      <c r="P487" s="3">
        <f>IF(detalhe_carro1[[#This Row],[Tipo]]="Visitar Nó",((detalhe_carro1[[#This Row],[Hora Fim]]-detalhe_carro1[[#This Row],[Hora Inicio]])/60*velocidade_nos),0)</f>
        <v>0</v>
      </c>
      <c r="Q487" s="29">
        <f>detalhe_carro1[[#This Row],[Kms Nós]]+detalhe_carro1[[#This Row],[kms]]</f>
        <v>3</v>
      </c>
    </row>
    <row r="488" spans="2:17" x14ac:dyDescent="0.25">
      <c r="B488" s="3">
        <v>3</v>
      </c>
      <c r="C488">
        <v>2</v>
      </c>
      <c r="D488">
        <v>4</v>
      </c>
      <c r="E488" s="29" t="s">
        <v>27</v>
      </c>
      <c r="F488" s="3">
        <v>1381</v>
      </c>
      <c r="G488" s="3">
        <v>1381</v>
      </c>
      <c r="H488" s="29" t="s">
        <v>51</v>
      </c>
      <c r="I488" s="3">
        <v>3</v>
      </c>
      <c r="J488" s="7">
        <v>0.25069444444444444</v>
      </c>
      <c r="K488" s="7">
        <v>0.25069444444444444</v>
      </c>
      <c r="L488" s="3">
        <f t="shared" si="15"/>
        <v>1</v>
      </c>
      <c r="M488" s="3">
        <f t="shared" si="16"/>
        <v>1</v>
      </c>
      <c r="N488" s="29">
        <f>_xlfn.MAXIFS($G$7:G487,$E$7:E487,detalhe_carro1[[#This Row],[Nó]],$B$7:B487,detalhe_carro1[[#This Row],[Numero Voltas]],$L$7:L487,1)</f>
        <v>1363</v>
      </c>
      <c r="O488" s="3">
        <f>IF(OR(detalhe_carro1[[#This Row],[Ultima Chegada]]=0,detalhe_carro1[[#This Row],[Chegada]]=0),"",detalhe_carro1[[#This Row],[Hora Inicio]]-detalhe_carro1[[#This Row],[Ultima Chegada]])</f>
        <v>18</v>
      </c>
      <c r="P488" s="3">
        <f>IF(detalhe_carro1[[#This Row],[Tipo]]="Visitar Nó",((detalhe_carro1[[#This Row],[Hora Fim]]-detalhe_carro1[[#This Row],[Hora Inicio]])/60*velocidade_nos),0)</f>
        <v>0</v>
      </c>
      <c r="Q488" s="29">
        <f>detalhe_carro1[[#This Row],[Kms Nós]]+detalhe_carro1[[#This Row],[kms]]</f>
        <v>3</v>
      </c>
    </row>
    <row r="489" spans="2:17" x14ac:dyDescent="0.25">
      <c r="B489" s="3">
        <v>3</v>
      </c>
      <c r="C489">
        <v>2</v>
      </c>
      <c r="D489">
        <v>3</v>
      </c>
      <c r="E489" s="29" t="s">
        <v>26</v>
      </c>
      <c r="F489" s="3">
        <v>1382</v>
      </c>
      <c r="G489" s="3">
        <v>1382</v>
      </c>
      <c r="H489" s="29" t="s">
        <v>51</v>
      </c>
      <c r="I489" s="3">
        <v>1</v>
      </c>
      <c r="J489" s="7">
        <v>0.25138888888888888</v>
      </c>
      <c r="K489" s="7">
        <v>0.25138888888888888</v>
      </c>
      <c r="L489" s="3">
        <f t="shared" si="15"/>
        <v>1</v>
      </c>
      <c r="M489" s="3">
        <f t="shared" si="16"/>
        <v>1</v>
      </c>
      <c r="N489" s="29">
        <f>_xlfn.MAXIFS($G$7:G488,$E$7:E488,detalhe_carro1[[#This Row],[Nó]],$B$7:B488,detalhe_carro1[[#This Row],[Numero Voltas]],$L$7:L488,1)</f>
        <v>1362</v>
      </c>
      <c r="O489" s="3">
        <f>IF(OR(detalhe_carro1[[#This Row],[Ultima Chegada]]=0,detalhe_carro1[[#This Row],[Chegada]]=0),"",detalhe_carro1[[#This Row],[Hora Inicio]]-detalhe_carro1[[#This Row],[Ultima Chegada]])</f>
        <v>20</v>
      </c>
      <c r="P489" s="3">
        <f>IF(detalhe_carro1[[#This Row],[Tipo]]="Visitar Nó",((detalhe_carro1[[#This Row],[Hora Fim]]-detalhe_carro1[[#This Row],[Hora Inicio]])/60*velocidade_nos),0)</f>
        <v>0</v>
      </c>
      <c r="Q489" s="29">
        <f>detalhe_carro1[[#This Row],[Kms Nós]]+detalhe_carro1[[#This Row],[kms]]</f>
        <v>1</v>
      </c>
    </row>
    <row r="490" spans="2:17" x14ac:dyDescent="0.25">
      <c r="B490" s="3">
        <v>3</v>
      </c>
      <c r="C490">
        <v>2</v>
      </c>
      <c r="D490">
        <v>2</v>
      </c>
      <c r="E490" s="29" t="s">
        <v>24</v>
      </c>
      <c r="F490" s="3">
        <v>1383</v>
      </c>
      <c r="G490" s="3">
        <v>1383</v>
      </c>
      <c r="H490" s="29" t="s">
        <v>51</v>
      </c>
      <c r="I490" s="3">
        <v>1</v>
      </c>
      <c r="J490" s="7">
        <v>0.25208333333333333</v>
      </c>
      <c r="K490" s="7">
        <v>0.25208333333333333</v>
      </c>
      <c r="L490" s="3">
        <f t="shared" si="15"/>
        <v>1</v>
      </c>
      <c r="M490" s="3">
        <f t="shared" si="16"/>
        <v>1</v>
      </c>
      <c r="N490" s="29">
        <f>_xlfn.MAXIFS($G$7:G489,$E$7:E489,detalhe_carro1[[#This Row],[Nó]],$B$7:B489,detalhe_carro1[[#This Row],[Numero Voltas]],$L$7:L489,1)</f>
        <v>1361</v>
      </c>
      <c r="O490" s="3">
        <f>IF(OR(detalhe_carro1[[#This Row],[Ultima Chegada]]=0,detalhe_carro1[[#This Row],[Chegada]]=0),"",detalhe_carro1[[#This Row],[Hora Inicio]]-detalhe_carro1[[#This Row],[Ultima Chegada]])</f>
        <v>22</v>
      </c>
      <c r="P490" s="3">
        <f>IF(detalhe_carro1[[#This Row],[Tipo]]="Visitar Nó",((detalhe_carro1[[#This Row],[Hora Fim]]-detalhe_carro1[[#This Row],[Hora Inicio]])/60*velocidade_nos),0)</f>
        <v>0</v>
      </c>
      <c r="Q490" s="29">
        <f>detalhe_carro1[[#This Row],[Kms Nós]]+detalhe_carro1[[#This Row],[kms]]</f>
        <v>1</v>
      </c>
    </row>
    <row r="491" spans="2:17" x14ac:dyDescent="0.25">
      <c r="B491" s="3">
        <v>3</v>
      </c>
      <c r="C491">
        <v>2</v>
      </c>
      <c r="D491">
        <v>1</v>
      </c>
      <c r="E491" s="29" t="s">
        <v>22</v>
      </c>
      <c r="F491" s="3">
        <v>1390</v>
      </c>
      <c r="G491" s="3">
        <v>1390</v>
      </c>
      <c r="H491" s="29" t="s">
        <v>51</v>
      </c>
      <c r="I491" s="3">
        <v>7</v>
      </c>
      <c r="J491" s="7">
        <v>0.25694444444444442</v>
      </c>
      <c r="K491" s="7">
        <v>0.25694444444444442</v>
      </c>
      <c r="L491" s="3">
        <f t="shared" si="15"/>
        <v>1</v>
      </c>
      <c r="M491" s="3">
        <f t="shared" si="16"/>
        <v>1</v>
      </c>
      <c r="N491" s="29">
        <f>_xlfn.MAXIFS($G$7:G490,$E$7:E490,detalhe_carro1[[#This Row],[Nó]],$B$7:B490,detalhe_carro1[[#This Row],[Numero Voltas]],$L$7:L490,1)</f>
        <v>1354</v>
      </c>
      <c r="O491" s="3">
        <f>IF(OR(detalhe_carro1[[#This Row],[Ultima Chegada]]=0,detalhe_carro1[[#This Row],[Chegada]]=0),"",detalhe_carro1[[#This Row],[Hora Inicio]]-detalhe_carro1[[#This Row],[Ultima Chegada]])</f>
        <v>36</v>
      </c>
      <c r="P491" s="3">
        <f>IF(detalhe_carro1[[#This Row],[Tipo]]="Visitar Nó",((detalhe_carro1[[#This Row],[Hora Fim]]-detalhe_carro1[[#This Row],[Hora Inicio]])/60*velocidade_nos),0)</f>
        <v>0</v>
      </c>
      <c r="Q491" s="29">
        <f>detalhe_carro1[[#This Row],[Kms Nós]]+detalhe_carro1[[#This Row],[kms]]</f>
        <v>7</v>
      </c>
    </row>
    <row r="492" spans="2:17" x14ac:dyDescent="0.25">
      <c r="B492" s="3">
        <v>3</v>
      </c>
      <c r="C492">
        <v>2</v>
      </c>
      <c r="D492">
        <v>0</v>
      </c>
      <c r="E492" s="29" t="s">
        <v>20</v>
      </c>
      <c r="F492" s="3">
        <v>1391</v>
      </c>
      <c r="G492" s="3">
        <v>1391</v>
      </c>
      <c r="H492" s="29" t="s">
        <v>51</v>
      </c>
      <c r="I492" s="3">
        <v>1</v>
      </c>
      <c r="J492" s="7">
        <v>0.25763888888888886</v>
      </c>
      <c r="K492" s="7">
        <v>0.25763888888888886</v>
      </c>
      <c r="L492" s="3">
        <f t="shared" si="15"/>
        <v>0</v>
      </c>
      <c r="M492" s="3">
        <f t="shared" si="16"/>
        <v>1</v>
      </c>
      <c r="N492" s="29">
        <f>_xlfn.MAXIFS($G$7:G491,$E$7:E491,detalhe_carro1[[#This Row],[Nó]],$B$7:B491,detalhe_carro1[[#This Row],[Numero Voltas]],$L$7:L491,1)</f>
        <v>1353</v>
      </c>
      <c r="O492" s="3">
        <f>IF(OR(detalhe_carro1[[#This Row],[Ultima Chegada]]=0,detalhe_carro1[[#This Row],[Chegada]]=0),"",detalhe_carro1[[#This Row],[Hora Inicio]]-detalhe_carro1[[#This Row],[Ultima Chegada]])</f>
        <v>38</v>
      </c>
      <c r="P492" s="3">
        <f>IF(detalhe_carro1[[#This Row],[Tipo]]="Visitar Nó",((detalhe_carro1[[#This Row],[Hora Fim]]-detalhe_carro1[[#This Row],[Hora Inicio]])/60*velocidade_nos),0)</f>
        <v>0</v>
      </c>
      <c r="Q492" s="29">
        <f>detalhe_carro1[[#This Row],[Kms Nós]]+detalhe_carro1[[#This Row],[kms]]</f>
        <v>1</v>
      </c>
    </row>
    <row r="493" spans="2:17" x14ac:dyDescent="0.25">
      <c r="B493" s="3">
        <v>3</v>
      </c>
      <c r="C493">
        <v>2</v>
      </c>
      <c r="D493">
        <v>0</v>
      </c>
      <c r="E493" s="29" t="s">
        <v>20</v>
      </c>
      <c r="F493" s="3">
        <v>1391</v>
      </c>
      <c r="G493" s="3">
        <v>1391</v>
      </c>
      <c r="H493" s="29" t="s">
        <v>51</v>
      </c>
      <c r="I493" s="3">
        <v>1</v>
      </c>
      <c r="J493" s="7">
        <v>0.25763888888888886</v>
      </c>
      <c r="K493" s="7">
        <v>0.25763888888888886</v>
      </c>
      <c r="L493" s="3">
        <f t="shared" si="15"/>
        <v>1</v>
      </c>
      <c r="M493" s="3">
        <f t="shared" si="16"/>
        <v>0</v>
      </c>
      <c r="N493" s="29">
        <f>_xlfn.MAXIFS($G$7:G492,$E$7:E492,detalhe_carro1[[#This Row],[Nó]],$B$7:B492,detalhe_carro1[[#This Row],[Numero Voltas]],$L$7:L492,1)</f>
        <v>1353</v>
      </c>
      <c r="O493" s="3" t="str">
        <f>IF(OR(detalhe_carro1[[#This Row],[Ultima Chegada]]=0,detalhe_carro1[[#This Row],[Chegada]]=0),"",detalhe_carro1[[#This Row],[Hora Inicio]]-detalhe_carro1[[#This Row],[Ultima Chegada]])</f>
        <v/>
      </c>
      <c r="P493" s="3">
        <f>IF(detalhe_carro1[[#This Row],[Tipo]]="Visitar Nó",((detalhe_carro1[[#This Row],[Hora Fim]]-detalhe_carro1[[#This Row],[Hora Inicio]])/60*velocidade_nos),0)</f>
        <v>0</v>
      </c>
      <c r="Q493" s="29">
        <f>detalhe_carro1[[#This Row],[Kms Nós]]+detalhe_carro1[[#This Row],[kms]]</f>
        <v>1</v>
      </c>
    </row>
    <row r="494" spans="2:17" x14ac:dyDescent="0.25">
      <c r="B494" s="3">
        <v>3</v>
      </c>
      <c r="C494">
        <v>2</v>
      </c>
      <c r="D494">
        <v>1</v>
      </c>
      <c r="E494" s="29" t="s">
        <v>22</v>
      </c>
      <c r="F494" s="3">
        <v>1392</v>
      </c>
      <c r="G494" s="3">
        <v>1452</v>
      </c>
      <c r="H494" s="29" t="s">
        <v>52</v>
      </c>
      <c r="I494" s="3">
        <v>0</v>
      </c>
      <c r="J494" s="7">
        <v>0.25833333333333336</v>
      </c>
      <c r="K494" s="7">
        <v>0.3</v>
      </c>
      <c r="L494" s="3">
        <f t="shared" si="15"/>
        <v>0</v>
      </c>
      <c r="M494" s="3">
        <f t="shared" si="16"/>
        <v>1</v>
      </c>
      <c r="N494" s="29">
        <f>_xlfn.MAXIFS($G$7:G493,$E$7:E493,detalhe_carro1[[#This Row],[Nó]],$B$7:B493,detalhe_carro1[[#This Row],[Numero Voltas]],$L$7:L493,1)</f>
        <v>1390</v>
      </c>
      <c r="O494" s="3">
        <f>IF(OR(detalhe_carro1[[#This Row],[Ultima Chegada]]=0,detalhe_carro1[[#This Row],[Chegada]]=0),"",detalhe_carro1[[#This Row],[Hora Inicio]]-detalhe_carro1[[#This Row],[Ultima Chegada]])</f>
        <v>2</v>
      </c>
      <c r="P494" s="3">
        <f>IF(detalhe_carro1[[#This Row],[Tipo]]="Visitar Nó",((detalhe_carro1[[#This Row],[Hora Fim]]-detalhe_carro1[[#This Row],[Hora Inicio]])/60*velocidade_nos),0)</f>
        <v>0</v>
      </c>
      <c r="Q494" s="29">
        <f>detalhe_carro1[[#This Row],[Kms Nós]]+detalhe_carro1[[#This Row],[kms]]</f>
        <v>0</v>
      </c>
    </row>
    <row r="495" spans="2:17" x14ac:dyDescent="0.25">
      <c r="B495" s="3">
        <v>3</v>
      </c>
      <c r="C495">
        <v>2</v>
      </c>
      <c r="D495">
        <v>1</v>
      </c>
      <c r="E495" s="29" t="s">
        <v>22</v>
      </c>
      <c r="F495" s="3">
        <v>1453</v>
      </c>
      <c r="G495" s="3">
        <v>1453</v>
      </c>
      <c r="H495" s="29" t="s">
        <v>51</v>
      </c>
      <c r="I495" s="3">
        <v>1</v>
      </c>
      <c r="J495" s="7">
        <v>0.30069444444444443</v>
      </c>
      <c r="K495" s="7">
        <v>0.30069444444444443</v>
      </c>
      <c r="L495" s="3">
        <f t="shared" si="15"/>
        <v>1</v>
      </c>
      <c r="M495" s="3">
        <f t="shared" si="16"/>
        <v>0</v>
      </c>
      <c r="N495" s="29">
        <f>_xlfn.MAXIFS($G$7:G494,$E$7:E494,detalhe_carro1[[#This Row],[Nó]],$B$7:B494,detalhe_carro1[[#This Row],[Numero Voltas]],$L$7:L494,1)</f>
        <v>1390</v>
      </c>
      <c r="O495" s="3" t="str">
        <f>IF(OR(detalhe_carro1[[#This Row],[Ultima Chegada]]=0,detalhe_carro1[[#This Row],[Chegada]]=0),"",detalhe_carro1[[#This Row],[Hora Inicio]]-detalhe_carro1[[#This Row],[Ultima Chegada]])</f>
        <v/>
      </c>
      <c r="P495" s="3">
        <f>IF(detalhe_carro1[[#This Row],[Tipo]]="Visitar Nó",((detalhe_carro1[[#This Row],[Hora Fim]]-detalhe_carro1[[#This Row],[Hora Inicio]])/60*velocidade_nos),0)</f>
        <v>0</v>
      </c>
      <c r="Q495" s="29">
        <f>detalhe_carro1[[#This Row],[Kms Nós]]+detalhe_carro1[[#This Row],[kms]]</f>
        <v>1</v>
      </c>
    </row>
    <row r="496" spans="2:17" x14ac:dyDescent="0.25">
      <c r="B496" s="3">
        <v>3</v>
      </c>
      <c r="C496">
        <v>2</v>
      </c>
      <c r="D496">
        <v>2</v>
      </c>
      <c r="E496" s="29" t="s">
        <v>24</v>
      </c>
      <c r="F496" s="3">
        <v>1460</v>
      </c>
      <c r="G496" s="3">
        <v>1460</v>
      </c>
      <c r="H496" s="29" t="s">
        <v>51</v>
      </c>
      <c r="I496" s="3">
        <v>7</v>
      </c>
      <c r="J496" s="7">
        <v>0.30555555555555558</v>
      </c>
      <c r="K496" s="7">
        <v>0.30555555555555558</v>
      </c>
      <c r="L496" s="3">
        <f t="shared" si="15"/>
        <v>1</v>
      </c>
      <c r="M496" s="3">
        <f t="shared" si="16"/>
        <v>1</v>
      </c>
      <c r="N496" s="29">
        <f>_xlfn.MAXIFS($G$7:G495,$E$7:E495,detalhe_carro1[[#This Row],[Nó]],$B$7:B495,detalhe_carro1[[#This Row],[Numero Voltas]],$L$7:L495,1)</f>
        <v>1383</v>
      </c>
      <c r="O496" s="3">
        <f>IF(OR(detalhe_carro1[[#This Row],[Ultima Chegada]]=0,detalhe_carro1[[#This Row],[Chegada]]=0),"",detalhe_carro1[[#This Row],[Hora Inicio]]-detalhe_carro1[[#This Row],[Ultima Chegada]])</f>
        <v>77</v>
      </c>
      <c r="P496" s="3">
        <f>IF(detalhe_carro1[[#This Row],[Tipo]]="Visitar Nó",((detalhe_carro1[[#This Row],[Hora Fim]]-detalhe_carro1[[#This Row],[Hora Inicio]])/60*velocidade_nos),0)</f>
        <v>0</v>
      </c>
      <c r="Q496" s="29">
        <f>detalhe_carro1[[#This Row],[Kms Nós]]+detalhe_carro1[[#This Row],[kms]]</f>
        <v>7</v>
      </c>
    </row>
    <row r="497" spans="2:17" x14ac:dyDescent="0.25">
      <c r="B497" s="3">
        <v>3</v>
      </c>
      <c r="C497">
        <v>2</v>
      </c>
      <c r="D497">
        <v>3</v>
      </c>
      <c r="E497" s="29" t="s">
        <v>26</v>
      </c>
      <c r="F497" s="3">
        <v>1461</v>
      </c>
      <c r="G497" s="3">
        <v>1461</v>
      </c>
      <c r="H497" s="29" t="s">
        <v>51</v>
      </c>
      <c r="I497" s="3">
        <v>1</v>
      </c>
      <c r="J497" s="7">
        <v>0.30625000000000002</v>
      </c>
      <c r="K497" s="7">
        <v>0.30625000000000002</v>
      </c>
      <c r="L497" s="3">
        <f t="shared" si="15"/>
        <v>1</v>
      </c>
      <c r="M497" s="3">
        <f t="shared" si="16"/>
        <v>1</v>
      </c>
      <c r="N497" s="29">
        <f>_xlfn.MAXIFS($G$7:G496,$E$7:E496,detalhe_carro1[[#This Row],[Nó]],$B$7:B496,detalhe_carro1[[#This Row],[Numero Voltas]],$L$7:L496,1)</f>
        <v>1382</v>
      </c>
      <c r="O497" s="3">
        <f>IF(OR(detalhe_carro1[[#This Row],[Ultima Chegada]]=0,detalhe_carro1[[#This Row],[Chegada]]=0),"",detalhe_carro1[[#This Row],[Hora Inicio]]-detalhe_carro1[[#This Row],[Ultima Chegada]])</f>
        <v>79</v>
      </c>
      <c r="P497" s="3">
        <f>IF(detalhe_carro1[[#This Row],[Tipo]]="Visitar Nó",((detalhe_carro1[[#This Row],[Hora Fim]]-detalhe_carro1[[#This Row],[Hora Inicio]])/60*velocidade_nos),0)</f>
        <v>0</v>
      </c>
      <c r="Q497" s="29">
        <f>detalhe_carro1[[#This Row],[Kms Nós]]+detalhe_carro1[[#This Row],[kms]]</f>
        <v>1</v>
      </c>
    </row>
    <row r="498" spans="2:17" x14ac:dyDescent="0.25">
      <c r="B498" s="3">
        <v>3</v>
      </c>
      <c r="C498">
        <v>2</v>
      </c>
      <c r="D498">
        <v>4</v>
      </c>
      <c r="E498" s="29" t="s">
        <v>27</v>
      </c>
      <c r="F498" s="3">
        <v>1462</v>
      </c>
      <c r="G498" s="3">
        <v>1462</v>
      </c>
      <c r="H498" s="29" t="s">
        <v>51</v>
      </c>
      <c r="I498" s="3">
        <v>1</v>
      </c>
      <c r="J498" s="7">
        <v>0.30694444444444446</v>
      </c>
      <c r="K498" s="7">
        <v>0.30694444444444446</v>
      </c>
      <c r="L498" s="3">
        <f t="shared" si="15"/>
        <v>1</v>
      </c>
      <c r="M498" s="3">
        <f t="shared" si="16"/>
        <v>1</v>
      </c>
      <c r="N498" s="29">
        <f>_xlfn.MAXIFS($G$7:G497,$E$7:E497,detalhe_carro1[[#This Row],[Nó]],$B$7:B497,detalhe_carro1[[#This Row],[Numero Voltas]],$L$7:L497,1)</f>
        <v>1381</v>
      </c>
      <c r="O498" s="3">
        <f>IF(OR(detalhe_carro1[[#This Row],[Ultima Chegada]]=0,detalhe_carro1[[#This Row],[Chegada]]=0),"",detalhe_carro1[[#This Row],[Hora Inicio]]-detalhe_carro1[[#This Row],[Ultima Chegada]])</f>
        <v>81</v>
      </c>
      <c r="P498" s="3">
        <f>IF(detalhe_carro1[[#This Row],[Tipo]]="Visitar Nó",((detalhe_carro1[[#This Row],[Hora Fim]]-detalhe_carro1[[#This Row],[Hora Inicio]])/60*velocidade_nos),0)</f>
        <v>0</v>
      </c>
      <c r="Q498" s="29">
        <f>detalhe_carro1[[#This Row],[Kms Nós]]+detalhe_carro1[[#This Row],[kms]]</f>
        <v>1</v>
      </c>
    </row>
    <row r="499" spans="2:17" x14ac:dyDescent="0.25">
      <c r="B499" s="3">
        <v>3</v>
      </c>
      <c r="C499">
        <v>2</v>
      </c>
      <c r="D499">
        <v>5</v>
      </c>
      <c r="E499" s="29" t="s">
        <v>29</v>
      </c>
      <c r="F499" s="3">
        <v>1465</v>
      </c>
      <c r="G499" s="3">
        <v>1465</v>
      </c>
      <c r="H499" s="29" t="s">
        <v>51</v>
      </c>
      <c r="I499" s="3">
        <v>3</v>
      </c>
      <c r="J499" s="7">
        <v>0.30902777777777779</v>
      </c>
      <c r="K499" s="7">
        <v>0.30902777777777779</v>
      </c>
      <c r="L499" s="3">
        <f t="shared" si="15"/>
        <v>1</v>
      </c>
      <c r="M499" s="3">
        <f t="shared" si="16"/>
        <v>1</v>
      </c>
      <c r="N499" s="29">
        <f>_xlfn.MAXIFS($G$7:G498,$E$7:E498,detalhe_carro1[[#This Row],[Nó]],$B$7:B498,detalhe_carro1[[#This Row],[Numero Voltas]],$L$7:L498,1)</f>
        <v>1378</v>
      </c>
      <c r="O499" s="3">
        <f>IF(OR(detalhe_carro1[[#This Row],[Ultima Chegada]]=0,detalhe_carro1[[#This Row],[Chegada]]=0),"",detalhe_carro1[[#This Row],[Hora Inicio]]-detalhe_carro1[[#This Row],[Ultima Chegada]])</f>
        <v>87</v>
      </c>
      <c r="P499" s="3">
        <f>IF(detalhe_carro1[[#This Row],[Tipo]]="Visitar Nó",((detalhe_carro1[[#This Row],[Hora Fim]]-detalhe_carro1[[#This Row],[Hora Inicio]])/60*velocidade_nos),0)</f>
        <v>0</v>
      </c>
      <c r="Q499" s="29">
        <f>detalhe_carro1[[#This Row],[Kms Nós]]+detalhe_carro1[[#This Row],[kms]]</f>
        <v>3</v>
      </c>
    </row>
    <row r="500" spans="2:17" x14ac:dyDescent="0.25">
      <c r="B500" s="3">
        <v>3</v>
      </c>
      <c r="C500">
        <v>2</v>
      </c>
      <c r="D500">
        <v>6</v>
      </c>
      <c r="E500" s="29" t="s">
        <v>31</v>
      </c>
      <c r="F500" s="3">
        <v>1468</v>
      </c>
      <c r="G500" s="3">
        <v>1528</v>
      </c>
      <c r="H500" s="29" t="s">
        <v>52</v>
      </c>
      <c r="I500" s="3">
        <v>0</v>
      </c>
      <c r="J500" s="7">
        <v>0.31111111111111112</v>
      </c>
      <c r="K500" s="7">
        <v>0.3527777777777778</v>
      </c>
      <c r="L500" s="3">
        <f t="shared" si="15"/>
        <v>0</v>
      </c>
      <c r="M500" s="3">
        <f t="shared" si="16"/>
        <v>1</v>
      </c>
      <c r="N500" s="29">
        <f>_xlfn.MAXIFS($G$7:G499,$E$7:E499,detalhe_carro1[[#This Row],[Nó]],$B$7:B499,detalhe_carro1[[#This Row],[Numero Voltas]],$L$7:L499,1)</f>
        <v>1375</v>
      </c>
      <c r="O500" s="3">
        <f>IF(OR(detalhe_carro1[[#This Row],[Ultima Chegada]]=0,detalhe_carro1[[#This Row],[Chegada]]=0),"",detalhe_carro1[[#This Row],[Hora Inicio]]-detalhe_carro1[[#This Row],[Ultima Chegada]])</f>
        <v>93</v>
      </c>
      <c r="P500" s="3">
        <f>IF(detalhe_carro1[[#This Row],[Tipo]]="Visitar Nó",((detalhe_carro1[[#This Row],[Hora Fim]]-detalhe_carro1[[#This Row],[Hora Inicio]])/60*velocidade_nos),0)</f>
        <v>0</v>
      </c>
      <c r="Q500" s="29">
        <f>detalhe_carro1[[#This Row],[Kms Nós]]+detalhe_carro1[[#This Row],[kms]]</f>
        <v>0</v>
      </c>
    </row>
    <row r="501" spans="2:17" x14ac:dyDescent="0.25">
      <c r="B501" s="3">
        <v>3</v>
      </c>
      <c r="C501">
        <v>2</v>
      </c>
      <c r="D501">
        <v>6</v>
      </c>
      <c r="E501" s="29" t="s">
        <v>31</v>
      </c>
      <c r="F501" s="3">
        <v>1531</v>
      </c>
      <c r="G501" s="3">
        <v>1531</v>
      </c>
      <c r="H501" s="29" t="s">
        <v>51</v>
      </c>
      <c r="I501" s="3">
        <v>3</v>
      </c>
      <c r="J501" s="7">
        <v>0.35486111111111113</v>
      </c>
      <c r="K501" s="7">
        <v>0.35486111111111113</v>
      </c>
      <c r="L501" s="3">
        <f t="shared" si="15"/>
        <v>1</v>
      </c>
      <c r="M501" s="3">
        <f t="shared" si="16"/>
        <v>0</v>
      </c>
      <c r="N501" s="29">
        <f>_xlfn.MAXIFS($G$7:G500,$E$7:E500,detalhe_carro1[[#This Row],[Nó]],$B$7:B500,detalhe_carro1[[#This Row],[Numero Voltas]],$L$7:L500,1)</f>
        <v>1375</v>
      </c>
      <c r="O501" s="3" t="str">
        <f>IF(OR(detalhe_carro1[[#This Row],[Ultima Chegada]]=0,detalhe_carro1[[#This Row],[Chegada]]=0),"",detalhe_carro1[[#This Row],[Hora Inicio]]-detalhe_carro1[[#This Row],[Ultima Chegada]])</f>
        <v/>
      </c>
      <c r="P501" s="3">
        <f>IF(detalhe_carro1[[#This Row],[Tipo]]="Visitar Nó",((detalhe_carro1[[#This Row],[Hora Fim]]-detalhe_carro1[[#This Row],[Hora Inicio]])/60*velocidade_nos),0)</f>
        <v>0</v>
      </c>
      <c r="Q501" s="29">
        <f>detalhe_carro1[[#This Row],[Kms Nós]]+detalhe_carro1[[#This Row],[kms]]</f>
        <v>3</v>
      </c>
    </row>
    <row r="502" spans="2:17" x14ac:dyDescent="0.25">
      <c r="B502" s="3">
        <v>3</v>
      </c>
      <c r="C502">
        <v>2</v>
      </c>
      <c r="D502">
        <v>7</v>
      </c>
      <c r="E502" s="29" t="s">
        <v>33</v>
      </c>
      <c r="F502" s="3">
        <v>1534</v>
      </c>
      <c r="G502" s="3">
        <v>1534</v>
      </c>
      <c r="H502" s="29" t="s">
        <v>51</v>
      </c>
      <c r="I502" s="3">
        <v>3</v>
      </c>
      <c r="J502" s="7">
        <v>0.35694444444444445</v>
      </c>
      <c r="K502" s="7">
        <v>0.35694444444444445</v>
      </c>
      <c r="L502" s="3">
        <f t="shared" si="15"/>
        <v>0</v>
      </c>
      <c r="M502" s="3">
        <f t="shared" si="16"/>
        <v>1</v>
      </c>
      <c r="N502" s="29">
        <f>_xlfn.MAXIFS($G$7:G501,$E$7:E501,detalhe_carro1[[#This Row],[Nó]],$B$7:B501,detalhe_carro1[[#This Row],[Numero Voltas]],$L$7:L501,1)</f>
        <v>1372</v>
      </c>
      <c r="O502" s="3">
        <f>IF(OR(detalhe_carro1[[#This Row],[Ultima Chegada]]=0,detalhe_carro1[[#This Row],[Chegada]]=0),"",detalhe_carro1[[#This Row],[Hora Inicio]]-detalhe_carro1[[#This Row],[Ultima Chegada]])</f>
        <v>162</v>
      </c>
      <c r="P502" s="3">
        <f>IF(detalhe_carro1[[#This Row],[Tipo]]="Visitar Nó",((detalhe_carro1[[#This Row],[Hora Fim]]-detalhe_carro1[[#This Row],[Hora Inicio]])/60*velocidade_nos),0)</f>
        <v>0</v>
      </c>
      <c r="Q502" s="29">
        <f>detalhe_carro1[[#This Row],[Kms Nós]]+detalhe_carro1[[#This Row],[kms]]</f>
        <v>3</v>
      </c>
    </row>
    <row r="503" spans="2:17" x14ac:dyDescent="0.25">
      <c r="B503" s="3">
        <v>3</v>
      </c>
      <c r="C503">
        <v>2</v>
      </c>
      <c r="D503">
        <v>7</v>
      </c>
      <c r="E503" s="29" t="s">
        <v>33</v>
      </c>
      <c r="F503" s="3">
        <v>1534</v>
      </c>
      <c r="G503" s="3">
        <v>1534</v>
      </c>
      <c r="H503" s="29" t="s">
        <v>51</v>
      </c>
      <c r="I503" s="3">
        <v>3</v>
      </c>
      <c r="J503" s="7">
        <v>0.35694444444444445</v>
      </c>
      <c r="K503" s="7">
        <v>0.35694444444444445</v>
      </c>
      <c r="L503" s="3">
        <f t="shared" si="15"/>
        <v>0</v>
      </c>
      <c r="M503" s="3">
        <f t="shared" si="16"/>
        <v>0</v>
      </c>
      <c r="N503" s="29">
        <f>_xlfn.MAXIFS($G$7:G502,$E$7:E502,detalhe_carro1[[#This Row],[Nó]],$B$7:B502,detalhe_carro1[[#This Row],[Numero Voltas]],$L$7:L502,1)</f>
        <v>1372</v>
      </c>
      <c r="O503" s="3" t="str">
        <f>IF(OR(detalhe_carro1[[#This Row],[Ultima Chegada]]=0,detalhe_carro1[[#This Row],[Chegada]]=0),"",detalhe_carro1[[#This Row],[Hora Inicio]]-detalhe_carro1[[#This Row],[Ultima Chegada]])</f>
        <v/>
      </c>
      <c r="P503" s="3">
        <f>IF(detalhe_carro1[[#This Row],[Tipo]]="Visitar Nó",((detalhe_carro1[[#This Row],[Hora Fim]]-detalhe_carro1[[#This Row],[Hora Inicio]])/60*velocidade_nos),0)</f>
        <v>0</v>
      </c>
      <c r="Q503" s="29">
        <f>detalhe_carro1[[#This Row],[Kms Nós]]+detalhe_carro1[[#This Row],[kms]]</f>
        <v>3</v>
      </c>
    </row>
    <row r="504" spans="2:17" x14ac:dyDescent="0.25">
      <c r="B504" s="3">
        <v>3</v>
      </c>
      <c r="C504">
        <v>2</v>
      </c>
      <c r="D504">
        <v>7</v>
      </c>
      <c r="E504" s="29" t="s">
        <v>33</v>
      </c>
      <c r="F504" s="3">
        <v>1534</v>
      </c>
      <c r="G504" s="3">
        <v>1534</v>
      </c>
      <c r="H504" s="29" t="s">
        <v>51</v>
      </c>
      <c r="I504" s="3">
        <v>3</v>
      </c>
      <c r="J504" s="7">
        <v>0.35694444444444445</v>
      </c>
      <c r="K504" s="7">
        <v>0.35694444444444445</v>
      </c>
      <c r="L504" s="3">
        <f t="shared" si="15"/>
        <v>0</v>
      </c>
      <c r="M504" s="3">
        <f t="shared" si="16"/>
        <v>0</v>
      </c>
      <c r="N504" s="29">
        <f>_xlfn.MAXIFS($G$7:G503,$E$7:E503,detalhe_carro1[[#This Row],[Nó]],$B$7:B503,detalhe_carro1[[#This Row],[Numero Voltas]],$L$7:L503,1)</f>
        <v>1372</v>
      </c>
      <c r="O504" s="3" t="str">
        <f>IF(OR(detalhe_carro1[[#This Row],[Ultima Chegada]]=0,detalhe_carro1[[#This Row],[Chegada]]=0),"",detalhe_carro1[[#This Row],[Hora Inicio]]-detalhe_carro1[[#This Row],[Ultima Chegada]])</f>
        <v/>
      </c>
      <c r="P504" s="3">
        <f>IF(detalhe_carro1[[#This Row],[Tipo]]="Visitar Nó",((detalhe_carro1[[#This Row],[Hora Fim]]-detalhe_carro1[[#This Row],[Hora Inicio]])/60*velocidade_nos),0)</f>
        <v>0</v>
      </c>
      <c r="Q504" s="29">
        <f>detalhe_carro1[[#This Row],[Kms Nós]]+detalhe_carro1[[#This Row],[kms]]</f>
        <v>3</v>
      </c>
    </row>
    <row r="505" spans="2:17" x14ac:dyDescent="0.25">
      <c r="B505" s="3">
        <v>4</v>
      </c>
      <c r="C505">
        <v>0</v>
      </c>
      <c r="D505">
        <v>7</v>
      </c>
      <c r="E505" s="29" t="s">
        <v>33</v>
      </c>
      <c r="F505" s="3">
        <v>30</v>
      </c>
      <c r="G505" s="3">
        <v>90</v>
      </c>
      <c r="H505" s="29" t="s">
        <v>54</v>
      </c>
      <c r="I505" s="3">
        <v>0</v>
      </c>
      <c r="J505" s="7">
        <v>0.3125</v>
      </c>
      <c r="K505" s="7">
        <v>0.35416666666666669</v>
      </c>
      <c r="L505" s="3">
        <f t="shared" si="15"/>
        <v>0</v>
      </c>
      <c r="M505" s="3">
        <f t="shared" si="16"/>
        <v>0</v>
      </c>
      <c r="N505" s="29">
        <f>_xlfn.MAXIFS($G$7:G504,$E$7:E504,detalhe_carro1[[#This Row],[Nó]],$B$7:B504,detalhe_carro1[[#This Row],[Numero Voltas]],$L$7:L504,1)</f>
        <v>0</v>
      </c>
      <c r="O505" s="3" t="str">
        <f>IF(OR(detalhe_carro1[[#This Row],[Ultima Chegada]]=0,detalhe_carro1[[#This Row],[Chegada]]=0),"",detalhe_carro1[[#This Row],[Hora Inicio]]-detalhe_carro1[[#This Row],[Ultima Chegada]])</f>
        <v/>
      </c>
      <c r="P505" s="3">
        <f>IF(detalhe_carro1[[#This Row],[Tipo]]="Visitar Nó",((detalhe_carro1[[#This Row],[Hora Fim]]-detalhe_carro1[[#This Row],[Hora Inicio]])/60*velocidade_nos),0)</f>
        <v>0</v>
      </c>
      <c r="Q505" s="29">
        <f>detalhe_carro1[[#This Row],[Kms Nós]]+detalhe_carro1[[#This Row],[kms]]</f>
        <v>0</v>
      </c>
    </row>
    <row r="506" spans="2:17" x14ac:dyDescent="0.25">
      <c r="B506" s="3">
        <v>4</v>
      </c>
      <c r="C506">
        <v>0</v>
      </c>
      <c r="D506">
        <v>7</v>
      </c>
      <c r="E506" s="29" t="s">
        <v>33</v>
      </c>
      <c r="F506" s="3">
        <v>60</v>
      </c>
      <c r="G506" s="3">
        <v>90</v>
      </c>
      <c r="H506" s="29" t="s">
        <v>54</v>
      </c>
      <c r="I506" s="3">
        <v>0</v>
      </c>
      <c r="J506" s="7">
        <v>0.33333333333333331</v>
      </c>
      <c r="K506" s="7">
        <v>0.35416666666666669</v>
      </c>
      <c r="L506" s="3">
        <f t="shared" si="15"/>
        <v>0</v>
      </c>
      <c r="M506" s="3">
        <f t="shared" si="16"/>
        <v>0</v>
      </c>
      <c r="N506" s="29">
        <f>_xlfn.MAXIFS($G$7:G505,$E$7:E505,detalhe_carro1[[#This Row],[Nó]],$B$7:B505,detalhe_carro1[[#This Row],[Numero Voltas]],$L$7:L505,1)</f>
        <v>0</v>
      </c>
      <c r="O506" s="3" t="str">
        <f>IF(OR(detalhe_carro1[[#This Row],[Ultima Chegada]]=0,detalhe_carro1[[#This Row],[Chegada]]=0),"",detalhe_carro1[[#This Row],[Hora Inicio]]-detalhe_carro1[[#This Row],[Ultima Chegada]])</f>
        <v/>
      </c>
      <c r="P506" s="3">
        <f>IF(detalhe_carro1[[#This Row],[Tipo]]="Visitar Nó",((detalhe_carro1[[#This Row],[Hora Fim]]-detalhe_carro1[[#This Row],[Hora Inicio]])/60*velocidade_nos),0)</f>
        <v>0</v>
      </c>
      <c r="Q506" s="29">
        <f>detalhe_carro1[[#This Row],[Kms Nós]]+detalhe_carro1[[#This Row],[kms]]</f>
        <v>0</v>
      </c>
    </row>
    <row r="507" spans="2:17" x14ac:dyDescent="0.25">
      <c r="B507" s="3">
        <v>4</v>
      </c>
      <c r="C507">
        <v>0</v>
      </c>
      <c r="D507">
        <v>7</v>
      </c>
      <c r="E507" s="29" t="s">
        <v>33</v>
      </c>
      <c r="F507" s="3">
        <v>90</v>
      </c>
      <c r="G507" s="3">
        <v>90</v>
      </c>
      <c r="H507" s="29" t="s">
        <v>49</v>
      </c>
      <c r="I507" s="3">
        <v>0</v>
      </c>
      <c r="J507" s="7">
        <v>0.35416666666666669</v>
      </c>
      <c r="K507" s="7">
        <v>0.35416666666666669</v>
      </c>
      <c r="L507" s="3">
        <f t="shared" si="15"/>
        <v>0</v>
      </c>
      <c r="M507" s="3">
        <f t="shared" si="16"/>
        <v>0</v>
      </c>
      <c r="N507" s="29">
        <f>_xlfn.MAXIFS($G$7:G506,$E$7:E506,detalhe_carro1[[#This Row],[Nó]],$B$7:B506,detalhe_carro1[[#This Row],[Numero Voltas]],$L$7:L506,1)</f>
        <v>0</v>
      </c>
      <c r="O507" s="3" t="str">
        <f>IF(OR(detalhe_carro1[[#This Row],[Ultima Chegada]]=0,detalhe_carro1[[#This Row],[Chegada]]=0),"",detalhe_carro1[[#This Row],[Hora Inicio]]-detalhe_carro1[[#This Row],[Ultima Chegada]])</f>
        <v/>
      </c>
      <c r="P507" s="3">
        <f>IF(detalhe_carro1[[#This Row],[Tipo]]="Visitar Nó",((detalhe_carro1[[#This Row],[Hora Fim]]-detalhe_carro1[[#This Row],[Hora Inicio]])/60*velocidade_nos),0)</f>
        <v>0</v>
      </c>
      <c r="Q507" s="29">
        <f>detalhe_carro1[[#This Row],[Kms Nós]]+detalhe_carro1[[#This Row],[kms]]</f>
        <v>0</v>
      </c>
    </row>
    <row r="508" spans="2:17" x14ac:dyDescent="0.25">
      <c r="B508" s="3">
        <v>4</v>
      </c>
      <c r="C508">
        <v>0</v>
      </c>
      <c r="D508">
        <v>7</v>
      </c>
      <c r="E508" s="29" t="s">
        <v>33</v>
      </c>
      <c r="F508" s="3">
        <v>90</v>
      </c>
      <c r="G508" s="3">
        <v>103</v>
      </c>
      <c r="H508" s="29" t="s">
        <v>50</v>
      </c>
      <c r="I508" s="3">
        <v>0</v>
      </c>
      <c r="J508" s="7">
        <v>0.35416666666666669</v>
      </c>
      <c r="K508" s="7">
        <v>0.36319444444444443</v>
      </c>
      <c r="L508" s="3">
        <f t="shared" si="15"/>
        <v>0</v>
      </c>
      <c r="M508" s="3">
        <f t="shared" si="16"/>
        <v>0</v>
      </c>
      <c r="N508" s="29">
        <f>_xlfn.MAXIFS($G$7:G507,$E$7:E507,detalhe_carro1[[#This Row],[Nó]],$B$7:B507,detalhe_carro1[[#This Row],[Numero Voltas]],$L$7:L507,1)</f>
        <v>0</v>
      </c>
      <c r="O508" s="3" t="str">
        <f>IF(OR(detalhe_carro1[[#This Row],[Ultima Chegada]]=0,detalhe_carro1[[#This Row],[Chegada]]=0),"",detalhe_carro1[[#This Row],[Hora Inicio]]-detalhe_carro1[[#This Row],[Ultima Chegada]])</f>
        <v/>
      </c>
      <c r="P508" s="3">
        <f>IF(detalhe_carro1[[#This Row],[Tipo]]="Visitar Nó",((detalhe_carro1[[#This Row],[Hora Fim]]-detalhe_carro1[[#This Row],[Hora Inicio]])/60*velocidade_nos),0)</f>
        <v>6.5</v>
      </c>
      <c r="Q508" s="29">
        <f>detalhe_carro1[[#This Row],[Kms Nós]]+detalhe_carro1[[#This Row],[kms]]</f>
        <v>6.5</v>
      </c>
    </row>
    <row r="509" spans="2:17" x14ac:dyDescent="0.25">
      <c r="B509" s="3">
        <v>4</v>
      </c>
      <c r="C509">
        <v>0</v>
      </c>
      <c r="D509">
        <v>7</v>
      </c>
      <c r="E509" s="29" t="s">
        <v>33</v>
      </c>
      <c r="F509" s="3">
        <v>103</v>
      </c>
      <c r="G509" s="3">
        <v>103</v>
      </c>
      <c r="H509" s="29" t="s">
        <v>51</v>
      </c>
      <c r="I509" s="3">
        <v>0</v>
      </c>
      <c r="J509" s="7">
        <v>0.36319444444444443</v>
      </c>
      <c r="K509" s="7">
        <v>0.36319444444444443</v>
      </c>
      <c r="L509" s="3">
        <f t="shared" si="15"/>
        <v>1</v>
      </c>
      <c r="M509" s="3">
        <f t="shared" si="16"/>
        <v>0</v>
      </c>
      <c r="N509" s="29">
        <f>_xlfn.MAXIFS($G$7:G508,$E$7:E508,detalhe_carro1[[#This Row],[Nó]],$B$7:B508,detalhe_carro1[[#This Row],[Numero Voltas]],$L$7:L508,1)</f>
        <v>0</v>
      </c>
      <c r="O509" s="3" t="str">
        <f>IF(OR(detalhe_carro1[[#This Row],[Ultima Chegada]]=0,detalhe_carro1[[#This Row],[Chegada]]=0),"",detalhe_carro1[[#This Row],[Hora Inicio]]-detalhe_carro1[[#This Row],[Ultima Chegada]])</f>
        <v/>
      </c>
      <c r="P509" s="3">
        <f>IF(detalhe_carro1[[#This Row],[Tipo]]="Visitar Nó",((detalhe_carro1[[#This Row],[Hora Fim]]-detalhe_carro1[[#This Row],[Hora Inicio]])/60*velocidade_nos),0)</f>
        <v>0</v>
      </c>
      <c r="Q509" s="29">
        <f>detalhe_carro1[[#This Row],[Kms Nós]]+detalhe_carro1[[#This Row],[kms]]</f>
        <v>0</v>
      </c>
    </row>
    <row r="510" spans="2:17" x14ac:dyDescent="0.25">
      <c r="B510" s="3">
        <v>4</v>
      </c>
      <c r="C510">
        <v>0</v>
      </c>
      <c r="D510">
        <v>6</v>
      </c>
      <c r="E510" s="29" t="s">
        <v>31</v>
      </c>
      <c r="F510" s="3">
        <v>116</v>
      </c>
      <c r="G510" s="3">
        <v>198</v>
      </c>
      <c r="H510" s="29" t="s">
        <v>52</v>
      </c>
      <c r="I510" s="3">
        <v>0</v>
      </c>
      <c r="J510" s="7">
        <v>0.37222222222222223</v>
      </c>
      <c r="K510" s="7">
        <v>0.42916666666666664</v>
      </c>
      <c r="L510" s="3">
        <f t="shared" si="15"/>
        <v>0</v>
      </c>
      <c r="M510" s="3">
        <f t="shared" si="16"/>
        <v>1</v>
      </c>
      <c r="N510" s="29">
        <f>_xlfn.MAXIFS($G$7:G509,$E$7:E509,detalhe_carro1[[#This Row],[Nó]],$B$7:B509,detalhe_carro1[[#This Row],[Numero Voltas]],$L$7:L509,1)</f>
        <v>0</v>
      </c>
      <c r="O510" s="3" t="str">
        <f>IF(OR(detalhe_carro1[[#This Row],[Ultima Chegada]]=0,detalhe_carro1[[#This Row],[Chegada]]=0),"",detalhe_carro1[[#This Row],[Hora Inicio]]-detalhe_carro1[[#This Row],[Ultima Chegada]])</f>
        <v/>
      </c>
      <c r="P510" s="3">
        <f>IF(detalhe_carro1[[#This Row],[Tipo]]="Visitar Nó",((detalhe_carro1[[#This Row],[Hora Fim]]-detalhe_carro1[[#This Row],[Hora Inicio]])/60*velocidade_nos),0)</f>
        <v>0</v>
      </c>
      <c r="Q510" s="29">
        <f>detalhe_carro1[[#This Row],[Kms Nós]]+detalhe_carro1[[#This Row],[kms]]</f>
        <v>0</v>
      </c>
    </row>
    <row r="511" spans="2:17" x14ac:dyDescent="0.25">
      <c r="B511" s="3">
        <v>4</v>
      </c>
      <c r="C511">
        <v>0</v>
      </c>
      <c r="D511">
        <v>6</v>
      </c>
      <c r="E511" s="29" t="s">
        <v>31</v>
      </c>
      <c r="F511" s="3">
        <v>201</v>
      </c>
      <c r="G511" s="3">
        <v>211</v>
      </c>
      <c r="H511" s="29" t="s">
        <v>297</v>
      </c>
      <c r="I511" s="3">
        <v>0</v>
      </c>
      <c r="J511" s="7">
        <v>0.43125000000000002</v>
      </c>
      <c r="K511" s="7">
        <v>0.43819444444444444</v>
      </c>
      <c r="L511" s="3">
        <f t="shared" si="15"/>
        <v>0</v>
      </c>
      <c r="M511" s="3">
        <f t="shared" si="16"/>
        <v>0</v>
      </c>
      <c r="N511" s="29">
        <f>_xlfn.MAXIFS($G$7:G510,$E$7:E510,detalhe_carro1[[#This Row],[Nó]],$B$7:B510,detalhe_carro1[[#This Row],[Numero Voltas]],$L$7:L510,1)</f>
        <v>0</v>
      </c>
      <c r="O511" s="3" t="str">
        <f>IF(OR(detalhe_carro1[[#This Row],[Ultima Chegada]]=0,detalhe_carro1[[#This Row],[Chegada]]=0),"",detalhe_carro1[[#This Row],[Hora Inicio]]-detalhe_carro1[[#This Row],[Ultima Chegada]])</f>
        <v/>
      </c>
      <c r="P511" s="3">
        <f>IF(detalhe_carro1[[#This Row],[Tipo]]="Visitar Nó",((detalhe_carro1[[#This Row],[Hora Fim]]-detalhe_carro1[[#This Row],[Hora Inicio]])/60*velocidade_nos),0)</f>
        <v>0</v>
      </c>
      <c r="Q511" s="29">
        <f>detalhe_carro1[[#This Row],[Kms Nós]]+detalhe_carro1[[#This Row],[kms]]</f>
        <v>0</v>
      </c>
    </row>
    <row r="512" spans="2:17" x14ac:dyDescent="0.25">
      <c r="B512" s="3">
        <v>4</v>
      </c>
      <c r="C512">
        <v>0</v>
      </c>
      <c r="D512">
        <v>6</v>
      </c>
      <c r="E512" s="29" t="s">
        <v>31</v>
      </c>
      <c r="F512" s="3">
        <v>214</v>
      </c>
      <c r="G512" s="3">
        <v>223</v>
      </c>
      <c r="H512" s="29" t="s">
        <v>50</v>
      </c>
      <c r="I512" s="3">
        <v>0</v>
      </c>
      <c r="J512" s="7">
        <v>0.44027777777777777</v>
      </c>
      <c r="K512" s="7">
        <v>0.4465277777777778</v>
      </c>
      <c r="L512" s="3">
        <f t="shared" si="15"/>
        <v>0</v>
      </c>
      <c r="M512" s="3">
        <f t="shared" si="16"/>
        <v>0</v>
      </c>
      <c r="N512" s="29">
        <f>_xlfn.MAXIFS($G$7:G511,$E$7:E511,detalhe_carro1[[#This Row],[Nó]],$B$7:B511,detalhe_carro1[[#This Row],[Numero Voltas]],$L$7:L511,1)</f>
        <v>0</v>
      </c>
      <c r="O512" s="3" t="str">
        <f>IF(OR(detalhe_carro1[[#This Row],[Ultima Chegada]]=0,detalhe_carro1[[#This Row],[Chegada]]=0),"",detalhe_carro1[[#This Row],[Hora Inicio]]-detalhe_carro1[[#This Row],[Ultima Chegada]])</f>
        <v/>
      </c>
      <c r="P512" s="3">
        <f>IF(detalhe_carro1[[#This Row],[Tipo]]="Visitar Nó",((detalhe_carro1[[#This Row],[Hora Fim]]-detalhe_carro1[[#This Row],[Hora Inicio]])/60*velocidade_nos),0)</f>
        <v>4.5</v>
      </c>
      <c r="Q512" s="29">
        <f>detalhe_carro1[[#This Row],[Kms Nós]]+detalhe_carro1[[#This Row],[kms]]</f>
        <v>4.5</v>
      </c>
    </row>
    <row r="513" spans="2:17" x14ac:dyDescent="0.25">
      <c r="B513" s="3">
        <v>4</v>
      </c>
      <c r="C513">
        <v>0</v>
      </c>
      <c r="D513">
        <v>6</v>
      </c>
      <c r="E513" s="29" t="s">
        <v>31</v>
      </c>
      <c r="F513" s="3">
        <v>226</v>
      </c>
      <c r="G513" s="3">
        <v>226</v>
      </c>
      <c r="H513" s="29" t="s">
        <v>51</v>
      </c>
      <c r="I513" s="3">
        <v>3</v>
      </c>
      <c r="J513" s="7">
        <v>0.44861111111111113</v>
      </c>
      <c r="K513" s="7">
        <v>0.44861111111111113</v>
      </c>
      <c r="L513" s="3">
        <f t="shared" si="15"/>
        <v>1</v>
      </c>
      <c r="M513" s="3">
        <f t="shared" si="16"/>
        <v>0</v>
      </c>
      <c r="N513" s="29">
        <f>_xlfn.MAXIFS($G$7:G512,$E$7:E512,detalhe_carro1[[#This Row],[Nó]],$B$7:B512,detalhe_carro1[[#This Row],[Numero Voltas]],$L$7:L512,1)</f>
        <v>0</v>
      </c>
      <c r="O513" s="3" t="str">
        <f>IF(OR(detalhe_carro1[[#This Row],[Ultima Chegada]]=0,detalhe_carro1[[#This Row],[Chegada]]=0),"",detalhe_carro1[[#This Row],[Hora Inicio]]-detalhe_carro1[[#This Row],[Ultima Chegada]])</f>
        <v/>
      </c>
      <c r="P513" s="3">
        <f>IF(detalhe_carro1[[#This Row],[Tipo]]="Visitar Nó",((detalhe_carro1[[#This Row],[Hora Fim]]-detalhe_carro1[[#This Row],[Hora Inicio]])/60*velocidade_nos),0)</f>
        <v>0</v>
      </c>
      <c r="Q513" s="29">
        <f>detalhe_carro1[[#This Row],[Kms Nós]]+detalhe_carro1[[#This Row],[kms]]</f>
        <v>3</v>
      </c>
    </row>
    <row r="514" spans="2:17" x14ac:dyDescent="0.25">
      <c r="B514" s="3">
        <v>4</v>
      </c>
      <c r="C514">
        <v>0</v>
      </c>
      <c r="D514">
        <v>5</v>
      </c>
      <c r="E514" s="29" t="s">
        <v>29</v>
      </c>
      <c r="F514" s="3">
        <v>229</v>
      </c>
      <c r="G514" s="3">
        <v>257</v>
      </c>
      <c r="H514" s="29" t="s">
        <v>50</v>
      </c>
      <c r="I514" s="3">
        <v>0</v>
      </c>
      <c r="J514" s="7">
        <v>0.45069444444444445</v>
      </c>
      <c r="K514" s="7">
        <v>0.47013888888888888</v>
      </c>
      <c r="L514" s="3">
        <f t="shared" si="15"/>
        <v>0</v>
      </c>
      <c r="M514" s="3">
        <f t="shared" si="16"/>
        <v>1</v>
      </c>
      <c r="N514" s="29">
        <f>_xlfn.MAXIFS($G$7:G513,$E$7:E513,detalhe_carro1[[#This Row],[Nó]],$B$7:B513,detalhe_carro1[[#This Row],[Numero Voltas]],$L$7:L513,1)</f>
        <v>0</v>
      </c>
      <c r="O514" s="3" t="str">
        <f>IF(OR(detalhe_carro1[[#This Row],[Ultima Chegada]]=0,detalhe_carro1[[#This Row],[Chegada]]=0),"",detalhe_carro1[[#This Row],[Hora Inicio]]-detalhe_carro1[[#This Row],[Ultima Chegada]])</f>
        <v/>
      </c>
      <c r="P514" s="3">
        <f>IF(detalhe_carro1[[#This Row],[Tipo]]="Visitar Nó",((detalhe_carro1[[#This Row],[Hora Fim]]-detalhe_carro1[[#This Row],[Hora Inicio]])/60*velocidade_nos),0)</f>
        <v>14</v>
      </c>
      <c r="Q514" s="29">
        <f>detalhe_carro1[[#This Row],[Kms Nós]]+detalhe_carro1[[#This Row],[kms]]</f>
        <v>14</v>
      </c>
    </row>
    <row r="515" spans="2:17" x14ac:dyDescent="0.25">
      <c r="B515" s="3">
        <v>4</v>
      </c>
      <c r="C515">
        <v>0</v>
      </c>
      <c r="D515">
        <v>5</v>
      </c>
      <c r="E515" s="29" t="s">
        <v>29</v>
      </c>
      <c r="F515" s="3">
        <v>260</v>
      </c>
      <c r="G515" s="3">
        <v>260</v>
      </c>
      <c r="H515" s="29" t="s">
        <v>51</v>
      </c>
      <c r="I515" s="3">
        <v>3</v>
      </c>
      <c r="J515" s="7">
        <v>0.47222222222222221</v>
      </c>
      <c r="K515" s="7">
        <v>0.47222222222222221</v>
      </c>
      <c r="L515" s="3">
        <f t="shared" si="15"/>
        <v>1</v>
      </c>
      <c r="M515" s="3">
        <f t="shared" si="16"/>
        <v>0</v>
      </c>
      <c r="N515" s="29">
        <f>_xlfn.MAXIFS($G$7:G514,$E$7:E514,detalhe_carro1[[#This Row],[Nó]],$B$7:B514,detalhe_carro1[[#This Row],[Numero Voltas]],$L$7:L514,1)</f>
        <v>0</v>
      </c>
      <c r="O515" s="3" t="str">
        <f>IF(OR(detalhe_carro1[[#This Row],[Ultima Chegada]]=0,detalhe_carro1[[#This Row],[Chegada]]=0),"",detalhe_carro1[[#This Row],[Hora Inicio]]-detalhe_carro1[[#This Row],[Ultima Chegada]])</f>
        <v/>
      </c>
      <c r="P515" s="3">
        <f>IF(detalhe_carro1[[#This Row],[Tipo]]="Visitar Nó",((detalhe_carro1[[#This Row],[Hora Fim]]-detalhe_carro1[[#This Row],[Hora Inicio]])/60*velocidade_nos),0)</f>
        <v>0</v>
      </c>
      <c r="Q515" s="29">
        <f>detalhe_carro1[[#This Row],[Kms Nós]]+detalhe_carro1[[#This Row],[kms]]</f>
        <v>3</v>
      </c>
    </row>
    <row r="516" spans="2:17" x14ac:dyDescent="0.25">
      <c r="B516" s="3">
        <v>4</v>
      </c>
      <c r="C516">
        <v>0</v>
      </c>
      <c r="D516">
        <v>4</v>
      </c>
      <c r="E516" s="29" t="s">
        <v>27</v>
      </c>
      <c r="F516" s="3">
        <v>263</v>
      </c>
      <c r="G516" s="3">
        <v>276</v>
      </c>
      <c r="H516" s="29" t="s">
        <v>50</v>
      </c>
      <c r="I516" s="3">
        <v>0</v>
      </c>
      <c r="J516" s="7">
        <v>0.47430555555555554</v>
      </c>
      <c r="K516" s="7">
        <v>0.48333333333333334</v>
      </c>
      <c r="L516" s="3">
        <f t="shared" si="15"/>
        <v>0</v>
      </c>
      <c r="M516" s="3">
        <f t="shared" si="16"/>
        <v>1</v>
      </c>
      <c r="N516" s="29">
        <f>_xlfn.MAXIFS($G$7:G515,$E$7:E515,detalhe_carro1[[#This Row],[Nó]],$B$7:B515,detalhe_carro1[[#This Row],[Numero Voltas]],$L$7:L515,1)</f>
        <v>0</v>
      </c>
      <c r="O516" s="3" t="str">
        <f>IF(OR(detalhe_carro1[[#This Row],[Ultima Chegada]]=0,detalhe_carro1[[#This Row],[Chegada]]=0),"",detalhe_carro1[[#This Row],[Hora Inicio]]-detalhe_carro1[[#This Row],[Ultima Chegada]])</f>
        <v/>
      </c>
      <c r="P516" s="3">
        <f>IF(detalhe_carro1[[#This Row],[Tipo]]="Visitar Nó",((detalhe_carro1[[#This Row],[Hora Fim]]-detalhe_carro1[[#This Row],[Hora Inicio]])/60*velocidade_nos),0)</f>
        <v>6.5</v>
      </c>
      <c r="Q516" s="29">
        <f>detalhe_carro1[[#This Row],[Kms Nós]]+detalhe_carro1[[#This Row],[kms]]</f>
        <v>6.5</v>
      </c>
    </row>
    <row r="517" spans="2:17" x14ac:dyDescent="0.25">
      <c r="B517" s="3">
        <v>4</v>
      </c>
      <c r="C517">
        <v>0</v>
      </c>
      <c r="D517">
        <v>4</v>
      </c>
      <c r="E517" s="29" t="s">
        <v>27</v>
      </c>
      <c r="F517" s="3">
        <v>279</v>
      </c>
      <c r="G517" s="3">
        <v>279</v>
      </c>
      <c r="H517" s="29" t="s">
        <v>51</v>
      </c>
      <c r="I517" s="3">
        <v>3</v>
      </c>
      <c r="J517" s="7">
        <v>0.48541666666666666</v>
      </c>
      <c r="K517" s="7">
        <v>0.48541666666666666</v>
      </c>
      <c r="L517" s="3">
        <f t="shared" si="15"/>
        <v>1</v>
      </c>
      <c r="M517" s="3">
        <f t="shared" si="16"/>
        <v>0</v>
      </c>
      <c r="N517" s="29">
        <f>_xlfn.MAXIFS($G$7:G516,$E$7:E516,detalhe_carro1[[#This Row],[Nó]],$B$7:B516,detalhe_carro1[[#This Row],[Numero Voltas]],$L$7:L516,1)</f>
        <v>0</v>
      </c>
      <c r="O517" s="3" t="str">
        <f>IF(OR(detalhe_carro1[[#This Row],[Ultima Chegada]]=0,detalhe_carro1[[#This Row],[Chegada]]=0),"",detalhe_carro1[[#This Row],[Hora Inicio]]-detalhe_carro1[[#This Row],[Ultima Chegada]])</f>
        <v/>
      </c>
      <c r="P517" s="3">
        <f>IF(detalhe_carro1[[#This Row],[Tipo]]="Visitar Nó",((detalhe_carro1[[#This Row],[Hora Fim]]-detalhe_carro1[[#This Row],[Hora Inicio]])/60*velocidade_nos),0)</f>
        <v>0</v>
      </c>
      <c r="Q517" s="29">
        <f>detalhe_carro1[[#This Row],[Kms Nós]]+detalhe_carro1[[#This Row],[kms]]</f>
        <v>3</v>
      </c>
    </row>
    <row r="518" spans="2:17" x14ac:dyDescent="0.25">
      <c r="B518" s="3">
        <v>4</v>
      </c>
      <c r="C518">
        <v>0</v>
      </c>
      <c r="D518">
        <v>3</v>
      </c>
      <c r="E518" s="29" t="s">
        <v>26</v>
      </c>
      <c r="F518" s="3">
        <v>280</v>
      </c>
      <c r="G518" s="3">
        <v>290</v>
      </c>
      <c r="H518" s="29" t="s">
        <v>50</v>
      </c>
      <c r="I518" s="3">
        <v>0</v>
      </c>
      <c r="J518" s="7">
        <v>0.4861111111111111</v>
      </c>
      <c r="K518" s="7">
        <v>0.49305555555555558</v>
      </c>
      <c r="L518" s="3">
        <f t="shared" si="15"/>
        <v>0</v>
      </c>
      <c r="M518" s="3">
        <f t="shared" si="16"/>
        <v>1</v>
      </c>
      <c r="N518" s="29">
        <f>_xlfn.MAXIFS($G$7:G517,$E$7:E517,detalhe_carro1[[#This Row],[Nó]],$B$7:B517,detalhe_carro1[[#This Row],[Numero Voltas]],$L$7:L517,1)</f>
        <v>0</v>
      </c>
      <c r="O518" s="3" t="str">
        <f>IF(OR(detalhe_carro1[[#This Row],[Ultima Chegada]]=0,detalhe_carro1[[#This Row],[Chegada]]=0),"",detalhe_carro1[[#This Row],[Hora Inicio]]-detalhe_carro1[[#This Row],[Ultima Chegada]])</f>
        <v/>
      </c>
      <c r="P518" s="3">
        <f>IF(detalhe_carro1[[#This Row],[Tipo]]="Visitar Nó",((detalhe_carro1[[#This Row],[Hora Fim]]-detalhe_carro1[[#This Row],[Hora Inicio]])/60*velocidade_nos),0)</f>
        <v>5</v>
      </c>
      <c r="Q518" s="29">
        <f>detalhe_carro1[[#This Row],[Kms Nós]]+detalhe_carro1[[#This Row],[kms]]</f>
        <v>5</v>
      </c>
    </row>
    <row r="519" spans="2:17" x14ac:dyDescent="0.25">
      <c r="B519" s="3">
        <v>4</v>
      </c>
      <c r="C519">
        <v>0</v>
      </c>
      <c r="D519">
        <v>3</v>
      </c>
      <c r="E519" s="29" t="s">
        <v>26</v>
      </c>
      <c r="F519" s="3">
        <v>291</v>
      </c>
      <c r="G519" s="3">
        <v>291</v>
      </c>
      <c r="H519" s="29" t="s">
        <v>51</v>
      </c>
      <c r="I519" s="3">
        <v>1</v>
      </c>
      <c r="J519" s="7">
        <v>0.49375000000000002</v>
      </c>
      <c r="K519" s="7">
        <v>0.49375000000000002</v>
      </c>
      <c r="L519" s="3">
        <f t="shared" ref="L519:L582" si="17">IF(E519&lt;&gt;E520,1,0)</f>
        <v>1</v>
      </c>
      <c r="M519" s="3">
        <f t="shared" ref="M519:M582" si="18">IF(E519&lt;&gt;E518,1,0)</f>
        <v>0</v>
      </c>
      <c r="N519" s="29">
        <f>_xlfn.MAXIFS($G$7:G518,$E$7:E518,detalhe_carro1[[#This Row],[Nó]],$B$7:B518,detalhe_carro1[[#This Row],[Numero Voltas]],$L$7:L518,1)</f>
        <v>0</v>
      </c>
      <c r="O519" s="3" t="str">
        <f>IF(OR(detalhe_carro1[[#This Row],[Ultima Chegada]]=0,detalhe_carro1[[#This Row],[Chegada]]=0),"",detalhe_carro1[[#This Row],[Hora Inicio]]-detalhe_carro1[[#This Row],[Ultima Chegada]])</f>
        <v/>
      </c>
      <c r="P519" s="3">
        <f>IF(detalhe_carro1[[#This Row],[Tipo]]="Visitar Nó",((detalhe_carro1[[#This Row],[Hora Fim]]-detalhe_carro1[[#This Row],[Hora Inicio]])/60*velocidade_nos),0)</f>
        <v>0</v>
      </c>
      <c r="Q519" s="29">
        <f>detalhe_carro1[[#This Row],[Kms Nós]]+detalhe_carro1[[#This Row],[kms]]</f>
        <v>1</v>
      </c>
    </row>
    <row r="520" spans="2:17" x14ac:dyDescent="0.25">
      <c r="B520" s="3">
        <v>4</v>
      </c>
      <c r="C520">
        <v>0</v>
      </c>
      <c r="D520">
        <v>2</v>
      </c>
      <c r="E520" s="29" t="s">
        <v>24</v>
      </c>
      <c r="F520" s="3">
        <v>292</v>
      </c>
      <c r="G520" s="3">
        <v>306</v>
      </c>
      <c r="H520" s="29" t="s">
        <v>50</v>
      </c>
      <c r="I520" s="3">
        <v>0</v>
      </c>
      <c r="J520" s="7">
        <v>0.49444444444444446</v>
      </c>
      <c r="K520" s="7">
        <v>0.50416666666666665</v>
      </c>
      <c r="L520" s="3">
        <f t="shared" si="17"/>
        <v>0</v>
      </c>
      <c r="M520" s="3">
        <f t="shared" si="18"/>
        <v>1</v>
      </c>
      <c r="N520" s="29">
        <f>_xlfn.MAXIFS($G$7:G519,$E$7:E519,detalhe_carro1[[#This Row],[Nó]],$B$7:B519,detalhe_carro1[[#This Row],[Numero Voltas]],$L$7:L519,1)</f>
        <v>0</v>
      </c>
      <c r="O520" s="3" t="str">
        <f>IF(OR(detalhe_carro1[[#This Row],[Ultima Chegada]]=0,detalhe_carro1[[#This Row],[Chegada]]=0),"",detalhe_carro1[[#This Row],[Hora Inicio]]-detalhe_carro1[[#This Row],[Ultima Chegada]])</f>
        <v/>
      </c>
      <c r="P520" s="3">
        <f>IF(detalhe_carro1[[#This Row],[Tipo]]="Visitar Nó",((detalhe_carro1[[#This Row],[Hora Fim]]-detalhe_carro1[[#This Row],[Hora Inicio]])/60*velocidade_nos),0)</f>
        <v>7</v>
      </c>
      <c r="Q520" s="29">
        <f>detalhe_carro1[[#This Row],[Kms Nós]]+detalhe_carro1[[#This Row],[kms]]</f>
        <v>7</v>
      </c>
    </row>
    <row r="521" spans="2:17" x14ac:dyDescent="0.25">
      <c r="B521" s="3">
        <v>4</v>
      </c>
      <c r="C521">
        <v>0</v>
      </c>
      <c r="D521">
        <v>2</v>
      </c>
      <c r="E521" s="29" t="s">
        <v>24</v>
      </c>
      <c r="F521" s="3">
        <v>307</v>
      </c>
      <c r="G521" s="3">
        <v>307</v>
      </c>
      <c r="H521" s="29" t="s">
        <v>51</v>
      </c>
      <c r="I521" s="3">
        <v>1</v>
      </c>
      <c r="J521" s="7">
        <v>0.50486111111111109</v>
      </c>
      <c r="K521" s="7">
        <v>0.50486111111111109</v>
      </c>
      <c r="L521" s="3">
        <f t="shared" si="17"/>
        <v>1</v>
      </c>
      <c r="M521" s="3">
        <f t="shared" si="18"/>
        <v>0</v>
      </c>
      <c r="N521" s="29">
        <f>_xlfn.MAXIFS($G$7:G520,$E$7:E520,detalhe_carro1[[#This Row],[Nó]],$B$7:B520,detalhe_carro1[[#This Row],[Numero Voltas]],$L$7:L520,1)</f>
        <v>0</v>
      </c>
      <c r="O521" s="3" t="str">
        <f>IF(OR(detalhe_carro1[[#This Row],[Ultima Chegada]]=0,detalhe_carro1[[#This Row],[Chegada]]=0),"",detalhe_carro1[[#This Row],[Hora Inicio]]-detalhe_carro1[[#This Row],[Ultima Chegada]])</f>
        <v/>
      </c>
      <c r="P521" s="3">
        <f>IF(detalhe_carro1[[#This Row],[Tipo]]="Visitar Nó",((detalhe_carro1[[#This Row],[Hora Fim]]-detalhe_carro1[[#This Row],[Hora Inicio]])/60*velocidade_nos),0)</f>
        <v>0</v>
      </c>
      <c r="Q521" s="29">
        <f>detalhe_carro1[[#This Row],[Kms Nós]]+detalhe_carro1[[#This Row],[kms]]</f>
        <v>1</v>
      </c>
    </row>
    <row r="522" spans="2:17" x14ac:dyDescent="0.25">
      <c r="B522" s="3">
        <v>4</v>
      </c>
      <c r="C522">
        <v>0</v>
      </c>
      <c r="D522">
        <v>1</v>
      </c>
      <c r="E522" s="29" t="s">
        <v>22</v>
      </c>
      <c r="F522" s="3">
        <v>314</v>
      </c>
      <c r="G522" s="3">
        <v>319</v>
      </c>
      <c r="H522" s="29" t="s">
        <v>50</v>
      </c>
      <c r="I522" s="3">
        <v>0</v>
      </c>
      <c r="J522" s="7">
        <v>0.50972222222222219</v>
      </c>
      <c r="K522" s="7">
        <v>0.5131944444444444</v>
      </c>
      <c r="L522" s="3">
        <f t="shared" si="17"/>
        <v>0</v>
      </c>
      <c r="M522" s="3">
        <f t="shared" si="18"/>
        <v>1</v>
      </c>
      <c r="N522" s="29">
        <f>_xlfn.MAXIFS($G$7:G521,$E$7:E521,detalhe_carro1[[#This Row],[Nó]],$B$7:B521,detalhe_carro1[[#This Row],[Numero Voltas]],$L$7:L521,1)</f>
        <v>0</v>
      </c>
      <c r="O522" s="3" t="str">
        <f>IF(OR(detalhe_carro1[[#This Row],[Ultima Chegada]]=0,detalhe_carro1[[#This Row],[Chegada]]=0),"",detalhe_carro1[[#This Row],[Hora Inicio]]-detalhe_carro1[[#This Row],[Ultima Chegada]])</f>
        <v/>
      </c>
      <c r="P522" s="3">
        <f>IF(detalhe_carro1[[#This Row],[Tipo]]="Visitar Nó",((detalhe_carro1[[#This Row],[Hora Fim]]-detalhe_carro1[[#This Row],[Hora Inicio]])/60*velocidade_nos),0)</f>
        <v>2.5</v>
      </c>
      <c r="Q522" s="29">
        <f>detalhe_carro1[[#This Row],[Kms Nós]]+detalhe_carro1[[#This Row],[kms]]</f>
        <v>2.5</v>
      </c>
    </row>
    <row r="523" spans="2:17" x14ac:dyDescent="0.25">
      <c r="B523" s="3">
        <v>4</v>
      </c>
      <c r="C523">
        <v>0</v>
      </c>
      <c r="D523">
        <v>1</v>
      </c>
      <c r="E523" s="29" t="s">
        <v>22</v>
      </c>
      <c r="F523" s="3">
        <v>326</v>
      </c>
      <c r="G523" s="3">
        <v>326</v>
      </c>
      <c r="H523" s="29" t="s">
        <v>51</v>
      </c>
      <c r="I523" s="3">
        <v>7</v>
      </c>
      <c r="J523" s="7">
        <v>0.5180555555555556</v>
      </c>
      <c r="K523" s="7">
        <v>0.5180555555555556</v>
      </c>
      <c r="L523" s="3">
        <f t="shared" si="17"/>
        <v>1</v>
      </c>
      <c r="M523" s="3">
        <f t="shared" si="18"/>
        <v>0</v>
      </c>
      <c r="N523" s="29">
        <f>_xlfn.MAXIFS($G$7:G522,$E$7:E522,detalhe_carro1[[#This Row],[Nó]],$B$7:B522,detalhe_carro1[[#This Row],[Numero Voltas]],$L$7:L522,1)</f>
        <v>0</v>
      </c>
      <c r="O523" s="3" t="str">
        <f>IF(OR(detalhe_carro1[[#This Row],[Ultima Chegada]]=0,detalhe_carro1[[#This Row],[Chegada]]=0),"",detalhe_carro1[[#This Row],[Hora Inicio]]-detalhe_carro1[[#This Row],[Ultima Chegada]])</f>
        <v/>
      </c>
      <c r="P523" s="3">
        <f>IF(detalhe_carro1[[#This Row],[Tipo]]="Visitar Nó",((detalhe_carro1[[#This Row],[Hora Fim]]-detalhe_carro1[[#This Row],[Hora Inicio]])/60*velocidade_nos),0)</f>
        <v>0</v>
      </c>
      <c r="Q523" s="29">
        <f>detalhe_carro1[[#This Row],[Kms Nós]]+detalhe_carro1[[#This Row],[kms]]</f>
        <v>7</v>
      </c>
    </row>
    <row r="524" spans="2:17" x14ac:dyDescent="0.25">
      <c r="B524" s="3">
        <v>4</v>
      </c>
      <c r="C524">
        <v>0</v>
      </c>
      <c r="D524">
        <v>0</v>
      </c>
      <c r="E524" s="29" t="s">
        <v>20</v>
      </c>
      <c r="F524" s="3">
        <v>327</v>
      </c>
      <c r="G524" s="3">
        <v>327</v>
      </c>
      <c r="H524" s="29" t="s">
        <v>51</v>
      </c>
      <c r="I524" s="3">
        <v>1</v>
      </c>
      <c r="J524" s="7">
        <v>0.51875000000000004</v>
      </c>
      <c r="K524" s="7">
        <v>0.51875000000000004</v>
      </c>
      <c r="L524" s="3">
        <f t="shared" si="17"/>
        <v>0</v>
      </c>
      <c r="M524" s="3">
        <f t="shared" si="18"/>
        <v>1</v>
      </c>
      <c r="N524" s="29">
        <f>_xlfn.MAXIFS($G$7:G523,$E$7:E523,detalhe_carro1[[#This Row],[Nó]],$B$7:B523,detalhe_carro1[[#This Row],[Numero Voltas]],$L$7:L523,1)</f>
        <v>0</v>
      </c>
      <c r="O524" s="3" t="str">
        <f>IF(OR(detalhe_carro1[[#This Row],[Ultima Chegada]]=0,detalhe_carro1[[#This Row],[Chegada]]=0),"",detalhe_carro1[[#This Row],[Hora Inicio]]-detalhe_carro1[[#This Row],[Ultima Chegada]])</f>
        <v/>
      </c>
      <c r="P524" s="3">
        <f>IF(detalhe_carro1[[#This Row],[Tipo]]="Visitar Nó",((detalhe_carro1[[#This Row],[Hora Fim]]-detalhe_carro1[[#This Row],[Hora Inicio]])/60*velocidade_nos),0)</f>
        <v>0</v>
      </c>
      <c r="Q524" s="29">
        <f>detalhe_carro1[[#This Row],[Kms Nós]]+detalhe_carro1[[#This Row],[kms]]</f>
        <v>1</v>
      </c>
    </row>
    <row r="525" spans="2:17" x14ac:dyDescent="0.25">
      <c r="B525" s="3">
        <v>4</v>
      </c>
      <c r="C525">
        <v>0</v>
      </c>
      <c r="D525">
        <v>0</v>
      </c>
      <c r="E525" s="29" t="s">
        <v>20</v>
      </c>
      <c r="F525" s="3">
        <v>327</v>
      </c>
      <c r="G525" s="3">
        <v>342</v>
      </c>
      <c r="H525" s="29" t="s">
        <v>50</v>
      </c>
      <c r="I525" s="3">
        <v>0</v>
      </c>
      <c r="J525" s="7">
        <v>0.51875000000000004</v>
      </c>
      <c r="K525" s="7">
        <v>0.52916666666666667</v>
      </c>
      <c r="L525" s="3">
        <f t="shared" si="17"/>
        <v>0</v>
      </c>
      <c r="M525" s="3">
        <f t="shared" si="18"/>
        <v>0</v>
      </c>
      <c r="N525" s="29">
        <f>_xlfn.MAXIFS($G$7:G524,$E$7:E524,detalhe_carro1[[#This Row],[Nó]],$B$7:B524,detalhe_carro1[[#This Row],[Numero Voltas]],$L$7:L524,1)</f>
        <v>0</v>
      </c>
      <c r="O525" s="3" t="str">
        <f>IF(OR(detalhe_carro1[[#This Row],[Ultima Chegada]]=0,detalhe_carro1[[#This Row],[Chegada]]=0),"",detalhe_carro1[[#This Row],[Hora Inicio]]-detalhe_carro1[[#This Row],[Ultima Chegada]])</f>
        <v/>
      </c>
      <c r="P525" s="3">
        <f>IF(detalhe_carro1[[#This Row],[Tipo]]="Visitar Nó",((detalhe_carro1[[#This Row],[Hora Fim]]-detalhe_carro1[[#This Row],[Hora Inicio]])/60*velocidade_nos),0)</f>
        <v>7.5</v>
      </c>
      <c r="Q525" s="29">
        <f>detalhe_carro1[[#This Row],[Kms Nós]]+detalhe_carro1[[#This Row],[kms]]</f>
        <v>7.5</v>
      </c>
    </row>
    <row r="526" spans="2:17" x14ac:dyDescent="0.25">
      <c r="B526" s="3">
        <v>4</v>
      </c>
      <c r="C526">
        <v>0</v>
      </c>
      <c r="D526">
        <v>0</v>
      </c>
      <c r="E526" s="29" t="s">
        <v>20</v>
      </c>
      <c r="F526" s="3">
        <v>342</v>
      </c>
      <c r="G526" s="3">
        <v>342</v>
      </c>
      <c r="H526" s="29" t="s">
        <v>51</v>
      </c>
      <c r="I526" s="3">
        <v>1</v>
      </c>
      <c r="J526" s="7">
        <v>0.52916666666666667</v>
      </c>
      <c r="K526" s="7">
        <v>0.52916666666666667</v>
      </c>
      <c r="L526" s="3">
        <f t="shared" si="17"/>
        <v>1</v>
      </c>
      <c r="M526" s="3">
        <f t="shared" si="18"/>
        <v>0</v>
      </c>
      <c r="N526" s="29">
        <f>_xlfn.MAXIFS($G$7:G525,$E$7:E525,detalhe_carro1[[#This Row],[Nó]],$B$7:B525,detalhe_carro1[[#This Row],[Numero Voltas]],$L$7:L525,1)</f>
        <v>0</v>
      </c>
      <c r="O526" s="3" t="str">
        <f>IF(OR(detalhe_carro1[[#This Row],[Ultima Chegada]]=0,detalhe_carro1[[#This Row],[Chegada]]=0),"",detalhe_carro1[[#This Row],[Hora Inicio]]-detalhe_carro1[[#This Row],[Ultima Chegada]])</f>
        <v/>
      </c>
      <c r="P526" s="3">
        <f>IF(detalhe_carro1[[#This Row],[Tipo]]="Visitar Nó",((detalhe_carro1[[#This Row],[Hora Fim]]-detalhe_carro1[[#This Row],[Hora Inicio]])/60*velocidade_nos),0)</f>
        <v>0</v>
      </c>
      <c r="Q526" s="29">
        <f>detalhe_carro1[[#This Row],[Kms Nós]]+detalhe_carro1[[#This Row],[kms]]</f>
        <v>1</v>
      </c>
    </row>
    <row r="527" spans="2:17" x14ac:dyDescent="0.25">
      <c r="B527" s="3">
        <v>4</v>
      </c>
      <c r="C527">
        <v>0</v>
      </c>
      <c r="D527">
        <v>1</v>
      </c>
      <c r="E527" s="29" t="s">
        <v>22</v>
      </c>
      <c r="F527" s="3">
        <v>343</v>
      </c>
      <c r="G527" s="3">
        <v>348</v>
      </c>
      <c r="H527" s="29" t="s">
        <v>50</v>
      </c>
      <c r="I527" s="3">
        <v>0</v>
      </c>
      <c r="J527" s="7">
        <v>0.52986111111111112</v>
      </c>
      <c r="K527" s="7">
        <v>0.53333333333333333</v>
      </c>
      <c r="L527" s="3">
        <f t="shared" si="17"/>
        <v>0</v>
      </c>
      <c r="M527" s="3">
        <f t="shared" si="18"/>
        <v>1</v>
      </c>
      <c r="N527" s="29">
        <f>_xlfn.MAXIFS($G$7:G526,$E$7:E526,detalhe_carro1[[#This Row],[Nó]],$B$7:B526,detalhe_carro1[[#This Row],[Numero Voltas]],$L$7:L526,1)</f>
        <v>326</v>
      </c>
      <c r="O527" s="3">
        <f>IF(OR(detalhe_carro1[[#This Row],[Ultima Chegada]]=0,detalhe_carro1[[#This Row],[Chegada]]=0),"",detalhe_carro1[[#This Row],[Hora Inicio]]-detalhe_carro1[[#This Row],[Ultima Chegada]])</f>
        <v>17</v>
      </c>
      <c r="P527" s="3">
        <f>IF(detalhe_carro1[[#This Row],[Tipo]]="Visitar Nó",((detalhe_carro1[[#This Row],[Hora Fim]]-detalhe_carro1[[#This Row],[Hora Inicio]])/60*velocidade_nos),0)</f>
        <v>2.5</v>
      </c>
      <c r="Q527" s="29">
        <f>detalhe_carro1[[#This Row],[Kms Nós]]+detalhe_carro1[[#This Row],[kms]]</f>
        <v>2.5</v>
      </c>
    </row>
    <row r="528" spans="2:17" x14ac:dyDescent="0.25">
      <c r="B528" s="3">
        <v>4</v>
      </c>
      <c r="C528">
        <v>0</v>
      </c>
      <c r="D528">
        <v>1</v>
      </c>
      <c r="E528" s="29" t="s">
        <v>22</v>
      </c>
      <c r="F528" s="3">
        <v>349</v>
      </c>
      <c r="G528" s="3">
        <v>349</v>
      </c>
      <c r="H528" s="29" t="s">
        <v>51</v>
      </c>
      <c r="I528" s="3">
        <v>1</v>
      </c>
      <c r="J528" s="7">
        <v>0.53402777777777777</v>
      </c>
      <c r="K528" s="7">
        <v>0.53402777777777777</v>
      </c>
      <c r="L528" s="3">
        <f t="shared" si="17"/>
        <v>1</v>
      </c>
      <c r="M528" s="3">
        <f t="shared" si="18"/>
        <v>0</v>
      </c>
      <c r="N528" s="29">
        <f>_xlfn.MAXIFS($G$7:G527,$E$7:E527,detalhe_carro1[[#This Row],[Nó]],$B$7:B527,detalhe_carro1[[#This Row],[Numero Voltas]],$L$7:L527,1)</f>
        <v>326</v>
      </c>
      <c r="O528" s="3" t="str">
        <f>IF(OR(detalhe_carro1[[#This Row],[Ultima Chegada]]=0,detalhe_carro1[[#This Row],[Chegada]]=0),"",detalhe_carro1[[#This Row],[Hora Inicio]]-detalhe_carro1[[#This Row],[Ultima Chegada]])</f>
        <v/>
      </c>
      <c r="P528" s="3">
        <f>IF(detalhe_carro1[[#This Row],[Tipo]]="Visitar Nó",((detalhe_carro1[[#This Row],[Hora Fim]]-detalhe_carro1[[#This Row],[Hora Inicio]])/60*velocidade_nos),0)</f>
        <v>0</v>
      </c>
      <c r="Q528" s="29">
        <f>detalhe_carro1[[#This Row],[Kms Nós]]+detalhe_carro1[[#This Row],[kms]]</f>
        <v>1</v>
      </c>
    </row>
    <row r="529" spans="2:17" x14ac:dyDescent="0.25">
      <c r="B529" s="3">
        <v>4</v>
      </c>
      <c r="C529">
        <v>0</v>
      </c>
      <c r="D529">
        <v>2</v>
      </c>
      <c r="E529" s="29" t="s">
        <v>24</v>
      </c>
      <c r="F529" s="3">
        <v>356</v>
      </c>
      <c r="G529" s="3">
        <v>370</v>
      </c>
      <c r="H529" s="29" t="s">
        <v>50</v>
      </c>
      <c r="I529" s="3">
        <v>0</v>
      </c>
      <c r="J529" s="7">
        <v>0.53888888888888886</v>
      </c>
      <c r="K529" s="7">
        <v>0.54861111111111116</v>
      </c>
      <c r="L529" s="3">
        <f t="shared" si="17"/>
        <v>0</v>
      </c>
      <c r="M529" s="3">
        <f t="shared" si="18"/>
        <v>1</v>
      </c>
      <c r="N529" s="29">
        <f>_xlfn.MAXIFS($G$7:G528,$E$7:E528,detalhe_carro1[[#This Row],[Nó]],$B$7:B528,detalhe_carro1[[#This Row],[Numero Voltas]],$L$7:L528,1)</f>
        <v>307</v>
      </c>
      <c r="O529" s="3">
        <f>IF(OR(detalhe_carro1[[#This Row],[Ultima Chegada]]=0,detalhe_carro1[[#This Row],[Chegada]]=0),"",detalhe_carro1[[#This Row],[Hora Inicio]]-detalhe_carro1[[#This Row],[Ultima Chegada]])</f>
        <v>49</v>
      </c>
      <c r="P529" s="3">
        <f>IF(detalhe_carro1[[#This Row],[Tipo]]="Visitar Nó",((detalhe_carro1[[#This Row],[Hora Fim]]-detalhe_carro1[[#This Row],[Hora Inicio]])/60*velocidade_nos),0)</f>
        <v>7</v>
      </c>
      <c r="Q529" s="29">
        <f>detalhe_carro1[[#This Row],[Kms Nós]]+detalhe_carro1[[#This Row],[kms]]</f>
        <v>7</v>
      </c>
    </row>
    <row r="530" spans="2:17" x14ac:dyDescent="0.25">
      <c r="B530" s="3">
        <v>4</v>
      </c>
      <c r="C530">
        <v>0</v>
      </c>
      <c r="D530">
        <v>2</v>
      </c>
      <c r="E530" s="29" t="s">
        <v>24</v>
      </c>
      <c r="F530" s="3">
        <v>377</v>
      </c>
      <c r="G530" s="3">
        <v>377</v>
      </c>
      <c r="H530" s="29" t="s">
        <v>51</v>
      </c>
      <c r="I530" s="3">
        <v>7</v>
      </c>
      <c r="J530" s="7">
        <v>0.55347222222222225</v>
      </c>
      <c r="K530" s="7">
        <v>0.55347222222222225</v>
      </c>
      <c r="L530" s="3">
        <f t="shared" si="17"/>
        <v>1</v>
      </c>
      <c r="M530" s="3">
        <f t="shared" si="18"/>
        <v>0</v>
      </c>
      <c r="N530" s="29">
        <f>_xlfn.MAXIFS($G$7:G529,$E$7:E529,detalhe_carro1[[#This Row],[Nó]],$B$7:B529,detalhe_carro1[[#This Row],[Numero Voltas]],$L$7:L529,1)</f>
        <v>307</v>
      </c>
      <c r="O530" s="3" t="str">
        <f>IF(OR(detalhe_carro1[[#This Row],[Ultima Chegada]]=0,detalhe_carro1[[#This Row],[Chegada]]=0),"",detalhe_carro1[[#This Row],[Hora Inicio]]-detalhe_carro1[[#This Row],[Ultima Chegada]])</f>
        <v/>
      </c>
      <c r="P530" s="3">
        <f>IF(detalhe_carro1[[#This Row],[Tipo]]="Visitar Nó",((detalhe_carro1[[#This Row],[Hora Fim]]-detalhe_carro1[[#This Row],[Hora Inicio]])/60*velocidade_nos),0)</f>
        <v>0</v>
      </c>
      <c r="Q530" s="29">
        <f>detalhe_carro1[[#This Row],[Kms Nós]]+detalhe_carro1[[#This Row],[kms]]</f>
        <v>7</v>
      </c>
    </row>
    <row r="531" spans="2:17" x14ac:dyDescent="0.25">
      <c r="B531" s="3">
        <v>4</v>
      </c>
      <c r="C531">
        <v>0</v>
      </c>
      <c r="D531">
        <v>3</v>
      </c>
      <c r="E531" s="29" t="s">
        <v>26</v>
      </c>
      <c r="F531" s="3">
        <v>378</v>
      </c>
      <c r="G531" s="3">
        <v>388</v>
      </c>
      <c r="H531" s="29" t="s">
        <v>50</v>
      </c>
      <c r="I531" s="3">
        <v>0</v>
      </c>
      <c r="J531" s="7">
        <v>0.5541666666666667</v>
      </c>
      <c r="K531" s="7">
        <v>0.56111111111111112</v>
      </c>
      <c r="L531" s="3">
        <f t="shared" si="17"/>
        <v>0</v>
      </c>
      <c r="M531" s="3">
        <f t="shared" si="18"/>
        <v>1</v>
      </c>
      <c r="N531" s="29">
        <f>_xlfn.MAXIFS($G$7:G530,$E$7:E530,detalhe_carro1[[#This Row],[Nó]],$B$7:B530,detalhe_carro1[[#This Row],[Numero Voltas]],$L$7:L530,1)</f>
        <v>291</v>
      </c>
      <c r="O531" s="3">
        <f>IF(OR(detalhe_carro1[[#This Row],[Ultima Chegada]]=0,detalhe_carro1[[#This Row],[Chegada]]=0),"",detalhe_carro1[[#This Row],[Hora Inicio]]-detalhe_carro1[[#This Row],[Ultima Chegada]])</f>
        <v>87</v>
      </c>
      <c r="P531" s="3">
        <f>IF(detalhe_carro1[[#This Row],[Tipo]]="Visitar Nó",((detalhe_carro1[[#This Row],[Hora Fim]]-detalhe_carro1[[#This Row],[Hora Inicio]])/60*velocidade_nos),0)</f>
        <v>5</v>
      </c>
      <c r="Q531" s="29">
        <f>detalhe_carro1[[#This Row],[Kms Nós]]+detalhe_carro1[[#This Row],[kms]]</f>
        <v>5</v>
      </c>
    </row>
    <row r="532" spans="2:17" x14ac:dyDescent="0.25">
      <c r="B532" s="3">
        <v>4</v>
      </c>
      <c r="C532">
        <v>0</v>
      </c>
      <c r="D532">
        <v>3</v>
      </c>
      <c r="E532" s="29" t="s">
        <v>26</v>
      </c>
      <c r="F532" s="3">
        <v>389</v>
      </c>
      <c r="G532" s="3">
        <v>389</v>
      </c>
      <c r="H532" s="29" t="s">
        <v>51</v>
      </c>
      <c r="I532" s="3">
        <v>1</v>
      </c>
      <c r="J532" s="7">
        <v>0.56180555555555556</v>
      </c>
      <c r="K532" s="7">
        <v>0.56180555555555556</v>
      </c>
      <c r="L532" s="3">
        <f t="shared" si="17"/>
        <v>1</v>
      </c>
      <c r="M532" s="3">
        <f t="shared" si="18"/>
        <v>0</v>
      </c>
      <c r="N532" s="29">
        <f>_xlfn.MAXIFS($G$7:G531,$E$7:E531,detalhe_carro1[[#This Row],[Nó]],$B$7:B531,detalhe_carro1[[#This Row],[Numero Voltas]],$L$7:L531,1)</f>
        <v>291</v>
      </c>
      <c r="O532" s="3" t="str">
        <f>IF(OR(detalhe_carro1[[#This Row],[Ultima Chegada]]=0,detalhe_carro1[[#This Row],[Chegada]]=0),"",detalhe_carro1[[#This Row],[Hora Inicio]]-detalhe_carro1[[#This Row],[Ultima Chegada]])</f>
        <v/>
      </c>
      <c r="P532" s="3">
        <f>IF(detalhe_carro1[[#This Row],[Tipo]]="Visitar Nó",((detalhe_carro1[[#This Row],[Hora Fim]]-detalhe_carro1[[#This Row],[Hora Inicio]])/60*velocidade_nos),0)</f>
        <v>0</v>
      </c>
      <c r="Q532" s="29">
        <f>detalhe_carro1[[#This Row],[Kms Nós]]+detalhe_carro1[[#This Row],[kms]]</f>
        <v>1</v>
      </c>
    </row>
    <row r="533" spans="2:17" x14ac:dyDescent="0.25">
      <c r="B533" s="3">
        <v>4</v>
      </c>
      <c r="C533">
        <v>0</v>
      </c>
      <c r="D533">
        <v>4</v>
      </c>
      <c r="E533" s="29" t="s">
        <v>27</v>
      </c>
      <c r="F533" s="3">
        <v>390</v>
      </c>
      <c r="G533" s="3">
        <v>403</v>
      </c>
      <c r="H533" s="29" t="s">
        <v>50</v>
      </c>
      <c r="I533" s="3">
        <v>0</v>
      </c>
      <c r="J533" s="7">
        <v>0.5625</v>
      </c>
      <c r="K533" s="7">
        <v>0.57152777777777775</v>
      </c>
      <c r="L533" s="3">
        <f t="shared" si="17"/>
        <v>0</v>
      </c>
      <c r="M533" s="3">
        <f t="shared" si="18"/>
        <v>1</v>
      </c>
      <c r="N533" s="29">
        <f>_xlfn.MAXIFS($G$7:G532,$E$7:E532,detalhe_carro1[[#This Row],[Nó]],$B$7:B532,detalhe_carro1[[#This Row],[Numero Voltas]],$L$7:L532,1)</f>
        <v>279</v>
      </c>
      <c r="O533" s="3">
        <f>IF(OR(detalhe_carro1[[#This Row],[Ultima Chegada]]=0,detalhe_carro1[[#This Row],[Chegada]]=0),"",detalhe_carro1[[#This Row],[Hora Inicio]]-detalhe_carro1[[#This Row],[Ultima Chegada]])</f>
        <v>111</v>
      </c>
      <c r="P533" s="3">
        <f>IF(detalhe_carro1[[#This Row],[Tipo]]="Visitar Nó",((detalhe_carro1[[#This Row],[Hora Fim]]-detalhe_carro1[[#This Row],[Hora Inicio]])/60*velocidade_nos),0)</f>
        <v>6.5</v>
      </c>
      <c r="Q533" s="29">
        <f>detalhe_carro1[[#This Row],[Kms Nós]]+detalhe_carro1[[#This Row],[kms]]</f>
        <v>6.5</v>
      </c>
    </row>
    <row r="534" spans="2:17" x14ac:dyDescent="0.25">
      <c r="B534" s="3">
        <v>4</v>
      </c>
      <c r="C534">
        <v>0</v>
      </c>
      <c r="D534">
        <v>4</v>
      </c>
      <c r="E534" s="29" t="s">
        <v>27</v>
      </c>
      <c r="F534" s="3">
        <v>404</v>
      </c>
      <c r="G534" s="3">
        <v>404</v>
      </c>
      <c r="H534" s="29" t="s">
        <v>51</v>
      </c>
      <c r="I534" s="3">
        <v>1</v>
      </c>
      <c r="J534" s="7">
        <v>0.57222222222222219</v>
      </c>
      <c r="K534" s="7">
        <v>0.57222222222222219</v>
      </c>
      <c r="L534" s="3">
        <f t="shared" si="17"/>
        <v>1</v>
      </c>
      <c r="M534" s="3">
        <f t="shared" si="18"/>
        <v>0</v>
      </c>
      <c r="N534" s="29">
        <f>_xlfn.MAXIFS($G$7:G533,$E$7:E533,detalhe_carro1[[#This Row],[Nó]],$B$7:B533,detalhe_carro1[[#This Row],[Numero Voltas]],$L$7:L533,1)</f>
        <v>279</v>
      </c>
      <c r="O534" s="3" t="str">
        <f>IF(OR(detalhe_carro1[[#This Row],[Ultima Chegada]]=0,detalhe_carro1[[#This Row],[Chegada]]=0),"",detalhe_carro1[[#This Row],[Hora Inicio]]-detalhe_carro1[[#This Row],[Ultima Chegada]])</f>
        <v/>
      </c>
      <c r="P534" s="3">
        <f>IF(detalhe_carro1[[#This Row],[Tipo]]="Visitar Nó",((detalhe_carro1[[#This Row],[Hora Fim]]-detalhe_carro1[[#This Row],[Hora Inicio]])/60*velocidade_nos),0)</f>
        <v>0</v>
      </c>
      <c r="Q534" s="29">
        <f>detalhe_carro1[[#This Row],[Kms Nós]]+detalhe_carro1[[#This Row],[kms]]</f>
        <v>1</v>
      </c>
    </row>
    <row r="535" spans="2:17" x14ac:dyDescent="0.25">
      <c r="B535" s="3">
        <v>4</v>
      </c>
      <c r="C535">
        <v>0</v>
      </c>
      <c r="D535">
        <v>5</v>
      </c>
      <c r="E535" s="29" t="s">
        <v>29</v>
      </c>
      <c r="F535" s="3">
        <v>407</v>
      </c>
      <c r="G535" s="3">
        <v>417</v>
      </c>
      <c r="H535" s="29" t="s">
        <v>297</v>
      </c>
      <c r="I535" s="3">
        <v>0</v>
      </c>
      <c r="J535" s="7">
        <v>0.57430555555555551</v>
      </c>
      <c r="K535" s="7">
        <v>0.58125000000000004</v>
      </c>
      <c r="L535" s="3">
        <f t="shared" si="17"/>
        <v>0</v>
      </c>
      <c r="M535" s="3">
        <f t="shared" si="18"/>
        <v>1</v>
      </c>
      <c r="N535" s="29">
        <f>_xlfn.MAXIFS($G$7:G534,$E$7:E534,detalhe_carro1[[#This Row],[Nó]],$B$7:B534,detalhe_carro1[[#This Row],[Numero Voltas]],$L$7:L534,1)</f>
        <v>260</v>
      </c>
      <c r="O535" s="3">
        <f>IF(OR(detalhe_carro1[[#This Row],[Ultima Chegada]]=0,detalhe_carro1[[#This Row],[Chegada]]=0),"",detalhe_carro1[[#This Row],[Hora Inicio]]-detalhe_carro1[[#This Row],[Ultima Chegada]])</f>
        <v>147</v>
      </c>
      <c r="P535" s="3">
        <f>IF(detalhe_carro1[[#This Row],[Tipo]]="Visitar Nó",((detalhe_carro1[[#This Row],[Hora Fim]]-detalhe_carro1[[#This Row],[Hora Inicio]])/60*velocidade_nos),0)</f>
        <v>0</v>
      </c>
      <c r="Q535" s="29">
        <f>detalhe_carro1[[#This Row],[Kms Nós]]+detalhe_carro1[[#This Row],[kms]]</f>
        <v>0</v>
      </c>
    </row>
    <row r="536" spans="2:17" x14ac:dyDescent="0.25">
      <c r="B536" s="3">
        <v>4</v>
      </c>
      <c r="C536">
        <v>0</v>
      </c>
      <c r="D536">
        <v>5</v>
      </c>
      <c r="E536" s="29" t="s">
        <v>29</v>
      </c>
      <c r="F536" s="3">
        <v>420</v>
      </c>
      <c r="G536" s="3">
        <v>448</v>
      </c>
      <c r="H536" s="29" t="s">
        <v>50</v>
      </c>
      <c r="I536" s="3">
        <v>0</v>
      </c>
      <c r="J536" s="7">
        <v>0.58333333333333337</v>
      </c>
      <c r="K536" s="7">
        <v>0.60277777777777775</v>
      </c>
      <c r="L536" s="3">
        <f t="shared" si="17"/>
        <v>0</v>
      </c>
      <c r="M536" s="3">
        <f t="shared" si="18"/>
        <v>0</v>
      </c>
      <c r="N536" s="29">
        <f>_xlfn.MAXIFS($G$7:G535,$E$7:E535,detalhe_carro1[[#This Row],[Nó]],$B$7:B535,detalhe_carro1[[#This Row],[Numero Voltas]],$L$7:L535,1)</f>
        <v>260</v>
      </c>
      <c r="O536" s="3" t="str">
        <f>IF(OR(detalhe_carro1[[#This Row],[Ultima Chegada]]=0,detalhe_carro1[[#This Row],[Chegada]]=0),"",detalhe_carro1[[#This Row],[Hora Inicio]]-detalhe_carro1[[#This Row],[Ultima Chegada]])</f>
        <v/>
      </c>
      <c r="P536" s="3">
        <f>IF(detalhe_carro1[[#This Row],[Tipo]]="Visitar Nó",((detalhe_carro1[[#This Row],[Hora Fim]]-detalhe_carro1[[#This Row],[Hora Inicio]])/60*velocidade_nos),0)</f>
        <v>14</v>
      </c>
      <c r="Q536" s="29">
        <f>detalhe_carro1[[#This Row],[Kms Nós]]+detalhe_carro1[[#This Row],[kms]]</f>
        <v>14</v>
      </c>
    </row>
    <row r="537" spans="2:17" x14ac:dyDescent="0.25">
      <c r="B537" s="3">
        <v>4</v>
      </c>
      <c r="C537">
        <v>0</v>
      </c>
      <c r="D537">
        <v>5</v>
      </c>
      <c r="E537" s="29" t="s">
        <v>29</v>
      </c>
      <c r="F537" s="3">
        <v>451</v>
      </c>
      <c r="G537" s="3">
        <v>451</v>
      </c>
      <c r="H537" s="29" t="s">
        <v>51</v>
      </c>
      <c r="I537" s="3">
        <v>3</v>
      </c>
      <c r="J537" s="7">
        <v>0.60486111111111107</v>
      </c>
      <c r="K537" s="7">
        <v>0.60486111111111107</v>
      </c>
      <c r="L537" s="3">
        <f t="shared" si="17"/>
        <v>1</v>
      </c>
      <c r="M537" s="3">
        <f t="shared" si="18"/>
        <v>0</v>
      </c>
      <c r="N537" s="29">
        <f>_xlfn.MAXIFS($G$7:G536,$E$7:E536,detalhe_carro1[[#This Row],[Nó]],$B$7:B536,detalhe_carro1[[#This Row],[Numero Voltas]],$L$7:L536,1)</f>
        <v>260</v>
      </c>
      <c r="O537" s="3" t="str">
        <f>IF(OR(detalhe_carro1[[#This Row],[Ultima Chegada]]=0,detalhe_carro1[[#This Row],[Chegada]]=0),"",detalhe_carro1[[#This Row],[Hora Inicio]]-detalhe_carro1[[#This Row],[Ultima Chegada]])</f>
        <v/>
      </c>
      <c r="P537" s="3">
        <f>IF(detalhe_carro1[[#This Row],[Tipo]]="Visitar Nó",((detalhe_carro1[[#This Row],[Hora Fim]]-detalhe_carro1[[#This Row],[Hora Inicio]])/60*velocidade_nos),0)</f>
        <v>0</v>
      </c>
      <c r="Q537" s="29">
        <f>detalhe_carro1[[#This Row],[Kms Nós]]+detalhe_carro1[[#This Row],[kms]]</f>
        <v>3</v>
      </c>
    </row>
    <row r="538" spans="2:17" x14ac:dyDescent="0.25">
      <c r="B538" s="3">
        <v>4</v>
      </c>
      <c r="C538">
        <v>0</v>
      </c>
      <c r="D538">
        <v>6</v>
      </c>
      <c r="E538" s="29" t="s">
        <v>31</v>
      </c>
      <c r="F538" s="3">
        <v>454</v>
      </c>
      <c r="G538" s="3">
        <v>463</v>
      </c>
      <c r="H538" s="29" t="s">
        <v>50</v>
      </c>
      <c r="I538" s="3">
        <v>0</v>
      </c>
      <c r="J538" s="7">
        <v>0.6069444444444444</v>
      </c>
      <c r="K538" s="7">
        <v>0.61319444444444449</v>
      </c>
      <c r="L538" s="3">
        <f t="shared" si="17"/>
        <v>0</v>
      </c>
      <c r="M538" s="3">
        <f t="shared" si="18"/>
        <v>1</v>
      </c>
      <c r="N538" s="29">
        <f>_xlfn.MAXIFS($G$7:G537,$E$7:E537,detalhe_carro1[[#This Row],[Nó]],$B$7:B537,detalhe_carro1[[#This Row],[Numero Voltas]],$L$7:L537,1)</f>
        <v>226</v>
      </c>
      <c r="O538" s="3">
        <f>IF(OR(detalhe_carro1[[#This Row],[Ultima Chegada]]=0,detalhe_carro1[[#This Row],[Chegada]]=0),"",detalhe_carro1[[#This Row],[Hora Inicio]]-detalhe_carro1[[#This Row],[Ultima Chegada]])</f>
        <v>228</v>
      </c>
      <c r="P538" s="3">
        <f>IF(detalhe_carro1[[#This Row],[Tipo]]="Visitar Nó",((detalhe_carro1[[#This Row],[Hora Fim]]-detalhe_carro1[[#This Row],[Hora Inicio]])/60*velocidade_nos),0)</f>
        <v>4.5</v>
      </c>
      <c r="Q538" s="29">
        <f>detalhe_carro1[[#This Row],[Kms Nós]]+detalhe_carro1[[#This Row],[kms]]</f>
        <v>4.5</v>
      </c>
    </row>
    <row r="539" spans="2:17" x14ac:dyDescent="0.25">
      <c r="B539" s="3">
        <v>4</v>
      </c>
      <c r="C539">
        <v>0</v>
      </c>
      <c r="D539">
        <v>6</v>
      </c>
      <c r="E539" s="29" t="s">
        <v>31</v>
      </c>
      <c r="F539" s="3">
        <v>466</v>
      </c>
      <c r="G539" s="3">
        <v>466</v>
      </c>
      <c r="H539" s="29" t="s">
        <v>51</v>
      </c>
      <c r="I539" s="3">
        <v>3</v>
      </c>
      <c r="J539" s="7">
        <v>0.61527777777777781</v>
      </c>
      <c r="K539" s="7">
        <v>0.61527777777777781</v>
      </c>
      <c r="L539" s="3">
        <f t="shared" si="17"/>
        <v>1</v>
      </c>
      <c r="M539" s="3">
        <f t="shared" si="18"/>
        <v>0</v>
      </c>
      <c r="N539" s="29">
        <f>_xlfn.MAXIFS($G$7:G538,$E$7:E538,detalhe_carro1[[#This Row],[Nó]],$B$7:B538,detalhe_carro1[[#This Row],[Numero Voltas]],$L$7:L538,1)</f>
        <v>226</v>
      </c>
      <c r="O539" s="3" t="str">
        <f>IF(OR(detalhe_carro1[[#This Row],[Ultima Chegada]]=0,detalhe_carro1[[#This Row],[Chegada]]=0),"",detalhe_carro1[[#This Row],[Hora Inicio]]-detalhe_carro1[[#This Row],[Ultima Chegada]])</f>
        <v/>
      </c>
      <c r="P539" s="3">
        <f>IF(detalhe_carro1[[#This Row],[Tipo]]="Visitar Nó",((detalhe_carro1[[#This Row],[Hora Fim]]-detalhe_carro1[[#This Row],[Hora Inicio]])/60*velocidade_nos),0)</f>
        <v>0</v>
      </c>
      <c r="Q539" s="29">
        <f>detalhe_carro1[[#This Row],[Kms Nós]]+detalhe_carro1[[#This Row],[kms]]</f>
        <v>3</v>
      </c>
    </row>
    <row r="540" spans="2:17" x14ac:dyDescent="0.25">
      <c r="B540" s="3">
        <v>4</v>
      </c>
      <c r="C540">
        <v>0</v>
      </c>
      <c r="D540">
        <v>7</v>
      </c>
      <c r="E540" s="29" t="s">
        <v>33</v>
      </c>
      <c r="F540" s="3">
        <v>469</v>
      </c>
      <c r="G540" s="3">
        <v>469</v>
      </c>
      <c r="H540" s="29" t="s">
        <v>51</v>
      </c>
      <c r="I540" s="3">
        <v>3</v>
      </c>
      <c r="J540" s="7">
        <v>0.61736111111111114</v>
      </c>
      <c r="K540" s="7">
        <v>0.61736111111111114</v>
      </c>
      <c r="L540" s="3">
        <f t="shared" si="17"/>
        <v>0</v>
      </c>
      <c r="M540" s="3">
        <f t="shared" si="18"/>
        <v>1</v>
      </c>
      <c r="N540" s="29">
        <f>_xlfn.MAXIFS($G$7:G539,$E$7:E539,detalhe_carro1[[#This Row],[Nó]],$B$7:B539,detalhe_carro1[[#This Row],[Numero Voltas]],$L$7:L539,1)</f>
        <v>103</v>
      </c>
      <c r="O540" s="3">
        <f>IF(OR(detalhe_carro1[[#This Row],[Ultima Chegada]]=0,detalhe_carro1[[#This Row],[Chegada]]=0),"",detalhe_carro1[[#This Row],[Hora Inicio]]-detalhe_carro1[[#This Row],[Ultima Chegada]])</f>
        <v>366</v>
      </c>
      <c r="P540" s="3">
        <f>IF(detalhe_carro1[[#This Row],[Tipo]]="Visitar Nó",((detalhe_carro1[[#This Row],[Hora Fim]]-detalhe_carro1[[#This Row],[Hora Inicio]])/60*velocidade_nos),0)</f>
        <v>0</v>
      </c>
      <c r="Q540" s="29">
        <f>detalhe_carro1[[#This Row],[Kms Nós]]+detalhe_carro1[[#This Row],[kms]]</f>
        <v>3</v>
      </c>
    </row>
    <row r="541" spans="2:17" x14ac:dyDescent="0.25">
      <c r="B541" s="3">
        <v>4</v>
      </c>
      <c r="C541">
        <v>0</v>
      </c>
      <c r="D541">
        <v>7</v>
      </c>
      <c r="E541" s="29" t="s">
        <v>33</v>
      </c>
      <c r="F541" s="3">
        <v>469</v>
      </c>
      <c r="G541" s="3">
        <v>469</v>
      </c>
      <c r="H541" s="29" t="s">
        <v>51</v>
      </c>
      <c r="I541" s="3">
        <v>3</v>
      </c>
      <c r="J541" s="7">
        <v>0.61736111111111114</v>
      </c>
      <c r="K541" s="7">
        <v>0.61736111111111114</v>
      </c>
      <c r="L541" s="3">
        <f t="shared" si="17"/>
        <v>1</v>
      </c>
      <c r="M541" s="3">
        <f t="shared" si="18"/>
        <v>0</v>
      </c>
      <c r="N541" s="29">
        <f>_xlfn.MAXIFS($G$7:G540,$E$7:E540,detalhe_carro1[[#This Row],[Nó]],$B$7:B540,detalhe_carro1[[#This Row],[Numero Voltas]],$L$7:L540,1)</f>
        <v>103</v>
      </c>
      <c r="O541" s="3" t="str">
        <f>IF(OR(detalhe_carro1[[#This Row],[Ultima Chegada]]=0,detalhe_carro1[[#This Row],[Chegada]]=0),"",detalhe_carro1[[#This Row],[Hora Inicio]]-detalhe_carro1[[#This Row],[Ultima Chegada]])</f>
        <v/>
      </c>
      <c r="P541" s="3">
        <f>IF(detalhe_carro1[[#This Row],[Tipo]]="Visitar Nó",((detalhe_carro1[[#This Row],[Hora Fim]]-detalhe_carro1[[#This Row],[Hora Inicio]])/60*velocidade_nos),0)</f>
        <v>0</v>
      </c>
      <c r="Q541" s="29">
        <f>detalhe_carro1[[#This Row],[Kms Nós]]+detalhe_carro1[[#This Row],[kms]]</f>
        <v>3</v>
      </c>
    </row>
    <row r="542" spans="2:17" x14ac:dyDescent="0.25">
      <c r="B542" s="3">
        <v>4</v>
      </c>
      <c r="C542">
        <v>0</v>
      </c>
      <c r="D542">
        <v>6</v>
      </c>
      <c r="E542" s="29" t="s">
        <v>31</v>
      </c>
      <c r="F542" s="3">
        <v>472</v>
      </c>
      <c r="G542" s="3">
        <v>472</v>
      </c>
      <c r="H542" s="29" t="s">
        <v>51</v>
      </c>
      <c r="I542" s="3">
        <v>3</v>
      </c>
      <c r="J542" s="7">
        <v>0.61944444444444446</v>
      </c>
      <c r="K542" s="7">
        <v>0.61944444444444446</v>
      </c>
      <c r="L542" s="3">
        <f t="shared" si="17"/>
        <v>1</v>
      </c>
      <c r="M542" s="3">
        <f t="shared" si="18"/>
        <v>1</v>
      </c>
      <c r="N542" s="29">
        <f>_xlfn.MAXIFS($G$7:G541,$E$7:E541,detalhe_carro1[[#This Row],[Nó]],$B$7:B541,detalhe_carro1[[#This Row],[Numero Voltas]],$L$7:L541,1)</f>
        <v>466</v>
      </c>
      <c r="O542" s="3">
        <f>IF(OR(detalhe_carro1[[#This Row],[Ultima Chegada]]=0,detalhe_carro1[[#This Row],[Chegada]]=0),"",detalhe_carro1[[#This Row],[Hora Inicio]]-detalhe_carro1[[#This Row],[Ultima Chegada]])</f>
        <v>6</v>
      </c>
      <c r="P542" s="3">
        <f>IF(detalhe_carro1[[#This Row],[Tipo]]="Visitar Nó",((detalhe_carro1[[#This Row],[Hora Fim]]-detalhe_carro1[[#This Row],[Hora Inicio]])/60*velocidade_nos),0)</f>
        <v>0</v>
      </c>
      <c r="Q542" s="29">
        <f>detalhe_carro1[[#This Row],[Kms Nós]]+detalhe_carro1[[#This Row],[kms]]</f>
        <v>3</v>
      </c>
    </row>
    <row r="543" spans="2:17" x14ac:dyDescent="0.25">
      <c r="B543" s="3">
        <v>4</v>
      </c>
      <c r="C543">
        <v>0</v>
      </c>
      <c r="D543">
        <v>5</v>
      </c>
      <c r="E543" s="29" t="s">
        <v>29</v>
      </c>
      <c r="F543" s="3">
        <v>475</v>
      </c>
      <c r="G543" s="3">
        <v>475</v>
      </c>
      <c r="H543" s="29" t="s">
        <v>51</v>
      </c>
      <c r="I543" s="3">
        <v>3</v>
      </c>
      <c r="J543" s="7">
        <v>0.62152777777777779</v>
      </c>
      <c r="K543" s="7">
        <v>0.62152777777777779</v>
      </c>
      <c r="L543" s="3">
        <f t="shared" si="17"/>
        <v>1</v>
      </c>
      <c r="M543" s="3">
        <f t="shared" si="18"/>
        <v>1</v>
      </c>
      <c r="N543" s="29">
        <f>_xlfn.MAXIFS($G$7:G542,$E$7:E542,detalhe_carro1[[#This Row],[Nó]],$B$7:B542,detalhe_carro1[[#This Row],[Numero Voltas]],$L$7:L542,1)</f>
        <v>451</v>
      </c>
      <c r="O543" s="3">
        <f>IF(OR(detalhe_carro1[[#This Row],[Ultima Chegada]]=0,detalhe_carro1[[#This Row],[Chegada]]=0),"",detalhe_carro1[[#This Row],[Hora Inicio]]-detalhe_carro1[[#This Row],[Ultima Chegada]])</f>
        <v>24</v>
      </c>
      <c r="P543" s="3">
        <f>IF(detalhe_carro1[[#This Row],[Tipo]]="Visitar Nó",((detalhe_carro1[[#This Row],[Hora Fim]]-detalhe_carro1[[#This Row],[Hora Inicio]])/60*velocidade_nos),0)</f>
        <v>0</v>
      </c>
      <c r="Q543" s="29">
        <f>detalhe_carro1[[#This Row],[Kms Nós]]+detalhe_carro1[[#This Row],[kms]]</f>
        <v>3</v>
      </c>
    </row>
    <row r="544" spans="2:17" x14ac:dyDescent="0.25">
      <c r="B544" s="3">
        <v>4</v>
      </c>
      <c r="C544">
        <v>0</v>
      </c>
      <c r="D544">
        <v>4</v>
      </c>
      <c r="E544" s="29" t="s">
        <v>27</v>
      </c>
      <c r="F544" s="3">
        <v>478</v>
      </c>
      <c r="G544" s="3">
        <v>478</v>
      </c>
      <c r="H544" s="29" t="s">
        <v>51</v>
      </c>
      <c r="I544" s="3">
        <v>3</v>
      </c>
      <c r="J544" s="7">
        <v>0.62361111111111112</v>
      </c>
      <c r="K544" s="7">
        <v>0.62361111111111112</v>
      </c>
      <c r="L544" s="3">
        <f t="shared" si="17"/>
        <v>1</v>
      </c>
      <c r="M544" s="3">
        <f t="shared" si="18"/>
        <v>1</v>
      </c>
      <c r="N544" s="29">
        <f>_xlfn.MAXIFS($G$7:G543,$E$7:E543,detalhe_carro1[[#This Row],[Nó]],$B$7:B543,detalhe_carro1[[#This Row],[Numero Voltas]],$L$7:L543,1)</f>
        <v>404</v>
      </c>
      <c r="O544" s="3">
        <f>IF(OR(detalhe_carro1[[#This Row],[Ultima Chegada]]=0,detalhe_carro1[[#This Row],[Chegada]]=0),"",detalhe_carro1[[#This Row],[Hora Inicio]]-detalhe_carro1[[#This Row],[Ultima Chegada]])</f>
        <v>74</v>
      </c>
      <c r="P544" s="3">
        <f>IF(detalhe_carro1[[#This Row],[Tipo]]="Visitar Nó",((detalhe_carro1[[#This Row],[Hora Fim]]-detalhe_carro1[[#This Row],[Hora Inicio]])/60*velocidade_nos),0)</f>
        <v>0</v>
      </c>
      <c r="Q544" s="29">
        <f>detalhe_carro1[[#This Row],[Kms Nós]]+detalhe_carro1[[#This Row],[kms]]</f>
        <v>3</v>
      </c>
    </row>
    <row r="545" spans="2:17" x14ac:dyDescent="0.25">
      <c r="B545" s="3">
        <v>4</v>
      </c>
      <c r="C545">
        <v>0</v>
      </c>
      <c r="D545">
        <v>3</v>
      </c>
      <c r="E545" s="29" t="s">
        <v>26</v>
      </c>
      <c r="F545" s="3">
        <v>479</v>
      </c>
      <c r="G545" s="3">
        <v>479</v>
      </c>
      <c r="H545" s="29" t="s">
        <v>51</v>
      </c>
      <c r="I545" s="3">
        <v>1</v>
      </c>
      <c r="J545" s="7">
        <v>0.62430555555555556</v>
      </c>
      <c r="K545" s="7">
        <v>0.62430555555555556</v>
      </c>
      <c r="L545" s="3">
        <f t="shared" si="17"/>
        <v>1</v>
      </c>
      <c r="M545" s="3">
        <f t="shared" si="18"/>
        <v>1</v>
      </c>
      <c r="N545" s="29">
        <f>_xlfn.MAXIFS($G$7:G544,$E$7:E544,detalhe_carro1[[#This Row],[Nó]],$B$7:B544,detalhe_carro1[[#This Row],[Numero Voltas]],$L$7:L544,1)</f>
        <v>389</v>
      </c>
      <c r="O545" s="3">
        <f>IF(OR(detalhe_carro1[[#This Row],[Ultima Chegada]]=0,detalhe_carro1[[#This Row],[Chegada]]=0),"",detalhe_carro1[[#This Row],[Hora Inicio]]-detalhe_carro1[[#This Row],[Ultima Chegada]])</f>
        <v>90</v>
      </c>
      <c r="P545" s="3">
        <f>IF(detalhe_carro1[[#This Row],[Tipo]]="Visitar Nó",((detalhe_carro1[[#This Row],[Hora Fim]]-detalhe_carro1[[#This Row],[Hora Inicio]])/60*velocidade_nos),0)</f>
        <v>0</v>
      </c>
      <c r="Q545" s="29">
        <f>detalhe_carro1[[#This Row],[Kms Nós]]+detalhe_carro1[[#This Row],[kms]]</f>
        <v>1</v>
      </c>
    </row>
    <row r="546" spans="2:17" x14ac:dyDescent="0.25">
      <c r="B546" s="3">
        <v>4</v>
      </c>
      <c r="C546">
        <v>0</v>
      </c>
      <c r="D546">
        <v>2</v>
      </c>
      <c r="E546" s="29" t="s">
        <v>24</v>
      </c>
      <c r="F546" s="3">
        <v>480</v>
      </c>
      <c r="G546" s="3">
        <v>480</v>
      </c>
      <c r="H546" s="29" t="s">
        <v>51</v>
      </c>
      <c r="I546" s="3">
        <v>1</v>
      </c>
      <c r="J546" s="7">
        <v>0.625</v>
      </c>
      <c r="K546" s="7">
        <v>0.625</v>
      </c>
      <c r="L546" s="3">
        <f t="shared" si="17"/>
        <v>1</v>
      </c>
      <c r="M546" s="3">
        <f t="shared" si="18"/>
        <v>1</v>
      </c>
      <c r="N546" s="29">
        <f>_xlfn.MAXIFS($G$7:G545,$E$7:E545,detalhe_carro1[[#This Row],[Nó]],$B$7:B545,detalhe_carro1[[#This Row],[Numero Voltas]],$L$7:L545,1)</f>
        <v>377</v>
      </c>
      <c r="O546" s="3">
        <f>IF(OR(detalhe_carro1[[#This Row],[Ultima Chegada]]=0,detalhe_carro1[[#This Row],[Chegada]]=0),"",detalhe_carro1[[#This Row],[Hora Inicio]]-detalhe_carro1[[#This Row],[Ultima Chegada]])</f>
        <v>103</v>
      </c>
      <c r="P546" s="3">
        <f>IF(detalhe_carro1[[#This Row],[Tipo]]="Visitar Nó",((detalhe_carro1[[#This Row],[Hora Fim]]-detalhe_carro1[[#This Row],[Hora Inicio]])/60*velocidade_nos),0)</f>
        <v>0</v>
      </c>
      <c r="Q546" s="29">
        <f>detalhe_carro1[[#This Row],[Kms Nós]]+detalhe_carro1[[#This Row],[kms]]</f>
        <v>1</v>
      </c>
    </row>
    <row r="547" spans="2:17" x14ac:dyDescent="0.25">
      <c r="B547" s="3">
        <v>4</v>
      </c>
      <c r="C547">
        <v>0</v>
      </c>
      <c r="D547">
        <v>1</v>
      </c>
      <c r="E547" s="29" t="s">
        <v>22</v>
      </c>
      <c r="F547" s="3">
        <v>487</v>
      </c>
      <c r="G547" s="3">
        <v>487</v>
      </c>
      <c r="H547" s="29" t="s">
        <v>51</v>
      </c>
      <c r="I547" s="3">
        <v>7</v>
      </c>
      <c r="J547" s="7">
        <v>0.62986111111111109</v>
      </c>
      <c r="K547" s="7">
        <v>0.62986111111111109</v>
      </c>
      <c r="L547" s="3">
        <f t="shared" si="17"/>
        <v>1</v>
      </c>
      <c r="M547" s="3">
        <f t="shared" si="18"/>
        <v>1</v>
      </c>
      <c r="N547" s="29">
        <f>_xlfn.MAXIFS($G$7:G546,$E$7:E546,detalhe_carro1[[#This Row],[Nó]],$B$7:B546,detalhe_carro1[[#This Row],[Numero Voltas]],$L$7:L546,1)</f>
        <v>349</v>
      </c>
      <c r="O547" s="3">
        <f>IF(OR(detalhe_carro1[[#This Row],[Ultima Chegada]]=0,detalhe_carro1[[#This Row],[Chegada]]=0),"",detalhe_carro1[[#This Row],[Hora Inicio]]-detalhe_carro1[[#This Row],[Ultima Chegada]])</f>
        <v>138</v>
      </c>
      <c r="P547" s="3">
        <f>IF(detalhe_carro1[[#This Row],[Tipo]]="Visitar Nó",((detalhe_carro1[[#This Row],[Hora Fim]]-detalhe_carro1[[#This Row],[Hora Inicio]])/60*velocidade_nos),0)</f>
        <v>0</v>
      </c>
      <c r="Q547" s="29">
        <f>detalhe_carro1[[#This Row],[Kms Nós]]+detalhe_carro1[[#This Row],[kms]]</f>
        <v>7</v>
      </c>
    </row>
    <row r="548" spans="2:17" x14ac:dyDescent="0.25">
      <c r="B548" s="3">
        <v>4</v>
      </c>
      <c r="C548">
        <v>0</v>
      </c>
      <c r="D548">
        <v>0</v>
      </c>
      <c r="E548" s="29" t="s">
        <v>20</v>
      </c>
      <c r="F548" s="3">
        <v>488</v>
      </c>
      <c r="G548" s="3">
        <v>488</v>
      </c>
      <c r="H548" s="29" t="s">
        <v>51</v>
      </c>
      <c r="I548" s="3">
        <v>1</v>
      </c>
      <c r="J548" s="7">
        <v>0.63055555555555554</v>
      </c>
      <c r="K548" s="7">
        <v>0.63055555555555554</v>
      </c>
      <c r="L548" s="3">
        <f t="shared" si="17"/>
        <v>0</v>
      </c>
      <c r="M548" s="3">
        <f t="shared" si="18"/>
        <v>1</v>
      </c>
      <c r="N548" s="29">
        <f>_xlfn.MAXIFS($G$7:G547,$E$7:E547,detalhe_carro1[[#This Row],[Nó]],$B$7:B547,detalhe_carro1[[#This Row],[Numero Voltas]],$L$7:L547,1)</f>
        <v>342</v>
      </c>
      <c r="O548" s="3">
        <f>IF(OR(detalhe_carro1[[#This Row],[Ultima Chegada]]=0,detalhe_carro1[[#This Row],[Chegada]]=0),"",detalhe_carro1[[#This Row],[Hora Inicio]]-detalhe_carro1[[#This Row],[Ultima Chegada]])</f>
        <v>146</v>
      </c>
      <c r="P548" s="3">
        <f>IF(detalhe_carro1[[#This Row],[Tipo]]="Visitar Nó",((detalhe_carro1[[#This Row],[Hora Fim]]-detalhe_carro1[[#This Row],[Hora Inicio]])/60*velocidade_nos),0)</f>
        <v>0</v>
      </c>
      <c r="Q548" s="29">
        <f>detalhe_carro1[[#This Row],[Kms Nós]]+detalhe_carro1[[#This Row],[kms]]</f>
        <v>1</v>
      </c>
    </row>
    <row r="549" spans="2:17" x14ac:dyDescent="0.25">
      <c r="B549" s="3">
        <v>4</v>
      </c>
      <c r="C549">
        <v>0</v>
      </c>
      <c r="D549">
        <v>0</v>
      </c>
      <c r="E549" s="29" t="s">
        <v>20</v>
      </c>
      <c r="F549" s="3">
        <v>488</v>
      </c>
      <c r="G549" s="3">
        <v>488</v>
      </c>
      <c r="H549" s="29" t="s">
        <v>51</v>
      </c>
      <c r="I549" s="3">
        <v>1</v>
      </c>
      <c r="J549" s="7">
        <v>0.63055555555555554</v>
      </c>
      <c r="K549" s="7">
        <v>0.63055555555555554</v>
      </c>
      <c r="L549" s="3">
        <f t="shared" si="17"/>
        <v>1</v>
      </c>
      <c r="M549" s="3">
        <f t="shared" si="18"/>
        <v>0</v>
      </c>
      <c r="N549" s="29">
        <f>_xlfn.MAXIFS($G$7:G548,$E$7:E548,detalhe_carro1[[#This Row],[Nó]],$B$7:B548,detalhe_carro1[[#This Row],[Numero Voltas]],$L$7:L548,1)</f>
        <v>342</v>
      </c>
      <c r="O549" s="3" t="str">
        <f>IF(OR(detalhe_carro1[[#This Row],[Ultima Chegada]]=0,detalhe_carro1[[#This Row],[Chegada]]=0),"",detalhe_carro1[[#This Row],[Hora Inicio]]-detalhe_carro1[[#This Row],[Ultima Chegada]])</f>
        <v/>
      </c>
      <c r="P549" s="3">
        <f>IF(detalhe_carro1[[#This Row],[Tipo]]="Visitar Nó",((detalhe_carro1[[#This Row],[Hora Fim]]-detalhe_carro1[[#This Row],[Hora Inicio]])/60*velocidade_nos),0)</f>
        <v>0</v>
      </c>
      <c r="Q549" s="29">
        <f>detalhe_carro1[[#This Row],[Kms Nós]]+detalhe_carro1[[#This Row],[kms]]</f>
        <v>1</v>
      </c>
    </row>
    <row r="550" spans="2:17" x14ac:dyDescent="0.25">
      <c r="B550" s="3">
        <v>4</v>
      </c>
      <c r="C550">
        <v>0</v>
      </c>
      <c r="D550">
        <v>1</v>
      </c>
      <c r="E550" s="29" t="s">
        <v>22</v>
      </c>
      <c r="F550" s="3">
        <v>489</v>
      </c>
      <c r="G550" s="3">
        <v>489</v>
      </c>
      <c r="H550" s="29" t="s">
        <v>51</v>
      </c>
      <c r="I550" s="3">
        <v>1</v>
      </c>
      <c r="J550" s="7">
        <v>0.63124999999999998</v>
      </c>
      <c r="K550" s="7">
        <v>0.63124999999999998</v>
      </c>
      <c r="L550" s="3">
        <f t="shared" si="17"/>
        <v>1</v>
      </c>
      <c r="M550" s="3">
        <f t="shared" si="18"/>
        <v>1</v>
      </c>
      <c r="N550" s="29">
        <f>_xlfn.MAXIFS($G$7:G549,$E$7:E549,detalhe_carro1[[#This Row],[Nó]],$B$7:B549,detalhe_carro1[[#This Row],[Numero Voltas]],$L$7:L549,1)</f>
        <v>487</v>
      </c>
      <c r="O550" s="3">
        <f>IF(OR(detalhe_carro1[[#This Row],[Ultima Chegada]]=0,detalhe_carro1[[#This Row],[Chegada]]=0),"",detalhe_carro1[[#This Row],[Hora Inicio]]-detalhe_carro1[[#This Row],[Ultima Chegada]])</f>
        <v>2</v>
      </c>
      <c r="P550" s="3">
        <f>IF(detalhe_carro1[[#This Row],[Tipo]]="Visitar Nó",((detalhe_carro1[[#This Row],[Hora Fim]]-detalhe_carro1[[#This Row],[Hora Inicio]])/60*velocidade_nos),0)</f>
        <v>0</v>
      </c>
      <c r="Q550" s="29">
        <f>detalhe_carro1[[#This Row],[Kms Nós]]+detalhe_carro1[[#This Row],[kms]]</f>
        <v>1</v>
      </c>
    </row>
    <row r="551" spans="2:17" x14ac:dyDescent="0.25">
      <c r="B551" s="3">
        <v>4</v>
      </c>
      <c r="C551">
        <v>0</v>
      </c>
      <c r="D551">
        <v>2</v>
      </c>
      <c r="E551" s="29" t="s">
        <v>24</v>
      </c>
      <c r="F551" s="3">
        <v>496</v>
      </c>
      <c r="G551" s="3">
        <v>496</v>
      </c>
      <c r="H551" s="29" t="s">
        <v>51</v>
      </c>
      <c r="I551" s="3">
        <v>7</v>
      </c>
      <c r="J551" s="7">
        <v>0.63611111111111107</v>
      </c>
      <c r="K551" s="7">
        <v>0.63611111111111107</v>
      </c>
      <c r="L551" s="3">
        <f t="shared" si="17"/>
        <v>1</v>
      </c>
      <c r="M551" s="3">
        <f t="shared" si="18"/>
        <v>1</v>
      </c>
      <c r="N551" s="29">
        <f>_xlfn.MAXIFS($G$7:G550,$E$7:E550,detalhe_carro1[[#This Row],[Nó]],$B$7:B550,detalhe_carro1[[#This Row],[Numero Voltas]],$L$7:L550,1)</f>
        <v>480</v>
      </c>
      <c r="O551" s="3">
        <f>IF(OR(detalhe_carro1[[#This Row],[Ultima Chegada]]=0,detalhe_carro1[[#This Row],[Chegada]]=0),"",detalhe_carro1[[#This Row],[Hora Inicio]]-detalhe_carro1[[#This Row],[Ultima Chegada]])</f>
        <v>16</v>
      </c>
      <c r="P551" s="3">
        <f>IF(detalhe_carro1[[#This Row],[Tipo]]="Visitar Nó",((detalhe_carro1[[#This Row],[Hora Fim]]-detalhe_carro1[[#This Row],[Hora Inicio]])/60*velocidade_nos),0)</f>
        <v>0</v>
      </c>
      <c r="Q551" s="29">
        <f>detalhe_carro1[[#This Row],[Kms Nós]]+detalhe_carro1[[#This Row],[kms]]</f>
        <v>7</v>
      </c>
    </row>
    <row r="552" spans="2:17" x14ac:dyDescent="0.25">
      <c r="B552" s="3">
        <v>4</v>
      </c>
      <c r="C552">
        <v>0</v>
      </c>
      <c r="D552">
        <v>3</v>
      </c>
      <c r="E552" s="29" t="s">
        <v>26</v>
      </c>
      <c r="F552" s="3">
        <v>497</v>
      </c>
      <c r="G552" s="3">
        <v>497</v>
      </c>
      <c r="H552" s="29" t="s">
        <v>51</v>
      </c>
      <c r="I552" s="3">
        <v>1</v>
      </c>
      <c r="J552" s="7">
        <v>0.63680555555555551</v>
      </c>
      <c r="K552" s="7">
        <v>0.63680555555555551</v>
      </c>
      <c r="L552" s="3">
        <f t="shared" si="17"/>
        <v>1</v>
      </c>
      <c r="M552" s="3">
        <f t="shared" si="18"/>
        <v>1</v>
      </c>
      <c r="N552" s="29">
        <f>_xlfn.MAXIFS($G$7:G551,$E$7:E551,detalhe_carro1[[#This Row],[Nó]],$B$7:B551,detalhe_carro1[[#This Row],[Numero Voltas]],$L$7:L551,1)</f>
        <v>479</v>
      </c>
      <c r="O552" s="3">
        <f>IF(OR(detalhe_carro1[[#This Row],[Ultima Chegada]]=0,detalhe_carro1[[#This Row],[Chegada]]=0),"",detalhe_carro1[[#This Row],[Hora Inicio]]-detalhe_carro1[[#This Row],[Ultima Chegada]])</f>
        <v>18</v>
      </c>
      <c r="P552" s="3">
        <f>IF(detalhe_carro1[[#This Row],[Tipo]]="Visitar Nó",((detalhe_carro1[[#This Row],[Hora Fim]]-detalhe_carro1[[#This Row],[Hora Inicio]])/60*velocidade_nos),0)</f>
        <v>0</v>
      </c>
      <c r="Q552" s="29">
        <f>detalhe_carro1[[#This Row],[Kms Nós]]+detalhe_carro1[[#This Row],[kms]]</f>
        <v>1</v>
      </c>
    </row>
    <row r="553" spans="2:17" x14ac:dyDescent="0.25">
      <c r="B553" s="3">
        <v>4</v>
      </c>
      <c r="C553">
        <v>0</v>
      </c>
      <c r="D553">
        <v>4</v>
      </c>
      <c r="E553" s="29" t="s">
        <v>27</v>
      </c>
      <c r="F553" s="3">
        <v>498</v>
      </c>
      <c r="G553" s="3">
        <v>498</v>
      </c>
      <c r="H553" s="29" t="s">
        <v>51</v>
      </c>
      <c r="I553" s="3">
        <v>1</v>
      </c>
      <c r="J553" s="7">
        <v>0.63749999999999996</v>
      </c>
      <c r="K553" s="7">
        <v>0.63749999999999996</v>
      </c>
      <c r="L553" s="3">
        <f t="shared" si="17"/>
        <v>1</v>
      </c>
      <c r="M553" s="3">
        <f t="shared" si="18"/>
        <v>1</v>
      </c>
      <c r="N553" s="29">
        <f>_xlfn.MAXIFS($G$7:G552,$E$7:E552,detalhe_carro1[[#This Row],[Nó]],$B$7:B552,detalhe_carro1[[#This Row],[Numero Voltas]],$L$7:L552,1)</f>
        <v>478</v>
      </c>
      <c r="O553" s="3">
        <f>IF(OR(detalhe_carro1[[#This Row],[Ultima Chegada]]=0,detalhe_carro1[[#This Row],[Chegada]]=0),"",detalhe_carro1[[#This Row],[Hora Inicio]]-detalhe_carro1[[#This Row],[Ultima Chegada]])</f>
        <v>20</v>
      </c>
      <c r="P553" s="3">
        <f>IF(detalhe_carro1[[#This Row],[Tipo]]="Visitar Nó",((detalhe_carro1[[#This Row],[Hora Fim]]-detalhe_carro1[[#This Row],[Hora Inicio]])/60*velocidade_nos),0)</f>
        <v>0</v>
      </c>
      <c r="Q553" s="29">
        <f>detalhe_carro1[[#This Row],[Kms Nós]]+detalhe_carro1[[#This Row],[kms]]</f>
        <v>1</v>
      </c>
    </row>
    <row r="554" spans="2:17" x14ac:dyDescent="0.25">
      <c r="B554" s="3">
        <v>4</v>
      </c>
      <c r="C554">
        <v>0</v>
      </c>
      <c r="D554">
        <v>5</v>
      </c>
      <c r="E554" s="29" t="s">
        <v>29</v>
      </c>
      <c r="F554" s="3">
        <v>501</v>
      </c>
      <c r="G554" s="3">
        <v>501</v>
      </c>
      <c r="H554" s="29" t="s">
        <v>51</v>
      </c>
      <c r="I554" s="3">
        <v>3</v>
      </c>
      <c r="J554" s="7">
        <v>0.63958333333333328</v>
      </c>
      <c r="K554" s="7">
        <v>0.63958333333333328</v>
      </c>
      <c r="L554" s="3">
        <f t="shared" si="17"/>
        <v>1</v>
      </c>
      <c r="M554" s="3">
        <f t="shared" si="18"/>
        <v>1</v>
      </c>
      <c r="N554" s="29">
        <f>_xlfn.MAXIFS($G$7:G553,$E$7:E553,detalhe_carro1[[#This Row],[Nó]],$B$7:B553,detalhe_carro1[[#This Row],[Numero Voltas]],$L$7:L553,1)</f>
        <v>475</v>
      </c>
      <c r="O554" s="3">
        <f>IF(OR(detalhe_carro1[[#This Row],[Ultima Chegada]]=0,detalhe_carro1[[#This Row],[Chegada]]=0),"",detalhe_carro1[[#This Row],[Hora Inicio]]-detalhe_carro1[[#This Row],[Ultima Chegada]])</f>
        <v>26</v>
      </c>
      <c r="P554" s="3">
        <f>IF(detalhe_carro1[[#This Row],[Tipo]]="Visitar Nó",((detalhe_carro1[[#This Row],[Hora Fim]]-detalhe_carro1[[#This Row],[Hora Inicio]])/60*velocidade_nos),0)</f>
        <v>0</v>
      </c>
      <c r="Q554" s="29">
        <f>detalhe_carro1[[#This Row],[Kms Nós]]+detalhe_carro1[[#This Row],[kms]]</f>
        <v>3</v>
      </c>
    </row>
    <row r="555" spans="2:17" x14ac:dyDescent="0.25">
      <c r="B555" s="3">
        <v>4</v>
      </c>
      <c r="C555">
        <v>0</v>
      </c>
      <c r="D555">
        <v>6</v>
      </c>
      <c r="E555" s="29" t="s">
        <v>31</v>
      </c>
      <c r="F555" s="3">
        <v>504</v>
      </c>
      <c r="G555" s="3">
        <v>504</v>
      </c>
      <c r="H555" s="29" t="s">
        <v>51</v>
      </c>
      <c r="I555" s="3">
        <v>3</v>
      </c>
      <c r="J555" s="7">
        <v>0.64166666666666672</v>
      </c>
      <c r="K555" s="7">
        <v>0.64166666666666672</v>
      </c>
      <c r="L555" s="3">
        <f t="shared" si="17"/>
        <v>1</v>
      </c>
      <c r="M555" s="3">
        <f t="shared" si="18"/>
        <v>1</v>
      </c>
      <c r="N555" s="29">
        <f>_xlfn.MAXIFS($G$7:G554,$E$7:E554,detalhe_carro1[[#This Row],[Nó]],$B$7:B554,detalhe_carro1[[#This Row],[Numero Voltas]],$L$7:L554,1)</f>
        <v>472</v>
      </c>
      <c r="O555" s="3">
        <f>IF(OR(detalhe_carro1[[#This Row],[Ultima Chegada]]=0,detalhe_carro1[[#This Row],[Chegada]]=0),"",detalhe_carro1[[#This Row],[Hora Inicio]]-detalhe_carro1[[#This Row],[Ultima Chegada]])</f>
        <v>32</v>
      </c>
      <c r="P555" s="3">
        <f>IF(detalhe_carro1[[#This Row],[Tipo]]="Visitar Nó",((detalhe_carro1[[#This Row],[Hora Fim]]-detalhe_carro1[[#This Row],[Hora Inicio]])/60*velocidade_nos),0)</f>
        <v>0</v>
      </c>
      <c r="Q555" s="29">
        <f>detalhe_carro1[[#This Row],[Kms Nós]]+detalhe_carro1[[#This Row],[kms]]</f>
        <v>3</v>
      </c>
    </row>
    <row r="556" spans="2:17" x14ac:dyDescent="0.25">
      <c r="B556" s="3">
        <v>4</v>
      </c>
      <c r="C556">
        <v>0</v>
      </c>
      <c r="D556">
        <v>7</v>
      </c>
      <c r="E556" s="29" t="s">
        <v>33</v>
      </c>
      <c r="F556" s="3">
        <v>507</v>
      </c>
      <c r="G556" s="3">
        <v>507</v>
      </c>
      <c r="H556" s="29" t="s">
        <v>51</v>
      </c>
      <c r="I556" s="3">
        <v>3</v>
      </c>
      <c r="J556" s="7">
        <v>0.64375000000000004</v>
      </c>
      <c r="K556" s="7">
        <v>0.64375000000000004</v>
      </c>
      <c r="L556" s="3">
        <f t="shared" si="17"/>
        <v>0</v>
      </c>
      <c r="M556" s="3">
        <f t="shared" si="18"/>
        <v>1</v>
      </c>
      <c r="N556" s="29">
        <f>_xlfn.MAXIFS($G$7:G555,$E$7:E555,detalhe_carro1[[#This Row],[Nó]],$B$7:B555,detalhe_carro1[[#This Row],[Numero Voltas]],$L$7:L555,1)</f>
        <v>469</v>
      </c>
      <c r="O556" s="3">
        <f>IF(OR(detalhe_carro1[[#This Row],[Ultima Chegada]]=0,detalhe_carro1[[#This Row],[Chegada]]=0),"",detalhe_carro1[[#This Row],[Hora Inicio]]-detalhe_carro1[[#This Row],[Ultima Chegada]])</f>
        <v>38</v>
      </c>
      <c r="P556" s="3">
        <f>IF(detalhe_carro1[[#This Row],[Tipo]]="Visitar Nó",((detalhe_carro1[[#This Row],[Hora Fim]]-detalhe_carro1[[#This Row],[Hora Inicio]])/60*velocidade_nos),0)</f>
        <v>0</v>
      </c>
      <c r="Q556" s="29">
        <f>detalhe_carro1[[#This Row],[Kms Nós]]+detalhe_carro1[[#This Row],[kms]]</f>
        <v>3</v>
      </c>
    </row>
    <row r="557" spans="2:17" x14ac:dyDescent="0.25">
      <c r="B557" s="3">
        <v>4</v>
      </c>
      <c r="C557">
        <v>0</v>
      </c>
      <c r="D557">
        <v>7</v>
      </c>
      <c r="E557" s="29" t="s">
        <v>33</v>
      </c>
      <c r="F557" s="3">
        <v>507</v>
      </c>
      <c r="G557" s="3">
        <v>507</v>
      </c>
      <c r="H557" s="29" t="s">
        <v>51</v>
      </c>
      <c r="I557" s="3">
        <v>3</v>
      </c>
      <c r="J557" s="7">
        <v>0.64375000000000004</v>
      </c>
      <c r="K557" s="7">
        <v>0.64375000000000004</v>
      </c>
      <c r="L557" s="3">
        <f t="shared" si="17"/>
        <v>1</v>
      </c>
      <c r="M557" s="3">
        <f t="shared" si="18"/>
        <v>0</v>
      </c>
      <c r="N557" s="29">
        <f>_xlfn.MAXIFS($G$7:G556,$E$7:E556,detalhe_carro1[[#This Row],[Nó]],$B$7:B556,detalhe_carro1[[#This Row],[Numero Voltas]],$L$7:L556,1)</f>
        <v>469</v>
      </c>
      <c r="O557" s="3" t="str">
        <f>IF(OR(detalhe_carro1[[#This Row],[Ultima Chegada]]=0,detalhe_carro1[[#This Row],[Chegada]]=0),"",detalhe_carro1[[#This Row],[Hora Inicio]]-detalhe_carro1[[#This Row],[Ultima Chegada]])</f>
        <v/>
      </c>
      <c r="P557" s="3">
        <f>IF(detalhe_carro1[[#This Row],[Tipo]]="Visitar Nó",((detalhe_carro1[[#This Row],[Hora Fim]]-detalhe_carro1[[#This Row],[Hora Inicio]])/60*velocidade_nos),0)</f>
        <v>0</v>
      </c>
      <c r="Q557" s="29">
        <f>detalhe_carro1[[#This Row],[Kms Nós]]+detalhe_carro1[[#This Row],[kms]]</f>
        <v>3</v>
      </c>
    </row>
    <row r="558" spans="2:17" x14ac:dyDescent="0.25">
      <c r="B558" s="3">
        <v>4</v>
      </c>
      <c r="C558">
        <v>0</v>
      </c>
      <c r="D558">
        <v>6</v>
      </c>
      <c r="E558" s="29" t="s">
        <v>31</v>
      </c>
      <c r="F558" s="3">
        <v>510</v>
      </c>
      <c r="G558" s="3">
        <v>510</v>
      </c>
      <c r="H558" s="29" t="s">
        <v>51</v>
      </c>
      <c r="I558" s="3">
        <v>3</v>
      </c>
      <c r="J558" s="7">
        <v>0.64583333333333337</v>
      </c>
      <c r="K558" s="7">
        <v>0.64583333333333337</v>
      </c>
      <c r="L558" s="3">
        <f t="shared" si="17"/>
        <v>1</v>
      </c>
      <c r="M558" s="3">
        <f t="shared" si="18"/>
        <v>1</v>
      </c>
      <c r="N558" s="29">
        <f>_xlfn.MAXIFS($G$7:G557,$E$7:E557,detalhe_carro1[[#This Row],[Nó]],$B$7:B557,detalhe_carro1[[#This Row],[Numero Voltas]],$L$7:L557,1)</f>
        <v>504</v>
      </c>
      <c r="O558" s="3">
        <f>IF(OR(detalhe_carro1[[#This Row],[Ultima Chegada]]=0,detalhe_carro1[[#This Row],[Chegada]]=0),"",detalhe_carro1[[#This Row],[Hora Inicio]]-detalhe_carro1[[#This Row],[Ultima Chegada]])</f>
        <v>6</v>
      </c>
      <c r="P558" s="3">
        <f>IF(detalhe_carro1[[#This Row],[Tipo]]="Visitar Nó",((detalhe_carro1[[#This Row],[Hora Fim]]-detalhe_carro1[[#This Row],[Hora Inicio]])/60*velocidade_nos),0)</f>
        <v>0</v>
      </c>
      <c r="Q558" s="29">
        <f>detalhe_carro1[[#This Row],[Kms Nós]]+detalhe_carro1[[#This Row],[kms]]</f>
        <v>3</v>
      </c>
    </row>
    <row r="559" spans="2:17" x14ac:dyDescent="0.25">
      <c r="B559" s="3">
        <v>4</v>
      </c>
      <c r="C559">
        <v>0</v>
      </c>
      <c r="D559">
        <v>5</v>
      </c>
      <c r="E559" s="29" t="s">
        <v>29</v>
      </c>
      <c r="F559" s="3">
        <v>513</v>
      </c>
      <c r="G559" s="3">
        <v>513</v>
      </c>
      <c r="H559" s="29" t="s">
        <v>51</v>
      </c>
      <c r="I559" s="3">
        <v>3</v>
      </c>
      <c r="J559" s="7">
        <v>0.6479166666666667</v>
      </c>
      <c r="K559" s="7">
        <v>0.6479166666666667</v>
      </c>
      <c r="L559" s="3">
        <f t="shared" si="17"/>
        <v>1</v>
      </c>
      <c r="M559" s="3">
        <f t="shared" si="18"/>
        <v>1</v>
      </c>
      <c r="N559" s="29">
        <f>_xlfn.MAXIFS($G$7:G558,$E$7:E558,detalhe_carro1[[#This Row],[Nó]],$B$7:B558,detalhe_carro1[[#This Row],[Numero Voltas]],$L$7:L558,1)</f>
        <v>501</v>
      </c>
      <c r="O559" s="3">
        <f>IF(OR(detalhe_carro1[[#This Row],[Ultima Chegada]]=0,detalhe_carro1[[#This Row],[Chegada]]=0),"",detalhe_carro1[[#This Row],[Hora Inicio]]-detalhe_carro1[[#This Row],[Ultima Chegada]])</f>
        <v>12</v>
      </c>
      <c r="P559" s="3">
        <f>IF(detalhe_carro1[[#This Row],[Tipo]]="Visitar Nó",((detalhe_carro1[[#This Row],[Hora Fim]]-detalhe_carro1[[#This Row],[Hora Inicio]])/60*velocidade_nos),0)</f>
        <v>0</v>
      </c>
      <c r="Q559" s="29">
        <f>detalhe_carro1[[#This Row],[Kms Nós]]+detalhe_carro1[[#This Row],[kms]]</f>
        <v>3</v>
      </c>
    </row>
    <row r="560" spans="2:17" x14ac:dyDescent="0.25">
      <c r="B560" s="3">
        <v>4</v>
      </c>
      <c r="C560">
        <v>0</v>
      </c>
      <c r="D560">
        <v>4</v>
      </c>
      <c r="E560" s="29" t="s">
        <v>27</v>
      </c>
      <c r="F560" s="3">
        <v>516</v>
      </c>
      <c r="G560" s="3">
        <v>516</v>
      </c>
      <c r="H560" s="29" t="s">
        <v>51</v>
      </c>
      <c r="I560" s="3">
        <v>3</v>
      </c>
      <c r="J560" s="7">
        <v>0.65</v>
      </c>
      <c r="K560" s="7">
        <v>0.65</v>
      </c>
      <c r="L560" s="3">
        <f t="shared" si="17"/>
        <v>1</v>
      </c>
      <c r="M560" s="3">
        <f t="shared" si="18"/>
        <v>1</v>
      </c>
      <c r="N560" s="29">
        <f>_xlfn.MAXIFS($G$7:G559,$E$7:E559,detalhe_carro1[[#This Row],[Nó]],$B$7:B559,detalhe_carro1[[#This Row],[Numero Voltas]],$L$7:L559,1)</f>
        <v>498</v>
      </c>
      <c r="O560" s="3">
        <f>IF(OR(detalhe_carro1[[#This Row],[Ultima Chegada]]=0,detalhe_carro1[[#This Row],[Chegada]]=0),"",detalhe_carro1[[#This Row],[Hora Inicio]]-detalhe_carro1[[#This Row],[Ultima Chegada]])</f>
        <v>18</v>
      </c>
      <c r="P560" s="3">
        <f>IF(detalhe_carro1[[#This Row],[Tipo]]="Visitar Nó",((detalhe_carro1[[#This Row],[Hora Fim]]-detalhe_carro1[[#This Row],[Hora Inicio]])/60*velocidade_nos),0)</f>
        <v>0</v>
      </c>
      <c r="Q560" s="29">
        <f>detalhe_carro1[[#This Row],[Kms Nós]]+detalhe_carro1[[#This Row],[kms]]</f>
        <v>3</v>
      </c>
    </row>
    <row r="561" spans="2:17" x14ac:dyDescent="0.25">
      <c r="B561" s="3">
        <v>4</v>
      </c>
      <c r="C561">
        <v>0</v>
      </c>
      <c r="D561">
        <v>3</v>
      </c>
      <c r="E561" s="29" t="s">
        <v>26</v>
      </c>
      <c r="F561" s="3">
        <v>517</v>
      </c>
      <c r="G561" s="3">
        <v>517</v>
      </c>
      <c r="H561" s="29" t="s">
        <v>51</v>
      </c>
      <c r="I561" s="3">
        <v>1</v>
      </c>
      <c r="J561" s="7">
        <v>0.65069444444444446</v>
      </c>
      <c r="K561" s="7">
        <v>0.65069444444444446</v>
      </c>
      <c r="L561" s="3">
        <f t="shared" si="17"/>
        <v>1</v>
      </c>
      <c r="M561" s="3">
        <f t="shared" si="18"/>
        <v>1</v>
      </c>
      <c r="N561" s="29">
        <f>_xlfn.MAXIFS($G$7:G560,$E$7:E560,detalhe_carro1[[#This Row],[Nó]],$B$7:B560,detalhe_carro1[[#This Row],[Numero Voltas]],$L$7:L560,1)</f>
        <v>497</v>
      </c>
      <c r="O561" s="3">
        <f>IF(OR(detalhe_carro1[[#This Row],[Ultima Chegada]]=0,detalhe_carro1[[#This Row],[Chegada]]=0),"",detalhe_carro1[[#This Row],[Hora Inicio]]-detalhe_carro1[[#This Row],[Ultima Chegada]])</f>
        <v>20</v>
      </c>
      <c r="P561" s="3">
        <f>IF(detalhe_carro1[[#This Row],[Tipo]]="Visitar Nó",((detalhe_carro1[[#This Row],[Hora Fim]]-detalhe_carro1[[#This Row],[Hora Inicio]])/60*velocidade_nos),0)</f>
        <v>0</v>
      </c>
      <c r="Q561" s="29">
        <f>detalhe_carro1[[#This Row],[Kms Nós]]+detalhe_carro1[[#This Row],[kms]]</f>
        <v>1</v>
      </c>
    </row>
    <row r="562" spans="2:17" x14ac:dyDescent="0.25">
      <c r="B562" s="3">
        <v>4</v>
      </c>
      <c r="C562">
        <v>0</v>
      </c>
      <c r="D562">
        <v>2</v>
      </c>
      <c r="E562" s="29" t="s">
        <v>24</v>
      </c>
      <c r="F562" s="3">
        <v>518</v>
      </c>
      <c r="G562" s="3">
        <v>518</v>
      </c>
      <c r="H562" s="29" t="s">
        <v>51</v>
      </c>
      <c r="I562" s="3">
        <v>1</v>
      </c>
      <c r="J562" s="7">
        <v>0.65138888888888891</v>
      </c>
      <c r="K562" s="7">
        <v>0.65138888888888891</v>
      </c>
      <c r="L562" s="3">
        <f t="shared" si="17"/>
        <v>1</v>
      </c>
      <c r="M562" s="3">
        <f t="shared" si="18"/>
        <v>1</v>
      </c>
      <c r="N562" s="29">
        <f>_xlfn.MAXIFS($G$7:G561,$E$7:E561,detalhe_carro1[[#This Row],[Nó]],$B$7:B561,detalhe_carro1[[#This Row],[Numero Voltas]],$L$7:L561,1)</f>
        <v>496</v>
      </c>
      <c r="O562" s="3">
        <f>IF(OR(detalhe_carro1[[#This Row],[Ultima Chegada]]=0,detalhe_carro1[[#This Row],[Chegada]]=0),"",detalhe_carro1[[#This Row],[Hora Inicio]]-detalhe_carro1[[#This Row],[Ultima Chegada]])</f>
        <v>22</v>
      </c>
      <c r="P562" s="3">
        <f>IF(detalhe_carro1[[#This Row],[Tipo]]="Visitar Nó",((detalhe_carro1[[#This Row],[Hora Fim]]-detalhe_carro1[[#This Row],[Hora Inicio]])/60*velocidade_nos),0)</f>
        <v>0</v>
      </c>
      <c r="Q562" s="29">
        <f>detalhe_carro1[[#This Row],[Kms Nós]]+detalhe_carro1[[#This Row],[kms]]</f>
        <v>1</v>
      </c>
    </row>
    <row r="563" spans="2:17" x14ac:dyDescent="0.25">
      <c r="B563" s="3">
        <v>4</v>
      </c>
      <c r="C563">
        <v>0</v>
      </c>
      <c r="D563">
        <v>1</v>
      </c>
      <c r="E563" s="29" t="s">
        <v>22</v>
      </c>
      <c r="F563" s="3">
        <v>525</v>
      </c>
      <c r="G563" s="3">
        <v>525</v>
      </c>
      <c r="H563" s="29" t="s">
        <v>51</v>
      </c>
      <c r="I563" s="3">
        <v>7</v>
      </c>
      <c r="J563" s="7">
        <v>0.65625</v>
      </c>
      <c r="K563" s="7">
        <v>0.65625</v>
      </c>
      <c r="L563" s="3">
        <f t="shared" si="17"/>
        <v>1</v>
      </c>
      <c r="M563" s="3">
        <f t="shared" si="18"/>
        <v>1</v>
      </c>
      <c r="N563" s="29">
        <f>_xlfn.MAXIFS($G$7:G562,$E$7:E562,detalhe_carro1[[#This Row],[Nó]],$B$7:B562,detalhe_carro1[[#This Row],[Numero Voltas]],$L$7:L562,1)</f>
        <v>489</v>
      </c>
      <c r="O563" s="3">
        <f>IF(OR(detalhe_carro1[[#This Row],[Ultima Chegada]]=0,detalhe_carro1[[#This Row],[Chegada]]=0),"",detalhe_carro1[[#This Row],[Hora Inicio]]-detalhe_carro1[[#This Row],[Ultima Chegada]])</f>
        <v>36</v>
      </c>
      <c r="P563" s="3">
        <f>IF(detalhe_carro1[[#This Row],[Tipo]]="Visitar Nó",((detalhe_carro1[[#This Row],[Hora Fim]]-detalhe_carro1[[#This Row],[Hora Inicio]])/60*velocidade_nos),0)</f>
        <v>0</v>
      </c>
      <c r="Q563" s="29">
        <f>detalhe_carro1[[#This Row],[Kms Nós]]+detalhe_carro1[[#This Row],[kms]]</f>
        <v>7</v>
      </c>
    </row>
    <row r="564" spans="2:17" x14ac:dyDescent="0.25">
      <c r="B564" s="3">
        <v>4</v>
      </c>
      <c r="C564">
        <v>0</v>
      </c>
      <c r="D564">
        <v>0</v>
      </c>
      <c r="E564" s="29" t="s">
        <v>20</v>
      </c>
      <c r="F564" s="3">
        <v>526</v>
      </c>
      <c r="G564" s="3">
        <v>526</v>
      </c>
      <c r="H564" s="29" t="s">
        <v>51</v>
      </c>
      <c r="I564" s="3">
        <v>1</v>
      </c>
      <c r="J564" s="7">
        <v>0.65694444444444444</v>
      </c>
      <c r="K564" s="7">
        <v>0.65694444444444444</v>
      </c>
      <c r="L564" s="3">
        <f t="shared" si="17"/>
        <v>0</v>
      </c>
      <c r="M564" s="3">
        <f t="shared" si="18"/>
        <v>1</v>
      </c>
      <c r="N564" s="29">
        <f>_xlfn.MAXIFS($G$7:G563,$E$7:E563,detalhe_carro1[[#This Row],[Nó]],$B$7:B563,detalhe_carro1[[#This Row],[Numero Voltas]],$L$7:L563,1)</f>
        <v>488</v>
      </c>
      <c r="O564" s="3">
        <f>IF(OR(detalhe_carro1[[#This Row],[Ultima Chegada]]=0,detalhe_carro1[[#This Row],[Chegada]]=0),"",detalhe_carro1[[#This Row],[Hora Inicio]]-detalhe_carro1[[#This Row],[Ultima Chegada]])</f>
        <v>38</v>
      </c>
      <c r="P564" s="3">
        <f>IF(detalhe_carro1[[#This Row],[Tipo]]="Visitar Nó",((detalhe_carro1[[#This Row],[Hora Fim]]-detalhe_carro1[[#This Row],[Hora Inicio]])/60*velocidade_nos),0)</f>
        <v>0</v>
      </c>
      <c r="Q564" s="29">
        <f>detalhe_carro1[[#This Row],[Kms Nós]]+detalhe_carro1[[#This Row],[kms]]</f>
        <v>1</v>
      </c>
    </row>
    <row r="565" spans="2:17" x14ac:dyDescent="0.25">
      <c r="B565" s="3">
        <v>4</v>
      </c>
      <c r="C565">
        <v>0</v>
      </c>
      <c r="D565">
        <v>0</v>
      </c>
      <c r="E565" s="29" t="s">
        <v>20</v>
      </c>
      <c r="F565" s="3">
        <v>526</v>
      </c>
      <c r="G565" s="3">
        <v>526</v>
      </c>
      <c r="H565" s="29" t="s">
        <v>51</v>
      </c>
      <c r="I565" s="3">
        <v>1</v>
      </c>
      <c r="J565" s="7">
        <v>0.65694444444444444</v>
      </c>
      <c r="K565" s="7">
        <v>0.65694444444444444</v>
      </c>
      <c r="L565" s="3">
        <f t="shared" si="17"/>
        <v>1</v>
      </c>
      <c r="M565" s="3">
        <f t="shared" si="18"/>
        <v>0</v>
      </c>
      <c r="N565" s="29">
        <f>_xlfn.MAXIFS($G$7:G564,$E$7:E564,detalhe_carro1[[#This Row],[Nó]],$B$7:B564,detalhe_carro1[[#This Row],[Numero Voltas]],$L$7:L564,1)</f>
        <v>488</v>
      </c>
      <c r="O565" s="3" t="str">
        <f>IF(OR(detalhe_carro1[[#This Row],[Ultima Chegada]]=0,detalhe_carro1[[#This Row],[Chegada]]=0),"",detalhe_carro1[[#This Row],[Hora Inicio]]-detalhe_carro1[[#This Row],[Ultima Chegada]])</f>
        <v/>
      </c>
      <c r="P565" s="3">
        <f>IF(detalhe_carro1[[#This Row],[Tipo]]="Visitar Nó",((detalhe_carro1[[#This Row],[Hora Fim]]-detalhe_carro1[[#This Row],[Hora Inicio]])/60*velocidade_nos),0)</f>
        <v>0</v>
      </c>
      <c r="Q565" s="29">
        <f>detalhe_carro1[[#This Row],[Kms Nós]]+detalhe_carro1[[#This Row],[kms]]</f>
        <v>1</v>
      </c>
    </row>
    <row r="566" spans="2:17" x14ac:dyDescent="0.25">
      <c r="B566" s="3">
        <v>4</v>
      </c>
      <c r="C566">
        <v>0</v>
      </c>
      <c r="D566">
        <v>1</v>
      </c>
      <c r="E566" s="29" t="s">
        <v>22</v>
      </c>
      <c r="F566" s="3">
        <v>527</v>
      </c>
      <c r="G566" s="3">
        <v>527</v>
      </c>
      <c r="H566" s="29" t="s">
        <v>51</v>
      </c>
      <c r="I566" s="3">
        <v>1</v>
      </c>
      <c r="J566" s="7">
        <v>0.65763888888888888</v>
      </c>
      <c r="K566" s="7">
        <v>0.65763888888888888</v>
      </c>
      <c r="L566" s="3">
        <f t="shared" si="17"/>
        <v>1</v>
      </c>
      <c r="M566" s="3">
        <f t="shared" si="18"/>
        <v>1</v>
      </c>
      <c r="N566" s="29">
        <f>_xlfn.MAXIFS($G$7:G565,$E$7:E565,detalhe_carro1[[#This Row],[Nó]],$B$7:B565,detalhe_carro1[[#This Row],[Numero Voltas]],$L$7:L565,1)</f>
        <v>525</v>
      </c>
      <c r="O566" s="3">
        <f>IF(OR(detalhe_carro1[[#This Row],[Ultima Chegada]]=0,detalhe_carro1[[#This Row],[Chegada]]=0),"",detalhe_carro1[[#This Row],[Hora Inicio]]-detalhe_carro1[[#This Row],[Ultima Chegada]])</f>
        <v>2</v>
      </c>
      <c r="P566" s="3">
        <f>IF(detalhe_carro1[[#This Row],[Tipo]]="Visitar Nó",((detalhe_carro1[[#This Row],[Hora Fim]]-detalhe_carro1[[#This Row],[Hora Inicio]])/60*velocidade_nos),0)</f>
        <v>0</v>
      </c>
      <c r="Q566" s="29">
        <f>detalhe_carro1[[#This Row],[Kms Nós]]+detalhe_carro1[[#This Row],[kms]]</f>
        <v>1</v>
      </c>
    </row>
    <row r="567" spans="2:17" x14ac:dyDescent="0.25">
      <c r="B567" s="3">
        <v>4</v>
      </c>
      <c r="C567">
        <v>0</v>
      </c>
      <c r="D567">
        <v>2</v>
      </c>
      <c r="E567" s="29" t="s">
        <v>24</v>
      </c>
      <c r="F567" s="3">
        <v>534</v>
      </c>
      <c r="G567" s="3">
        <v>534</v>
      </c>
      <c r="H567" s="29" t="s">
        <v>51</v>
      </c>
      <c r="I567" s="3">
        <v>7</v>
      </c>
      <c r="J567" s="7">
        <v>0.66249999999999998</v>
      </c>
      <c r="K567" s="7">
        <v>0.66249999999999998</v>
      </c>
      <c r="L567" s="3">
        <f t="shared" si="17"/>
        <v>1</v>
      </c>
      <c r="M567" s="3">
        <f t="shared" si="18"/>
        <v>1</v>
      </c>
      <c r="N567" s="29">
        <f>_xlfn.MAXIFS($G$7:G566,$E$7:E566,detalhe_carro1[[#This Row],[Nó]],$B$7:B566,detalhe_carro1[[#This Row],[Numero Voltas]],$L$7:L566,1)</f>
        <v>518</v>
      </c>
      <c r="O567" s="3">
        <f>IF(OR(detalhe_carro1[[#This Row],[Ultima Chegada]]=0,detalhe_carro1[[#This Row],[Chegada]]=0),"",detalhe_carro1[[#This Row],[Hora Inicio]]-detalhe_carro1[[#This Row],[Ultima Chegada]])</f>
        <v>16</v>
      </c>
      <c r="P567" s="3">
        <f>IF(detalhe_carro1[[#This Row],[Tipo]]="Visitar Nó",((detalhe_carro1[[#This Row],[Hora Fim]]-detalhe_carro1[[#This Row],[Hora Inicio]])/60*velocidade_nos),0)</f>
        <v>0</v>
      </c>
      <c r="Q567" s="29">
        <f>detalhe_carro1[[#This Row],[Kms Nós]]+detalhe_carro1[[#This Row],[kms]]</f>
        <v>7</v>
      </c>
    </row>
    <row r="568" spans="2:17" x14ac:dyDescent="0.25">
      <c r="B568" s="3">
        <v>4</v>
      </c>
      <c r="C568">
        <v>0</v>
      </c>
      <c r="D568">
        <v>3</v>
      </c>
      <c r="E568" s="29" t="s">
        <v>26</v>
      </c>
      <c r="F568" s="3">
        <v>535</v>
      </c>
      <c r="G568" s="3">
        <v>535</v>
      </c>
      <c r="H568" s="29" t="s">
        <v>51</v>
      </c>
      <c r="I568" s="3">
        <v>1</v>
      </c>
      <c r="J568" s="7">
        <v>0.66319444444444442</v>
      </c>
      <c r="K568" s="7">
        <v>0.66319444444444442</v>
      </c>
      <c r="L568" s="3">
        <f t="shared" si="17"/>
        <v>1</v>
      </c>
      <c r="M568" s="3">
        <f t="shared" si="18"/>
        <v>1</v>
      </c>
      <c r="N568" s="29">
        <f>_xlfn.MAXIFS($G$7:G567,$E$7:E567,detalhe_carro1[[#This Row],[Nó]],$B$7:B567,detalhe_carro1[[#This Row],[Numero Voltas]],$L$7:L567,1)</f>
        <v>517</v>
      </c>
      <c r="O568" s="3">
        <f>IF(OR(detalhe_carro1[[#This Row],[Ultima Chegada]]=0,detalhe_carro1[[#This Row],[Chegada]]=0),"",detalhe_carro1[[#This Row],[Hora Inicio]]-detalhe_carro1[[#This Row],[Ultima Chegada]])</f>
        <v>18</v>
      </c>
      <c r="P568" s="3">
        <f>IF(detalhe_carro1[[#This Row],[Tipo]]="Visitar Nó",((detalhe_carro1[[#This Row],[Hora Fim]]-detalhe_carro1[[#This Row],[Hora Inicio]])/60*velocidade_nos),0)</f>
        <v>0</v>
      </c>
      <c r="Q568" s="29">
        <f>detalhe_carro1[[#This Row],[Kms Nós]]+detalhe_carro1[[#This Row],[kms]]</f>
        <v>1</v>
      </c>
    </row>
    <row r="569" spans="2:17" x14ac:dyDescent="0.25">
      <c r="B569" s="3">
        <v>4</v>
      </c>
      <c r="C569">
        <v>0</v>
      </c>
      <c r="D569">
        <v>4</v>
      </c>
      <c r="E569" s="29" t="s">
        <v>27</v>
      </c>
      <c r="F569" s="3">
        <v>536</v>
      </c>
      <c r="G569" s="3">
        <v>536</v>
      </c>
      <c r="H569" s="29" t="s">
        <v>51</v>
      </c>
      <c r="I569" s="3">
        <v>1</v>
      </c>
      <c r="J569" s="7">
        <v>0.66388888888888886</v>
      </c>
      <c r="K569" s="7">
        <v>0.66388888888888886</v>
      </c>
      <c r="L569" s="3">
        <f t="shared" si="17"/>
        <v>1</v>
      </c>
      <c r="M569" s="3">
        <f t="shared" si="18"/>
        <v>1</v>
      </c>
      <c r="N569" s="29">
        <f>_xlfn.MAXIFS($G$7:G568,$E$7:E568,detalhe_carro1[[#This Row],[Nó]],$B$7:B568,detalhe_carro1[[#This Row],[Numero Voltas]],$L$7:L568,1)</f>
        <v>516</v>
      </c>
      <c r="O569" s="3">
        <f>IF(OR(detalhe_carro1[[#This Row],[Ultima Chegada]]=0,detalhe_carro1[[#This Row],[Chegada]]=0),"",detalhe_carro1[[#This Row],[Hora Inicio]]-detalhe_carro1[[#This Row],[Ultima Chegada]])</f>
        <v>20</v>
      </c>
      <c r="P569" s="3">
        <f>IF(detalhe_carro1[[#This Row],[Tipo]]="Visitar Nó",((detalhe_carro1[[#This Row],[Hora Fim]]-detalhe_carro1[[#This Row],[Hora Inicio]])/60*velocidade_nos),0)</f>
        <v>0</v>
      </c>
      <c r="Q569" s="29">
        <f>detalhe_carro1[[#This Row],[Kms Nós]]+detalhe_carro1[[#This Row],[kms]]</f>
        <v>1</v>
      </c>
    </row>
    <row r="570" spans="2:17" x14ac:dyDescent="0.25">
      <c r="B570" s="3">
        <v>4</v>
      </c>
      <c r="C570">
        <v>0</v>
      </c>
      <c r="D570">
        <v>5</v>
      </c>
      <c r="E570" s="29" t="s">
        <v>29</v>
      </c>
      <c r="F570" s="3">
        <v>539</v>
      </c>
      <c r="G570" s="3">
        <v>539</v>
      </c>
      <c r="H570" s="29" t="s">
        <v>51</v>
      </c>
      <c r="I570" s="3">
        <v>3</v>
      </c>
      <c r="J570" s="7">
        <v>0.66597222222222219</v>
      </c>
      <c r="K570" s="7">
        <v>0.66597222222222219</v>
      </c>
      <c r="L570" s="3">
        <f t="shared" si="17"/>
        <v>1</v>
      </c>
      <c r="M570" s="3">
        <f t="shared" si="18"/>
        <v>1</v>
      </c>
      <c r="N570" s="29">
        <f>_xlfn.MAXIFS($G$7:G569,$E$7:E569,detalhe_carro1[[#This Row],[Nó]],$B$7:B569,detalhe_carro1[[#This Row],[Numero Voltas]],$L$7:L569,1)</f>
        <v>513</v>
      </c>
      <c r="O570" s="3">
        <f>IF(OR(detalhe_carro1[[#This Row],[Ultima Chegada]]=0,detalhe_carro1[[#This Row],[Chegada]]=0),"",detalhe_carro1[[#This Row],[Hora Inicio]]-detalhe_carro1[[#This Row],[Ultima Chegada]])</f>
        <v>26</v>
      </c>
      <c r="P570" s="3">
        <f>IF(detalhe_carro1[[#This Row],[Tipo]]="Visitar Nó",((detalhe_carro1[[#This Row],[Hora Fim]]-detalhe_carro1[[#This Row],[Hora Inicio]])/60*velocidade_nos),0)</f>
        <v>0</v>
      </c>
      <c r="Q570" s="29">
        <f>detalhe_carro1[[#This Row],[Kms Nós]]+detalhe_carro1[[#This Row],[kms]]</f>
        <v>3</v>
      </c>
    </row>
    <row r="571" spans="2:17" x14ac:dyDescent="0.25">
      <c r="B571" s="3">
        <v>4</v>
      </c>
      <c r="C571">
        <v>0</v>
      </c>
      <c r="D571">
        <v>6</v>
      </c>
      <c r="E571" s="29" t="s">
        <v>31</v>
      </c>
      <c r="F571" s="3">
        <v>542</v>
      </c>
      <c r="G571" s="3">
        <v>542</v>
      </c>
      <c r="H571" s="29" t="s">
        <v>51</v>
      </c>
      <c r="I571" s="3">
        <v>3</v>
      </c>
      <c r="J571" s="7">
        <v>0.66805555555555551</v>
      </c>
      <c r="K571" s="7">
        <v>0.66805555555555551</v>
      </c>
      <c r="L571" s="3">
        <f t="shared" si="17"/>
        <v>1</v>
      </c>
      <c r="M571" s="3">
        <f t="shared" si="18"/>
        <v>1</v>
      </c>
      <c r="N571" s="29">
        <f>_xlfn.MAXIFS($G$7:G570,$E$7:E570,detalhe_carro1[[#This Row],[Nó]],$B$7:B570,detalhe_carro1[[#This Row],[Numero Voltas]],$L$7:L570,1)</f>
        <v>510</v>
      </c>
      <c r="O571" s="3">
        <f>IF(OR(detalhe_carro1[[#This Row],[Ultima Chegada]]=0,detalhe_carro1[[#This Row],[Chegada]]=0),"",detalhe_carro1[[#This Row],[Hora Inicio]]-detalhe_carro1[[#This Row],[Ultima Chegada]])</f>
        <v>32</v>
      </c>
      <c r="P571" s="3">
        <f>IF(detalhe_carro1[[#This Row],[Tipo]]="Visitar Nó",((detalhe_carro1[[#This Row],[Hora Fim]]-detalhe_carro1[[#This Row],[Hora Inicio]])/60*velocidade_nos),0)</f>
        <v>0</v>
      </c>
      <c r="Q571" s="29">
        <f>detalhe_carro1[[#This Row],[Kms Nós]]+detalhe_carro1[[#This Row],[kms]]</f>
        <v>3</v>
      </c>
    </row>
    <row r="572" spans="2:17" x14ac:dyDescent="0.25">
      <c r="B572" s="3">
        <v>4</v>
      </c>
      <c r="C572">
        <v>0</v>
      </c>
      <c r="D572">
        <v>7</v>
      </c>
      <c r="E572" s="29" t="s">
        <v>33</v>
      </c>
      <c r="F572" s="3">
        <v>545</v>
      </c>
      <c r="G572" s="3">
        <v>545</v>
      </c>
      <c r="H572" s="29" t="s">
        <v>51</v>
      </c>
      <c r="I572" s="3">
        <v>3</v>
      </c>
      <c r="J572" s="7">
        <v>0.67013888888888884</v>
      </c>
      <c r="K572" s="7">
        <v>0.67013888888888884</v>
      </c>
      <c r="L572" s="3">
        <f t="shared" si="17"/>
        <v>0</v>
      </c>
      <c r="M572" s="3">
        <f t="shared" si="18"/>
        <v>1</v>
      </c>
      <c r="N572" s="29">
        <f>_xlfn.MAXIFS($G$7:G571,$E$7:E571,detalhe_carro1[[#This Row],[Nó]],$B$7:B571,detalhe_carro1[[#This Row],[Numero Voltas]],$L$7:L571,1)</f>
        <v>507</v>
      </c>
      <c r="O572" s="3">
        <f>IF(OR(detalhe_carro1[[#This Row],[Ultima Chegada]]=0,detalhe_carro1[[#This Row],[Chegada]]=0),"",detalhe_carro1[[#This Row],[Hora Inicio]]-detalhe_carro1[[#This Row],[Ultima Chegada]])</f>
        <v>38</v>
      </c>
      <c r="P572" s="3">
        <f>IF(detalhe_carro1[[#This Row],[Tipo]]="Visitar Nó",((detalhe_carro1[[#This Row],[Hora Fim]]-detalhe_carro1[[#This Row],[Hora Inicio]])/60*velocidade_nos),0)</f>
        <v>0</v>
      </c>
      <c r="Q572" s="29">
        <f>detalhe_carro1[[#This Row],[Kms Nós]]+detalhe_carro1[[#This Row],[kms]]</f>
        <v>3</v>
      </c>
    </row>
    <row r="573" spans="2:17" x14ac:dyDescent="0.25">
      <c r="B573" s="3">
        <v>4</v>
      </c>
      <c r="C573">
        <v>0</v>
      </c>
      <c r="D573">
        <v>7</v>
      </c>
      <c r="E573" s="29" t="s">
        <v>33</v>
      </c>
      <c r="F573" s="3">
        <v>545</v>
      </c>
      <c r="G573" s="3">
        <v>545</v>
      </c>
      <c r="H573" s="29" t="s">
        <v>51</v>
      </c>
      <c r="I573" s="3">
        <v>3</v>
      </c>
      <c r="J573" s="7">
        <v>0.67013888888888884</v>
      </c>
      <c r="K573" s="7">
        <v>0.67013888888888884</v>
      </c>
      <c r="L573" s="3">
        <f t="shared" si="17"/>
        <v>1</v>
      </c>
      <c r="M573" s="3">
        <f t="shared" si="18"/>
        <v>0</v>
      </c>
      <c r="N573" s="29">
        <f>_xlfn.MAXIFS($G$7:G572,$E$7:E572,detalhe_carro1[[#This Row],[Nó]],$B$7:B572,detalhe_carro1[[#This Row],[Numero Voltas]],$L$7:L572,1)</f>
        <v>507</v>
      </c>
      <c r="O573" s="3" t="str">
        <f>IF(OR(detalhe_carro1[[#This Row],[Ultima Chegada]]=0,detalhe_carro1[[#This Row],[Chegada]]=0),"",detalhe_carro1[[#This Row],[Hora Inicio]]-detalhe_carro1[[#This Row],[Ultima Chegada]])</f>
        <v/>
      </c>
      <c r="P573" s="3">
        <f>IF(detalhe_carro1[[#This Row],[Tipo]]="Visitar Nó",((detalhe_carro1[[#This Row],[Hora Fim]]-detalhe_carro1[[#This Row],[Hora Inicio]])/60*velocidade_nos),0)</f>
        <v>0</v>
      </c>
      <c r="Q573" s="29">
        <f>detalhe_carro1[[#This Row],[Kms Nós]]+detalhe_carro1[[#This Row],[kms]]</f>
        <v>3</v>
      </c>
    </row>
    <row r="574" spans="2:17" x14ac:dyDescent="0.25">
      <c r="B574" s="3">
        <v>4</v>
      </c>
      <c r="C574">
        <v>0</v>
      </c>
      <c r="D574">
        <v>6</v>
      </c>
      <c r="E574" s="29" t="s">
        <v>31</v>
      </c>
      <c r="F574" s="3">
        <v>548</v>
      </c>
      <c r="G574" s="3">
        <v>548</v>
      </c>
      <c r="H574" s="29" t="s">
        <v>51</v>
      </c>
      <c r="I574" s="3">
        <v>3</v>
      </c>
      <c r="J574" s="7">
        <v>0.67222222222222228</v>
      </c>
      <c r="K574" s="7">
        <v>0.67222222222222228</v>
      </c>
      <c r="L574" s="3">
        <f t="shared" si="17"/>
        <v>1</v>
      </c>
      <c r="M574" s="3">
        <f t="shared" si="18"/>
        <v>1</v>
      </c>
      <c r="N574" s="29">
        <f>_xlfn.MAXIFS($G$7:G573,$E$7:E573,detalhe_carro1[[#This Row],[Nó]],$B$7:B573,detalhe_carro1[[#This Row],[Numero Voltas]],$L$7:L573,1)</f>
        <v>542</v>
      </c>
      <c r="O574" s="3">
        <f>IF(OR(detalhe_carro1[[#This Row],[Ultima Chegada]]=0,detalhe_carro1[[#This Row],[Chegada]]=0),"",detalhe_carro1[[#This Row],[Hora Inicio]]-detalhe_carro1[[#This Row],[Ultima Chegada]])</f>
        <v>6</v>
      </c>
      <c r="P574" s="3">
        <f>IF(detalhe_carro1[[#This Row],[Tipo]]="Visitar Nó",((detalhe_carro1[[#This Row],[Hora Fim]]-detalhe_carro1[[#This Row],[Hora Inicio]])/60*velocidade_nos),0)</f>
        <v>0</v>
      </c>
      <c r="Q574" s="29">
        <f>detalhe_carro1[[#This Row],[Kms Nós]]+detalhe_carro1[[#This Row],[kms]]</f>
        <v>3</v>
      </c>
    </row>
    <row r="575" spans="2:17" x14ac:dyDescent="0.25">
      <c r="B575" s="3">
        <v>4</v>
      </c>
      <c r="C575">
        <v>0</v>
      </c>
      <c r="D575">
        <v>5</v>
      </c>
      <c r="E575" s="29" t="s">
        <v>29</v>
      </c>
      <c r="F575" s="3">
        <v>551</v>
      </c>
      <c r="G575" s="3">
        <v>551</v>
      </c>
      <c r="H575" s="29" t="s">
        <v>51</v>
      </c>
      <c r="I575" s="3">
        <v>3</v>
      </c>
      <c r="J575" s="7">
        <v>0.6743055555555556</v>
      </c>
      <c r="K575" s="7">
        <v>0.6743055555555556</v>
      </c>
      <c r="L575" s="3">
        <f t="shared" si="17"/>
        <v>1</v>
      </c>
      <c r="M575" s="3">
        <f t="shared" si="18"/>
        <v>1</v>
      </c>
      <c r="N575" s="29">
        <f>_xlfn.MAXIFS($G$7:G574,$E$7:E574,detalhe_carro1[[#This Row],[Nó]],$B$7:B574,detalhe_carro1[[#This Row],[Numero Voltas]],$L$7:L574,1)</f>
        <v>539</v>
      </c>
      <c r="O575" s="3">
        <f>IF(OR(detalhe_carro1[[#This Row],[Ultima Chegada]]=0,detalhe_carro1[[#This Row],[Chegada]]=0),"",detalhe_carro1[[#This Row],[Hora Inicio]]-detalhe_carro1[[#This Row],[Ultima Chegada]])</f>
        <v>12</v>
      </c>
      <c r="P575" s="3">
        <f>IF(detalhe_carro1[[#This Row],[Tipo]]="Visitar Nó",((detalhe_carro1[[#This Row],[Hora Fim]]-detalhe_carro1[[#This Row],[Hora Inicio]])/60*velocidade_nos),0)</f>
        <v>0</v>
      </c>
      <c r="Q575" s="29">
        <f>detalhe_carro1[[#This Row],[Kms Nós]]+detalhe_carro1[[#This Row],[kms]]</f>
        <v>3</v>
      </c>
    </row>
    <row r="576" spans="2:17" x14ac:dyDescent="0.25">
      <c r="B576" s="3">
        <v>4</v>
      </c>
      <c r="C576">
        <v>0</v>
      </c>
      <c r="D576">
        <v>4</v>
      </c>
      <c r="E576" s="29" t="s">
        <v>27</v>
      </c>
      <c r="F576" s="3">
        <v>554</v>
      </c>
      <c r="G576" s="3">
        <v>554</v>
      </c>
      <c r="H576" s="29" t="s">
        <v>51</v>
      </c>
      <c r="I576" s="3">
        <v>3</v>
      </c>
      <c r="J576" s="7">
        <v>0.67638888888888893</v>
      </c>
      <c r="K576" s="7">
        <v>0.67638888888888893</v>
      </c>
      <c r="L576" s="3">
        <f t="shared" si="17"/>
        <v>1</v>
      </c>
      <c r="M576" s="3">
        <f t="shared" si="18"/>
        <v>1</v>
      </c>
      <c r="N576" s="29">
        <f>_xlfn.MAXIFS($G$7:G575,$E$7:E575,detalhe_carro1[[#This Row],[Nó]],$B$7:B575,detalhe_carro1[[#This Row],[Numero Voltas]],$L$7:L575,1)</f>
        <v>536</v>
      </c>
      <c r="O576" s="3">
        <f>IF(OR(detalhe_carro1[[#This Row],[Ultima Chegada]]=0,detalhe_carro1[[#This Row],[Chegada]]=0),"",detalhe_carro1[[#This Row],[Hora Inicio]]-detalhe_carro1[[#This Row],[Ultima Chegada]])</f>
        <v>18</v>
      </c>
      <c r="P576" s="3">
        <f>IF(detalhe_carro1[[#This Row],[Tipo]]="Visitar Nó",((detalhe_carro1[[#This Row],[Hora Fim]]-detalhe_carro1[[#This Row],[Hora Inicio]])/60*velocidade_nos),0)</f>
        <v>0</v>
      </c>
      <c r="Q576" s="29">
        <f>detalhe_carro1[[#This Row],[Kms Nós]]+detalhe_carro1[[#This Row],[kms]]</f>
        <v>3</v>
      </c>
    </row>
    <row r="577" spans="2:17" x14ac:dyDescent="0.25">
      <c r="B577" s="3">
        <v>4</v>
      </c>
      <c r="C577">
        <v>0</v>
      </c>
      <c r="D577">
        <v>3</v>
      </c>
      <c r="E577" s="29" t="s">
        <v>26</v>
      </c>
      <c r="F577" s="3">
        <v>555</v>
      </c>
      <c r="G577" s="3">
        <v>555</v>
      </c>
      <c r="H577" s="29" t="s">
        <v>51</v>
      </c>
      <c r="I577" s="3">
        <v>1</v>
      </c>
      <c r="J577" s="7">
        <v>0.67708333333333337</v>
      </c>
      <c r="K577" s="7">
        <v>0.67708333333333337</v>
      </c>
      <c r="L577" s="3">
        <f t="shared" si="17"/>
        <v>1</v>
      </c>
      <c r="M577" s="3">
        <f t="shared" si="18"/>
        <v>1</v>
      </c>
      <c r="N577" s="29">
        <f>_xlfn.MAXIFS($G$7:G576,$E$7:E576,detalhe_carro1[[#This Row],[Nó]],$B$7:B576,detalhe_carro1[[#This Row],[Numero Voltas]],$L$7:L576,1)</f>
        <v>535</v>
      </c>
      <c r="O577" s="3">
        <f>IF(OR(detalhe_carro1[[#This Row],[Ultima Chegada]]=0,detalhe_carro1[[#This Row],[Chegada]]=0),"",detalhe_carro1[[#This Row],[Hora Inicio]]-detalhe_carro1[[#This Row],[Ultima Chegada]])</f>
        <v>20</v>
      </c>
      <c r="P577" s="3">
        <f>IF(detalhe_carro1[[#This Row],[Tipo]]="Visitar Nó",((detalhe_carro1[[#This Row],[Hora Fim]]-detalhe_carro1[[#This Row],[Hora Inicio]])/60*velocidade_nos),0)</f>
        <v>0</v>
      </c>
      <c r="Q577" s="29">
        <f>detalhe_carro1[[#This Row],[Kms Nós]]+detalhe_carro1[[#This Row],[kms]]</f>
        <v>1</v>
      </c>
    </row>
    <row r="578" spans="2:17" x14ac:dyDescent="0.25">
      <c r="B578" s="3">
        <v>4</v>
      </c>
      <c r="C578">
        <v>0</v>
      </c>
      <c r="D578">
        <v>2</v>
      </c>
      <c r="E578" s="29" t="s">
        <v>24</v>
      </c>
      <c r="F578" s="3">
        <v>556</v>
      </c>
      <c r="G578" s="3">
        <v>556</v>
      </c>
      <c r="H578" s="29" t="s">
        <v>51</v>
      </c>
      <c r="I578" s="3">
        <v>1</v>
      </c>
      <c r="J578" s="7">
        <v>0.67777777777777781</v>
      </c>
      <c r="K578" s="7">
        <v>0.67777777777777781</v>
      </c>
      <c r="L578" s="3">
        <f t="shared" si="17"/>
        <v>1</v>
      </c>
      <c r="M578" s="3">
        <f t="shared" si="18"/>
        <v>1</v>
      </c>
      <c r="N578" s="29">
        <f>_xlfn.MAXIFS($G$7:G577,$E$7:E577,detalhe_carro1[[#This Row],[Nó]],$B$7:B577,detalhe_carro1[[#This Row],[Numero Voltas]],$L$7:L577,1)</f>
        <v>534</v>
      </c>
      <c r="O578" s="3">
        <f>IF(OR(detalhe_carro1[[#This Row],[Ultima Chegada]]=0,detalhe_carro1[[#This Row],[Chegada]]=0),"",detalhe_carro1[[#This Row],[Hora Inicio]]-detalhe_carro1[[#This Row],[Ultima Chegada]])</f>
        <v>22</v>
      </c>
      <c r="P578" s="3">
        <f>IF(detalhe_carro1[[#This Row],[Tipo]]="Visitar Nó",((detalhe_carro1[[#This Row],[Hora Fim]]-detalhe_carro1[[#This Row],[Hora Inicio]])/60*velocidade_nos),0)</f>
        <v>0</v>
      </c>
      <c r="Q578" s="29">
        <f>detalhe_carro1[[#This Row],[Kms Nós]]+detalhe_carro1[[#This Row],[kms]]</f>
        <v>1</v>
      </c>
    </row>
    <row r="579" spans="2:17" x14ac:dyDescent="0.25">
      <c r="B579" s="3">
        <v>4</v>
      </c>
      <c r="C579">
        <v>0</v>
      </c>
      <c r="D579">
        <v>1</v>
      </c>
      <c r="E579" s="29" t="s">
        <v>22</v>
      </c>
      <c r="F579" s="3">
        <v>563</v>
      </c>
      <c r="G579" s="3">
        <v>563</v>
      </c>
      <c r="H579" s="29" t="s">
        <v>51</v>
      </c>
      <c r="I579" s="3">
        <v>7</v>
      </c>
      <c r="J579" s="7">
        <v>0.68263888888888891</v>
      </c>
      <c r="K579" s="7">
        <v>0.68263888888888891</v>
      </c>
      <c r="L579" s="3">
        <f t="shared" si="17"/>
        <v>1</v>
      </c>
      <c r="M579" s="3">
        <f t="shared" si="18"/>
        <v>1</v>
      </c>
      <c r="N579" s="29">
        <f>_xlfn.MAXIFS($G$7:G578,$E$7:E578,detalhe_carro1[[#This Row],[Nó]],$B$7:B578,detalhe_carro1[[#This Row],[Numero Voltas]],$L$7:L578,1)</f>
        <v>527</v>
      </c>
      <c r="O579" s="3">
        <f>IF(OR(detalhe_carro1[[#This Row],[Ultima Chegada]]=0,detalhe_carro1[[#This Row],[Chegada]]=0),"",detalhe_carro1[[#This Row],[Hora Inicio]]-detalhe_carro1[[#This Row],[Ultima Chegada]])</f>
        <v>36</v>
      </c>
      <c r="P579" s="3">
        <f>IF(detalhe_carro1[[#This Row],[Tipo]]="Visitar Nó",((detalhe_carro1[[#This Row],[Hora Fim]]-detalhe_carro1[[#This Row],[Hora Inicio]])/60*velocidade_nos),0)</f>
        <v>0</v>
      </c>
      <c r="Q579" s="29">
        <f>detalhe_carro1[[#This Row],[Kms Nós]]+detalhe_carro1[[#This Row],[kms]]</f>
        <v>7</v>
      </c>
    </row>
    <row r="580" spans="2:17" x14ac:dyDescent="0.25">
      <c r="B580" s="3">
        <v>4</v>
      </c>
      <c r="C580">
        <v>0</v>
      </c>
      <c r="D580">
        <v>0</v>
      </c>
      <c r="E580" s="29" t="s">
        <v>20</v>
      </c>
      <c r="F580" s="3">
        <v>564</v>
      </c>
      <c r="G580" s="3">
        <v>564</v>
      </c>
      <c r="H580" s="29" t="s">
        <v>51</v>
      </c>
      <c r="I580" s="3">
        <v>1</v>
      </c>
      <c r="J580" s="7">
        <v>0.68333333333333335</v>
      </c>
      <c r="K580" s="7">
        <v>0.68333333333333335</v>
      </c>
      <c r="L580" s="3">
        <f t="shared" si="17"/>
        <v>0</v>
      </c>
      <c r="M580" s="3">
        <f t="shared" si="18"/>
        <v>1</v>
      </c>
      <c r="N580" s="29">
        <f>_xlfn.MAXIFS($G$7:G579,$E$7:E579,detalhe_carro1[[#This Row],[Nó]],$B$7:B579,detalhe_carro1[[#This Row],[Numero Voltas]],$L$7:L579,1)</f>
        <v>526</v>
      </c>
      <c r="O580" s="3">
        <f>IF(OR(detalhe_carro1[[#This Row],[Ultima Chegada]]=0,detalhe_carro1[[#This Row],[Chegada]]=0),"",detalhe_carro1[[#This Row],[Hora Inicio]]-detalhe_carro1[[#This Row],[Ultima Chegada]])</f>
        <v>38</v>
      </c>
      <c r="P580" s="3">
        <f>IF(detalhe_carro1[[#This Row],[Tipo]]="Visitar Nó",((detalhe_carro1[[#This Row],[Hora Fim]]-detalhe_carro1[[#This Row],[Hora Inicio]])/60*velocidade_nos),0)</f>
        <v>0</v>
      </c>
      <c r="Q580" s="29">
        <f>detalhe_carro1[[#This Row],[Kms Nós]]+detalhe_carro1[[#This Row],[kms]]</f>
        <v>1</v>
      </c>
    </row>
    <row r="581" spans="2:17" x14ac:dyDescent="0.25">
      <c r="B581" s="3">
        <v>4</v>
      </c>
      <c r="C581">
        <v>0</v>
      </c>
      <c r="D581">
        <v>0</v>
      </c>
      <c r="E581" s="29" t="s">
        <v>20</v>
      </c>
      <c r="F581" s="3">
        <v>564</v>
      </c>
      <c r="G581" s="3">
        <v>564</v>
      </c>
      <c r="H581" s="29" t="s">
        <v>51</v>
      </c>
      <c r="I581" s="3">
        <v>1</v>
      </c>
      <c r="J581" s="7">
        <v>0.68333333333333335</v>
      </c>
      <c r="K581" s="7">
        <v>0.68333333333333335</v>
      </c>
      <c r="L581" s="3">
        <f t="shared" si="17"/>
        <v>1</v>
      </c>
      <c r="M581" s="3">
        <f t="shared" si="18"/>
        <v>0</v>
      </c>
      <c r="N581" s="29">
        <f>_xlfn.MAXIFS($G$7:G580,$E$7:E580,detalhe_carro1[[#This Row],[Nó]],$B$7:B580,detalhe_carro1[[#This Row],[Numero Voltas]],$L$7:L580,1)</f>
        <v>526</v>
      </c>
      <c r="O581" s="3" t="str">
        <f>IF(OR(detalhe_carro1[[#This Row],[Ultima Chegada]]=0,detalhe_carro1[[#This Row],[Chegada]]=0),"",detalhe_carro1[[#This Row],[Hora Inicio]]-detalhe_carro1[[#This Row],[Ultima Chegada]])</f>
        <v/>
      </c>
      <c r="P581" s="3">
        <f>IF(detalhe_carro1[[#This Row],[Tipo]]="Visitar Nó",((detalhe_carro1[[#This Row],[Hora Fim]]-detalhe_carro1[[#This Row],[Hora Inicio]])/60*velocidade_nos),0)</f>
        <v>0</v>
      </c>
      <c r="Q581" s="29">
        <f>detalhe_carro1[[#This Row],[Kms Nós]]+detalhe_carro1[[#This Row],[kms]]</f>
        <v>1</v>
      </c>
    </row>
    <row r="582" spans="2:17" x14ac:dyDescent="0.25">
      <c r="B582" s="3">
        <v>4</v>
      </c>
      <c r="C582">
        <v>0</v>
      </c>
      <c r="D582">
        <v>1</v>
      </c>
      <c r="E582" s="29" t="s">
        <v>22</v>
      </c>
      <c r="F582" s="3">
        <v>565</v>
      </c>
      <c r="G582" s="3">
        <v>565</v>
      </c>
      <c r="H582" s="29" t="s">
        <v>51</v>
      </c>
      <c r="I582" s="3">
        <v>1</v>
      </c>
      <c r="J582" s="7">
        <v>0.68402777777777779</v>
      </c>
      <c r="K582" s="7">
        <v>0.68402777777777779</v>
      </c>
      <c r="L582" s="3">
        <f t="shared" si="17"/>
        <v>1</v>
      </c>
      <c r="M582" s="3">
        <f t="shared" si="18"/>
        <v>1</v>
      </c>
      <c r="N582" s="29">
        <f>_xlfn.MAXIFS($G$7:G581,$E$7:E581,detalhe_carro1[[#This Row],[Nó]],$B$7:B581,detalhe_carro1[[#This Row],[Numero Voltas]],$L$7:L581,1)</f>
        <v>563</v>
      </c>
      <c r="O582" s="3">
        <f>IF(OR(detalhe_carro1[[#This Row],[Ultima Chegada]]=0,detalhe_carro1[[#This Row],[Chegada]]=0),"",detalhe_carro1[[#This Row],[Hora Inicio]]-detalhe_carro1[[#This Row],[Ultima Chegada]])</f>
        <v>2</v>
      </c>
      <c r="P582" s="3">
        <f>IF(detalhe_carro1[[#This Row],[Tipo]]="Visitar Nó",((detalhe_carro1[[#This Row],[Hora Fim]]-detalhe_carro1[[#This Row],[Hora Inicio]])/60*velocidade_nos),0)</f>
        <v>0</v>
      </c>
      <c r="Q582" s="29">
        <f>detalhe_carro1[[#This Row],[Kms Nós]]+detalhe_carro1[[#This Row],[kms]]</f>
        <v>1</v>
      </c>
    </row>
    <row r="583" spans="2:17" x14ac:dyDescent="0.25">
      <c r="B583" s="3">
        <v>4</v>
      </c>
      <c r="C583">
        <v>0</v>
      </c>
      <c r="D583">
        <v>2</v>
      </c>
      <c r="E583" s="29" t="s">
        <v>24</v>
      </c>
      <c r="F583" s="3">
        <v>572</v>
      </c>
      <c r="G583" s="3">
        <v>572</v>
      </c>
      <c r="H583" s="29" t="s">
        <v>51</v>
      </c>
      <c r="I583" s="3">
        <v>7</v>
      </c>
      <c r="J583" s="7">
        <v>0.68888888888888888</v>
      </c>
      <c r="K583" s="7">
        <v>0.68888888888888888</v>
      </c>
      <c r="L583" s="3">
        <f t="shared" ref="L583:L646" si="19">IF(E583&lt;&gt;E584,1,0)</f>
        <v>1</v>
      </c>
      <c r="M583" s="3">
        <f t="shared" ref="M583:M646" si="20">IF(E583&lt;&gt;E582,1,0)</f>
        <v>1</v>
      </c>
      <c r="N583" s="29">
        <f>_xlfn.MAXIFS($G$7:G582,$E$7:E582,detalhe_carro1[[#This Row],[Nó]],$B$7:B582,detalhe_carro1[[#This Row],[Numero Voltas]],$L$7:L582,1)</f>
        <v>556</v>
      </c>
      <c r="O583" s="3">
        <f>IF(OR(detalhe_carro1[[#This Row],[Ultima Chegada]]=0,detalhe_carro1[[#This Row],[Chegada]]=0),"",detalhe_carro1[[#This Row],[Hora Inicio]]-detalhe_carro1[[#This Row],[Ultima Chegada]])</f>
        <v>16</v>
      </c>
      <c r="P583" s="3">
        <f>IF(detalhe_carro1[[#This Row],[Tipo]]="Visitar Nó",((detalhe_carro1[[#This Row],[Hora Fim]]-detalhe_carro1[[#This Row],[Hora Inicio]])/60*velocidade_nos),0)</f>
        <v>0</v>
      </c>
      <c r="Q583" s="29">
        <f>detalhe_carro1[[#This Row],[Kms Nós]]+detalhe_carro1[[#This Row],[kms]]</f>
        <v>7</v>
      </c>
    </row>
    <row r="584" spans="2:17" x14ac:dyDescent="0.25">
      <c r="B584" s="3">
        <v>4</v>
      </c>
      <c r="C584">
        <v>0</v>
      </c>
      <c r="D584">
        <v>3</v>
      </c>
      <c r="E584" s="29" t="s">
        <v>26</v>
      </c>
      <c r="F584" s="3">
        <v>573</v>
      </c>
      <c r="G584" s="3">
        <v>573</v>
      </c>
      <c r="H584" s="29" t="s">
        <v>51</v>
      </c>
      <c r="I584" s="3">
        <v>1</v>
      </c>
      <c r="J584" s="7">
        <v>0.68958333333333333</v>
      </c>
      <c r="K584" s="7">
        <v>0.68958333333333333</v>
      </c>
      <c r="L584" s="3">
        <f t="shared" si="19"/>
        <v>1</v>
      </c>
      <c r="M584" s="3">
        <f t="shared" si="20"/>
        <v>1</v>
      </c>
      <c r="N584" s="29">
        <f>_xlfn.MAXIFS($G$7:G583,$E$7:E583,detalhe_carro1[[#This Row],[Nó]],$B$7:B583,detalhe_carro1[[#This Row],[Numero Voltas]],$L$7:L583,1)</f>
        <v>555</v>
      </c>
      <c r="O584" s="3">
        <f>IF(OR(detalhe_carro1[[#This Row],[Ultima Chegada]]=0,detalhe_carro1[[#This Row],[Chegada]]=0),"",detalhe_carro1[[#This Row],[Hora Inicio]]-detalhe_carro1[[#This Row],[Ultima Chegada]])</f>
        <v>18</v>
      </c>
      <c r="P584" s="3">
        <f>IF(detalhe_carro1[[#This Row],[Tipo]]="Visitar Nó",((detalhe_carro1[[#This Row],[Hora Fim]]-detalhe_carro1[[#This Row],[Hora Inicio]])/60*velocidade_nos),0)</f>
        <v>0</v>
      </c>
      <c r="Q584" s="29">
        <f>detalhe_carro1[[#This Row],[Kms Nós]]+detalhe_carro1[[#This Row],[kms]]</f>
        <v>1</v>
      </c>
    </row>
    <row r="585" spans="2:17" x14ac:dyDescent="0.25">
      <c r="B585" s="3">
        <v>4</v>
      </c>
      <c r="C585">
        <v>0</v>
      </c>
      <c r="D585">
        <v>4</v>
      </c>
      <c r="E585" s="29" t="s">
        <v>27</v>
      </c>
      <c r="F585" s="3">
        <v>574</v>
      </c>
      <c r="G585" s="3">
        <v>574</v>
      </c>
      <c r="H585" s="29" t="s">
        <v>51</v>
      </c>
      <c r="I585" s="3">
        <v>1</v>
      </c>
      <c r="J585" s="7">
        <v>0.69027777777777777</v>
      </c>
      <c r="K585" s="7">
        <v>0.69027777777777777</v>
      </c>
      <c r="L585" s="3">
        <f t="shared" si="19"/>
        <v>1</v>
      </c>
      <c r="M585" s="3">
        <f t="shared" si="20"/>
        <v>1</v>
      </c>
      <c r="N585" s="29">
        <f>_xlfn.MAXIFS($G$7:G584,$E$7:E584,detalhe_carro1[[#This Row],[Nó]],$B$7:B584,detalhe_carro1[[#This Row],[Numero Voltas]],$L$7:L584,1)</f>
        <v>554</v>
      </c>
      <c r="O585" s="3">
        <f>IF(OR(detalhe_carro1[[#This Row],[Ultima Chegada]]=0,detalhe_carro1[[#This Row],[Chegada]]=0),"",detalhe_carro1[[#This Row],[Hora Inicio]]-detalhe_carro1[[#This Row],[Ultima Chegada]])</f>
        <v>20</v>
      </c>
      <c r="P585" s="3">
        <f>IF(detalhe_carro1[[#This Row],[Tipo]]="Visitar Nó",((detalhe_carro1[[#This Row],[Hora Fim]]-detalhe_carro1[[#This Row],[Hora Inicio]])/60*velocidade_nos),0)</f>
        <v>0</v>
      </c>
      <c r="Q585" s="29">
        <f>detalhe_carro1[[#This Row],[Kms Nós]]+detalhe_carro1[[#This Row],[kms]]</f>
        <v>1</v>
      </c>
    </row>
    <row r="586" spans="2:17" x14ac:dyDescent="0.25">
      <c r="B586" s="3">
        <v>4</v>
      </c>
      <c r="C586">
        <v>0</v>
      </c>
      <c r="D586">
        <v>5</v>
      </c>
      <c r="E586" s="29" t="s">
        <v>29</v>
      </c>
      <c r="F586" s="3">
        <v>577</v>
      </c>
      <c r="G586" s="3">
        <v>577</v>
      </c>
      <c r="H586" s="29" t="s">
        <v>51</v>
      </c>
      <c r="I586" s="3">
        <v>3</v>
      </c>
      <c r="J586" s="7">
        <v>0.69236111111111109</v>
      </c>
      <c r="K586" s="7">
        <v>0.69236111111111109</v>
      </c>
      <c r="L586" s="3">
        <f t="shared" si="19"/>
        <v>1</v>
      </c>
      <c r="M586" s="3">
        <f t="shared" si="20"/>
        <v>1</v>
      </c>
      <c r="N586" s="29">
        <f>_xlfn.MAXIFS($G$7:G585,$E$7:E585,detalhe_carro1[[#This Row],[Nó]],$B$7:B585,detalhe_carro1[[#This Row],[Numero Voltas]],$L$7:L585,1)</f>
        <v>551</v>
      </c>
      <c r="O586" s="3">
        <f>IF(OR(detalhe_carro1[[#This Row],[Ultima Chegada]]=0,detalhe_carro1[[#This Row],[Chegada]]=0),"",detalhe_carro1[[#This Row],[Hora Inicio]]-detalhe_carro1[[#This Row],[Ultima Chegada]])</f>
        <v>26</v>
      </c>
      <c r="P586" s="3">
        <f>IF(detalhe_carro1[[#This Row],[Tipo]]="Visitar Nó",((detalhe_carro1[[#This Row],[Hora Fim]]-detalhe_carro1[[#This Row],[Hora Inicio]])/60*velocidade_nos),0)</f>
        <v>0</v>
      </c>
      <c r="Q586" s="29">
        <f>detalhe_carro1[[#This Row],[Kms Nós]]+detalhe_carro1[[#This Row],[kms]]</f>
        <v>3</v>
      </c>
    </row>
    <row r="587" spans="2:17" x14ac:dyDescent="0.25">
      <c r="B587" s="3">
        <v>4</v>
      </c>
      <c r="C587">
        <v>0</v>
      </c>
      <c r="D587">
        <v>6</v>
      </c>
      <c r="E587" s="29" t="s">
        <v>31</v>
      </c>
      <c r="F587" s="3">
        <v>580</v>
      </c>
      <c r="G587" s="3">
        <v>580</v>
      </c>
      <c r="H587" s="29" t="s">
        <v>51</v>
      </c>
      <c r="I587" s="3">
        <v>3</v>
      </c>
      <c r="J587" s="7">
        <v>0.69444444444444442</v>
      </c>
      <c r="K587" s="7">
        <v>0.69444444444444442</v>
      </c>
      <c r="L587" s="3">
        <f t="shared" si="19"/>
        <v>1</v>
      </c>
      <c r="M587" s="3">
        <f t="shared" si="20"/>
        <v>1</v>
      </c>
      <c r="N587" s="29">
        <f>_xlfn.MAXIFS($G$7:G586,$E$7:E586,detalhe_carro1[[#This Row],[Nó]],$B$7:B586,detalhe_carro1[[#This Row],[Numero Voltas]],$L$7:L586,1)</f>
        <v>548</v>
      </c>
      <c r="O587" s="3">
        <f>IF(OR(detalhe_carro1[[#This Row],[Ultima Chegada]]=0,detalhe_carro1[[#This Row],[Chegada]]=0),"",detalhe_carro1[[#This Row],[Hora Inicio]]-detalhe_carro1[[#This Row],[Ultima Chegada]])</f>
        <v>32</v>
      </c>
      <c r="P587" s="3">
        <f>IF(detalhe_carro1[[#This Row],[Tipo]]="Visitar Nó",((detalhe_carro1[[#This Row],[Hora Fim]]-detalhe_carro1[[#This Row],[Hora Inicio]])/60*velocidade_nos),0)</f>
        <v>0</v>
      </c>
      <c r="Q587" s="29">
        <f>detalhe_carro1[[#This Row],[Kms Nós]]+detalhe_carro1[[#This Row],[kms]]</f>
        <v>3</v>
      </c>
    </row>
    <row r="588" spans="2:17" x14ac:dyDescent="0.25">
      <c r="B588" s="3">
        <v>4</v>
      </c>
      <c r="C588">
        <v>0</v>
      </c>
      <c r="D588">
        <v>7</v>
      </c>
      <c r="E588" s="29" t="s">
        <v>33</v>
      </c>
      <c r="F588" s="3">
        <v>583</v>
      </c>
      <c r="G588" s="3">
        <v>583</v>
      </c>
      <c r="H588" s="29" t="s">
        <v>51</v>
      </c>
      <c r="I588" s="3">
        <v>3</v>
      </c>
      <c r="J588" s="7">
        <v>0.69652777777777775</v>
      </c>
      <c r="K588" s="7">
        <v>0.69652777777777775</v>
      </c>
      <c r="L588" s="3">
        <f t="shared" si="19"/>
        <v>0</v>
      </c>
      <c r="M588" s="3">
        <f t="shared" si="20"/>
        <v>1</v>
      </c>
      <c r="N588" s="29">
        <f>_xlfn.MAXIFS($G$7:G587,$E$7:E587,detalhe_carro1[[#This Row],[Nó]],$B$7:B587,detalhe_carro1[[#This Row],[Numero Voltas]],$L$7:L587,1)</f>
        <v>545</v>
      </c>
      <c r="O588" s="3">
        <f>IF(OR(detalhe_carro1[[#This Row],[Ultima Chegada]]=0,detalhe_carro1[[#This Row],[Chegada]]=0),"",detalhe_carro1[[#This Row],[Hora Inicio]]-detalhe_carro1[[#This Row],[Ultima Chegada]])</f>
        <v>38</v>
      </c>
      <c r="P588" s="3">
        <f>IF(detalhe_carro1[[#This Row],[Tipo]]="Visitar Nó",((detalhe_carro1[[#This Row],[Hora Fim]]-detalhe_carro1[[#This Row],[Hora Inicio]])/60*velocidade_nos),0)</f>
        <v>0</v>
      </c>
      <c r="Q588" s="29">
        <f>detalhe_carro1[[#This Row],[Kms Nós]]+detalhe_carro1[[#This Row],[kms]]</f>
        <v>3</v>
      </c>
    </row>
    <row r="589" spans="2:17" x14ac:dyDescent="0.25">
      <c r="B589" s="3">
        <v>4</v>
      </c>
      <c r="C589">
        <v>0</v>
      </c>
      <c r="D589">
        <v>7</v>
      </c>
      <c r="E589" s="29" t="s">
        <v>33</v>
      </c>
      <c r="F589" s="3">
        <v>583</v>
      </c>
      <c r="G589" s="3">
        <v>583</v>
      </c>
      <c r="H589" s="29" t="s">
        <v>51</v>
      </c>
      <c r="I589" s="3">
        <v>3</v>
      </c>
      <c r="J589" s="7">
        <v>0.69652777777777775</v>
      </c>
      <c r="K589" s="7">
        <v>0.69652777777777775</v>
      </c>
      <c r="L589" s="3">
        <f t="shared" si="19"/>
        <v>0</v>
      </c>
      <c r="M589" s="3">
        <f t="shared" si="20"/>
        <v>0</v>
      </c>
      <c r="N589" s="29">
        <f>_xlfn.MAXIFS($G$7:G588,$E$7:E588,detalhe_carro1[[#This Row],[Nó]],$B$7:B588,detalhe_carro1[[#This Row],[Numero Voltas]],$L$7:L588,1)</f>
        <v>545</v>
      </c>
      <c r="O589" s="3" t="str">
        <f>IF(OR(detalhe_carro1[[#This Row],[Ultima Chegada]]=0,detalhe_carro1[[#This Row],[Chegada]]=0),"",detalhe_carro1[[#This Row],[Hora Inicio]]-detalhe_carro1[[#This Row],[Ultima Chegada]])</f>
        <v/>
      </c>
      <c r="P589" s="3">
        <f>IF(detalhe_carro1[[#This Row],[Tipo]]="Visitar Nó",((detalhe_carro1[[#This Row],[Hora Fim]]-detalhe_carro1[[#This Row],[Hora Inicio]])/60*velocidade_nos),0)</f>
        <v>0</v>
      </c>
      <c r="Q589" s="29">
        <f>detalhe_carro1[[#This Row],[Kms Nós]]+detalhe_carro1[[#This Row],[kms]]</f>
        <v>3</v>
      </c>
    </row>
    <row r="590" spans="2:17" x14ac:dyDescent="0.25">
      <c r="B590" s="3">
        <v>4</v>
      </c>
      <c r="C590">
        <v>0</v>
      </c>
      <c r="D590">
        <v>7</v>
      </c>
      <c r="E590" s="29" t="s">
        <v>33</v>
      </c>
      <c r="F590" s="3">
        <v>583</v>
      </c>
      <c r="G590" s="3">
        <v>583</v>
      </c>
      <c r="H590" s="29" t="s">
        <v>51</v>
      </c>
      <c r="I590" s="3">
        <v>3</v>
      </c>
      <c r="J590" s="7">
        <v>0.69652777777777775</v>
      </c>
      <c r="K590" s="7">
        <v>0.69652777777777775</v>
      </c>
      <c r="L590" s="3">
        <f t="shared" si="19"/>
        <v>0</v>
      </c>
      <c r="M590" s="3">
        <f t="shared" si="20"/>
        <v>0</v>
      </c>
      <c r="N590" s="29">
        <f>_xlfn.MAXIFS($G$7:G589,$E$7:E589,detalhe_carro1[[#This Row],[Nó]],$B$7:B589,detalhe_carro1[[#This Row],[Numero Voltas]],$L$7:L589,1)</f>
        <v>545</v>
      </c>
      <c r="O590" s="3" t="str">
        <f>IF(OR(detalhe_carro1[[#This Row],[Ultima Chegada]]=0,detalhe_carro1[[#This Row],[Chegada]]=0),"",detalhe_carro1[[#This Row],[Hora Inicio]]-detalhe_carro1[[#This Row],[Ultima Chegada]])</f>
        <v/>
      </c>
      <c r="P590" s="3">
        <f>IF(detalhe_carro1[[#This Row],[Tipo]]="Visitar Nó",((detalhe_carro1[[#This Row],[Hora Fim]]-detalhe_carro1[[#This Row],[Hora Inicio]])/60*velocidade_nos),0)</f>
        <v>0</v>
      </c>
      <c r="Q590" s="29">
        <f>detalhe_carro1[[#This Row],[Kms Nós]]+detalhe_carro1[[#This Row],[kms]]</f>
        <v>3</v>
      </c>
    </row>
    <row r="591" spans="2:17" x14ac:dyDescent="0.25">
      <c r="B591" s="3">
        <v>4</v>
      </c>
      <c r="C591">
        <v>1</v>
      </c>
      <c r="D591">
        <v>7</v>
      </c>
      <c r="E591" s="29" t="s">
        <v>33</v>
      </c>
      <c r="F591" s="3">
        <v>510</v>
      </c>
      <c r="G591" s="3">
        <v>570</v>
      </c>
      <c r="H591" s="29" t="s">
        <v>54</v>
      </c>
      <c r="I591" s="3">
        <v>0</v>
      </c>
      <c r="J591" s="7">
        <v>0.64583333333333337</v>
      </c>
      <c r="K591" s="7">
        <v>0.6875</v>
      </c>
      <c r="L591" s="3">
        <f t="shared" si="19"/>
        <v>0</v>
      </c>
      <c r="M591" s="3">
        <f t="shared" si="20"/>
        <v>0</v>
      </c>
      <c r="N591" s="29">
        <f>_xlfn.MAXIFS($G$7:G590,$E$7:E590,detalhe_carro1[[#This Row],[Nó]],$B$7:B590,detalhe_carro1[[#This Row],[Numero Voltas]],$L$7:L590,1)</f>
        <v>545</v>
      </c>
      <c r="O591" s="3" t="str">
        <f>IF(OR(detalhe_carro1[[#This Row],[Ultima Chegada]]=0,detalhe_carro1[[#This Row],[Chegada]]=0),"",detalhe_carro1[[#This Row],[Hora Inicio]]-detalhe_carro1[[#This Row],[Ultima Chegada]])</f>
        <v/>
      </c>
      <c r="P591" s="3">
        <f>IF(detalhe_carro1[[#This Row],[Tipo]]="Visitar Nó",((detalhe_carro1[[#This Row],[Hora Fim]]-detalhe_carro1[[#This Row],[Hora Inicio]])/60*velocidade_nos),0)</f>
        <v>0</v>
      </c>
      <c r="Q591" s="29">
        <f>detalhe_carro1[[#This Row],[Kms Nós]]+detalhe_carro1[[#This Row],[kms]]</f>
        <v>0</v>
      </c>
    </row>
    <row r="592" spans="2:17" x14ac:dyDescent="0.25">
      <c r="B592" s="3">
        <v>4</v>
      </c>
      <c r="C592">
        <v>1</v>
      </c>
      <c r="D592">
        <v>7</v>
      </c>
      <c r="E592" s="29" t="s">
        <v>33</v>
      </c>
      <c r="F592" s="3">
        <v>540</v>
      </c>
      <c r="G592" s="3">
        <v>570</v>
      </c>
      <c r="H592" s="29" t="s">
        <v>54</v>
      </c>
      <c r="I592" s="3">
        <v>0</v>
      </c>
      <c r="J592" s="7">
        <v>0.66666666666666663</v>
      </c>
      <c r="K592" s="7">
        <v>0.6875</v>
      </c>
      <c r="L592" s="3">
        <f t="shared" si="19"/>
        <v>0</v>
      </c>
      <c r="M592" s="3">
        <f t="shared" si="20"/>
        <v>0</v>
      </c>
      <c r="N592" s="29">
        <f>_xlfn.MAXIFS($G$7:G591,$E$7:E591,detalhe_carro1[[#This Row],[Nó]],$B$7:B591,detalhe_carro1[[#This Row],[Numero Voltas]],$L$7:L591,1)</f>
        <v>545</v>
      </c>
      <c r="O592" s="3" t="str">
        <f>IF(OR(detalhe_carro1[[#This Row],[Ultima Chegada]]=0,detalhe_carro1[[#This Row],[Chegada]]=0),"",detalhe_carro1[[#This Row],[Hora Inicio]]-detalhe_carro1[[#This Row],[Ultima Chegada]])</f>
        <v/>
      </c>
      <c r="P592" s="3">
        <f>IF(detalhe_carro1[[#This Row],[Tipo]]="Visitar Nó",((detalhe_carro1[[#This Row],[Hora Fim]]-detalhe_carro1[[#This Row],[Hora Inicio]])/60*velocidade_nos),0)</f>
        <v>0</v>
      </c>
      <c r="Q592" s="29">
        <f>detalhe_carro1[[#This Row],[Kms Nós]]+detalhe_carro1[[#This Row],[kms]]</f>
        <v>0</v>
      </c>
    </row>
    <row r="593" spans="2:17" x14ac:dyDescent="0.25">
      <c r="B593" s="3">
        <v>4</v>
      </c>
      <c r="C593">
        <v>1</v>
      </c>
      <c r="D593">
        <v>7</v>
      </c>
      <c r="E593" s="29" t="s">
        <v>33</v>
      </c>
      <c r="F593" s="3">
        <v>570</v>
      </c>
      <c r="G593" s="3">
        <v>570</v>
      </c>
      <c r="H593" s="29" t="s">
        <v>49</v>
      </c>
      <c r="I593" s="3">
        <v>0</v>
      </c>
      <c r="J593" s="7">
        <v>0.6875</v>
      </c>
      <c r="K593" s="7">
        <v>0.6875</v>
      </c>
      <c r="L593" s="3">
        <f t="shared" si="19"/>
        <v>0</v>
      </c>
      <c r="M593" s="3">
        <f t="shared" si="20"/>
        <v>0</v>
      </c>
      <c r="N593" s="29">
        <f>_xlfn.MAXIFS($G$7:G592,$E$7:E592,detalhe_carro1[[#This Row],[Nó]],$B$7:B592,detalhe_carro1[[#This Row],[Numero Voltas]],$L$7:L592,1)</f>
        <v>545</v>
      </c>
      <c r="O593" s="3" t="str">
        <f>IF(OR(detalhe_carro1[[#This Row],[Ultima Chegada]]=0,detalhe_carro1[[#This Row],[Chegada]]=0),"",detalhe_carro1[[#This Row],[Hora Inicio]]-detalhe_carro1[[#This Row],[Ultima Chegada]])</f>
        <v/>
      </c>
      <c r="P593" s="3">
        <f>IF(detalhe_carro1[[#This Row],[Tipo]]="Visitar Nó",((detalhe_carro1[[#This Row],[Hora Fim]]-detalhe_carro1[[#This Row],[Hora Inicio]])/60*velocidade_nos),0)</f>
        <v>0</v>
      </c>
      <c r="Q593" s="29">
        <f>detalhe_carro1[[#This Row],[Kms Nós]]+detalhe_carro1[[#This Row],[kms]]</f>
        <v>0</v>
      </c>
    </row>
    <row r="594" spans="2:17" x14ac:dyDescent="0.25">
      <c r="B594" s="3">
        <v>4</v>
      </c>
      <c r="C594">
        <v>1</v>
      </c>
      <c r="D594">
        <v>7</v>
      </c>
      <c r="E594" s="29" t="s">
        <v>33</v>
      </c>
      <c r="F594" s="3">
        <v>570</v>
      </c>
      <c r="G594" s="3">
        <v>583</v>
      </c>
      <c r="H594" s="29" t="s">
        <v>50</v>
      </c>
      <c r="I594" s="3">
        <v>0</v>
      </c>
      <c r="J594" s="7">
        <v>0.6875</v>
      </c>
      <c r="K594" s="7">
        <v>0.69652777777777775</v>
      </c>
      <c r="L594" s="3">
        <f t="shared" si="19"/>
        <v>0</v>
      </c>
      <c r="M594" s="3">
        <f t="shared" si="20"/>
        <v>0</v>
      </c>
      <c r="N594" s="29">
        <f>_xlfn.MAXIFS($G$7:G593,$E$7:E593,detalhe_carro1[[#This Row],[Nó]],$B$7:B593,detalhe_carro1[[#This Row],[Numero Voltas]],$L$7:L593,1)</f>
        <v>545</v>
      </c>
      <c r="O594" s="3" t="str">
        <f>IF(OR(detalhe_carro1[[#This Row],[Ultima Chegada]]=0,detalhe_carro1[[#This Row],[Chegada]]=0),"",detalhe_carro1[[#This Row],[Hora Inicio]]-detalhe_carro1[[#This Row],[Ultima Chegada]])</f>
        <v/>
      </c>
      <c r="P594" s="3">
        <f>IF(detalhe_carro1[[#This Row],[Tipo]]="Visitar Nó",((detalhe_carro1[[#This Row],[Hora Fim]]-detalhe_carro1[[#This Row],[Hora Inicio]])/60*velocidade_nos),0)</f>
        <v>6.5</v>
      </c>
      <c r="Q594" s="29">
        <f>detalhe_carro1[[#This Row],[Kms Nós]]+detalhe_carro1[[#This Row],[kms]]</f>
        <v>6.5</v>
      </c>
    </row>
    <row r="595" spans="2:17" x14ac:dyDescent="0.25">
      <c r="B595" s="3">
        <v>4</v>
      </c>
      <c r="C595">
        <v>1</v>
      </c>
      <c r="D595">
        <v>7</v>
      </c>
      <c r="E595" s="29" t="s">
        <v>33</v>
      </c>
      <c r="F595" s="3">
        <v>583</v>
      </c>
      <c r="G595" s="3">
        <v>583</v>
      </c>
      <c r="H595" s="29" t="s">
        <v>51</v>
      </c>
      <c r="I595" s="3">
        <v>0</v>
      </c>
      <c r="J595" s="7">
        <v>0.69652777777777775</v>
      </c>
      <c r="K595" s="7">
        <v>0.69652777777777775</v>
      </c>
      <c r="L595" s="3">
        <f t="shared" si="19"/>
        <v>1</v>
      </c>
      <c r="M595" s="3">
        <f t="shared" si="20"/>
        <v>0</v>
      </c>
      <c r="N595" s="29">
        <f>_xlfn.MAXIFS($G$7:G594,$E$7:E594,detalhe_carro1[[#This Row],[Nó]],$B$7:B594,detalhe_carro1[[#This Row],[Numero Voltas]],$L$7:L594,1)</f>
        <v>545</v>
      </c>
      <c r="O595" s="3" t="str">
        <f>IF(OR(detalhe_carro1[[#This Row],[Ultima Chegada]]=0,detalhe_carro1[[#This Row],[Chegada]]=0),"",detalhe_carro1[[#This Row],[Hora Inicio]]-detalhe_carro1[[#This Row],[Ultima Chegada]])</f>
        <v/>
      </c>
      <c r="P595" s="3">
        <f>IF(detalhe_carro1[[#This Row],[Tipo]]="Visitar Nó",((detalhe_carro1[[#This Row],[Hora Fim]]-detalhe_carro1[[#This Row],[Hora Inicio]])/60*velocidade_nos),0)</f>
        <v>0</v>
      </c>
      <c r="Q595" s="29">
        <f>detalhe_carro1[[#This Row],[Kms Nós]]+detalhe_carro1[[#This Row],[kms]]</f>
        <v>0</v>
      </c>
    </row>
    <row r="596" spans="2:17" x14ac:dyDescent="0.25">
      <c r="B596" s="3">
        <v>4</v>
      </c>
      <c r="C596">
        <v>1</v>
      </c>
      <c r="D596">
        <v>6</v>
      </c>
      <c r="E596" s="29" t="s">
        <v>31</v>
      </c>
      <c r="F596" s="3">
        <v>586</v>
      </c>
      <c r="G596" s="3">
        <v>596</v>
      </c>
      <c r="H596" s="29" t="s">
        <v>297</v>
      </c>
      <c r="I596" s="3">
        <v>0</v>
      </c>
      <c r="J596" s="7">
        <v>0.69861111111111107</v>
      </c>
      <c r="K596" s="7">
        <v>0.7055555555555556</v>
      </c>
      <c r="L596" s="3">
        <f t="shared" si="19"/>
        <v>0</v>
      </c>
      <c r="M596" s="3">
        <f t="shared" si="20"/>
        <v>1</v>
      </c>
      <c r="N596" s="29">
        <f>_xlfn.MAXIFS($G$7:G595,$E$7:E595,detalhe_carro1[[#This Row],[Nó]],$B$7:B595,detalhe_carro1[[#This Row],[Numero Voltas]],$L$7:L595,1)</f>
        <v>580</v>
      </c>
      <c r="O596" s="3">
        <f>IF(OR(detalhe_carro1[[#This Row],[Ultima Chegada]]=0,detalhe_carro1[[#This Row],[Chegada]]=0),"",detalhe_carro1[[#This Row],[Hora Inicio]]-detalhe_carro1[[#This Row],[Ultima Chegada]])</f>
        <v>6</v>
      </c>
      <c r="P596" s="3">
        <f>IF(detalhe_carro1[[#This Row],[Tipo]]="Visitar Nó",((detalhe_carro1[[#This Row],[Hora Fim]]-detalhe_carro1[[#This Row],[Hora Inicio]])/60*velocidade_nos),0)</f>
        <v>0</v>
      </c>
      <c r="Q596" s="29">
        <f>detalhe_carro1[[#This Row],[Kms Nós]]+detalhe_carro1[[#This Row],[kms]]</f>
        <v>0</v>
      </c>
    </row>
    <row r="597" spans="2:17" x14ac:dyDescent="0.25">
      <c r="B597" s="3">
        <v>4</v>
      </c>
      <c r="C597">
        <v>1</v>
      </c>
      <c r="D597">
        <v>6</v>
      </c>
      <c r="E597" s="29" t="s">
        <v>31</v>
      </c>
      <c r="F597" s="3">
        <v>599</v>
      </c>
      <c r="G597" s="3">
        <v>608</v>
      </c>
      <c r="H597" s="29" t="s">
        <v>50</v>
      </c>
      <c r="I597" s="3">
        <v>0</v>
      </c>
      <c r="J597" s="7">
        <v>0.70763888888888893</v>
      </c>
      <c r="K597" s="7">
        <v>0.71388888888888891</v>
      </c>
      <c r="L597" s="3">
        <f t="shared" si="19"/>
        <v>0</v>
      </c>
      <c r="M597" s="3">
        <f t="shared" si="20"/>
        <v>0</v>
      </c>
      <c r="N597" s="29">
        <f>_xlfn.MAXIFS($G$7:G596,$E$7:E596,detalhe_carro1[[#This Row],[Nó]],$B$7:B596,detalhe_carro1[[#This Row],[Numero Voltas]],$L$7:L596,1)</f>
        <v>580</v>
      </c>
      <c r="O597" s="3" t="str">
        <f>IF(OR(detalhe_carro1[[#This Row],[Ultima Chegada]]=0,detalhe_carro1[[#This Row],[Chegada]]=0),"",detalhe_carro1[[#This Row],[Hora Inicio]]-detalhe_carro1[[#This Row],[Ultima Chegada]])</f>
        <v/>
      </c>
      <c r="P597" s="3">
        <f>IF(detalhe_carro1[[#This Row],[Tipo]]="Visitar Nó",((detalhe_carro1[[#This Row],[Hora Fim]]-detalhe_carro1[[#This Row],[Hora Inicio]])/60*velocidade_nos),0)</f>
        <v>4.5</v>
      </c>
      <c r="Q597" s="29">
        <f>detalhe_carro1[[#This Row],[Kms Nós]]+detalhe_carro1[[#This Row],[kms]]</f>
        <v>4.5</v>
      </c>
    </row>
    <row r="598" spans="2:17" x14ac:dyDescent="0.25">
      <c r="B598" s="3">
        <v>4</v>
      </c>
      <c r="C598">
        <v>1</v>
      </c>
      <c r="D598">
        <v>6</v>
      </c>
      <c r="E598" s="29" t="s">
        <v>31</v>
      </c>
      <c r="F598" s="3">
        <v>611</v>
      </c>
      <c r="G598" s="3">
        <v>611</v>
      </c>
      <c r="H598" s="29" t="s">
        <v>51</v>
      </c>
      <c r="I598" s="3">
        <v>3</v>
      </c>
      <c r="J598" s="7">
        <v>0.71597222222222223</v>
      </c>
      <c r="K598" s="7">
        <v>0.71597222222222223</v>
      </c>
      <c r="L598" s="3">
        <f t="shared" si="19"/>
        <v>1</v>
      </c>
      <c r="M598" s="3">
        <f t="shared" si="20"/>
        <v>0</v>
      </c>
      <c r="N598" s="29">
        <f>_xlfn.MAXIFS($G$7:G597,$E$7:E597,detalhe_carro1[[#This Row],[Nó]],$B$7:B597,detalhe_carro1[[#This Row],[Numero Voltas]],$L$7:L597,1)</f>
        <v>580</v>
      </c>
      <c r="O598" s="3" t="str">
        <f>IF(OR(detalhe_carro1[[#This Row],[Ultima Chegada]]=0,detalhe_carro1[[#This Row],[Chegada]]=0),"",detalhe_carro1[[#This Row],[Hora Inicio]]-detalhe_carro1[[#This Row],[Ultima Chegada]])</f>
        <v/>
      </c>
      <c r="P598" s="3">
        <f>IF(detalhe_carro1[[#This Row],[Tipo]]="Visitar Nó",((detalhe_carro1[[#This Row],[Hora Fim]]-detalhe_carro1[[#This Row],[Hora Inicio]])/60*velocidade_nos),0)</f>
        <v>0</v>
      </c>
      <c r="Q598" s="29">
        <f>detalhe_carro1[[#This Row],[Kms Nós]]+detalhe_carro1[[#This Row],[kms]]</f>
        <v>3</v>
      </c>
    </row>
    <row r="599" spans="2:17" x14ac:dyDescent="0.25">
      <c r="B599" s="3">
        <v>4</v>
      </c>
      <c r="C599">
        <v>1</v>
      </c>
      <c r="D599">
        <v>5</v>
      </c>
      <c r="E599" s="29" t="s">
        <v>29</v>
      </c>
      <c r="F599" s="3">
        <v>614</v>
      </c>
      <c r="G599" s="3">
        <v>642</v>
      </c>
      <c r="H599" s="29" t="s">
        <v>50</v>
      </c>
      <c r="I599" s="3">
        <v>0</v>
      </c>
      <c r="J599" s="7">
        <v>0.71805555555555556</v>
      </c>
      <c r="K599" s="7">
        <v>0.73750000000000004</v>
      </c>
      <c r="L599" s="3">
        <f t="shared" si="19"/>
        <v>0</v>
      </c>
      <c r="M599" s="3">
        <f t="shared" si="20"/>
        <v>1</v>
      </c>
      <c r="N599" s="29">
        <f>_xlfn.MAXIFS($G$7:G598,$E$7:E598,detalhe_carro1[[#This Row],[Nó]],$B$7:B598,detalhe_carro1[[#This Row],[Numero Voltas]],$L$7:L598,1)</f>
        <v>577</v>
      </c>
      <c r="O599" s="3">
        <f>IF(OR(detalhe_carro1[[#This Row],[Ultima Chegada]]=0,detalhe_carro1[[#This Row],[Chegada]]=0),"",detalhe_carro1[[#This Row],[Hora Inicio]]-detalhe_carro1[[#This Row],[Ultima Chegada]])</f>
        <v>37</v>
      </c>
      <c r="P599" s="3">
        <f>IF(detalhe_carro1[[#This Row],[Tipo]]="Visitar Nó",((detalhe_carro1[[#This Row],[Hora Fim]]-detalhe_carro1[[#This Row],[Hora Inicio]])/60*velocidade_nos),0)</f>
        <v>14</v>
      </c>
      <c r="Q599" s="29">
        <f>detalhe_carro1[[#This Row],[Kms Nós]]+detalhe_carro1[[#This Row],[kms]]</f>
        <v>14</v>
      </c>
    </row>
    <row r="600" spans="2:17" x14ac:dyDescent="0.25">
      <c r="B600" s="3">
        <v>4</v>
      </c>
      <c r="C600">
        <v>1</v>
      </c>
      <c r="D600">
        <v>5</v>
      </c>
      <c r="E600" s="29" t="s">
        <v>29</v>
      </c>
      <c r="F600" s="3">
        <v>645</v>
      </c>
      <c r="G600" s="3">
        <v>645</v>
      </c>
      <c r="H600" s="29" t="s">
        <v>51</v>
      </c>
      <c r="I600" s="3">
        <v>3</v>
      </c>
      <c r="J600" s="7">
        <v>0.73958333333333337</v>
      </c>
      <c r="K600" s="7">
        <v>0.73958333333333337</v>
      </c>
      <c r="L600" s="3">
        <f t="shared" si="19"/>
        <v>1</v>
      </c>
      <c r="M600" s="3">
        <f t="shared" si="20"/>
        <v>0</v>
      </c>
      <c r="N600" s="29">
        <f>_xlfn.MAXIFS($G$7:G599,$E$7:E599,detalhe_carro1[[#This Row],[Nó]],$B$7:B599,detalhe_carro1[[#This Row],[Numero Voltas]],$L$7:L599,1)</f>
        <v>577</v>
      </c>
      <c r="O600" s="3" t="str">
        <f>IF(OR(detalhe_carro1[[#This Row],[Ultima Chegada]]=0,detalhe_carro1[[#This Row],[Chegada]]=0),"",detalhe_carro1[[#This Row],[Hora Inicio]]-detalhe_carro1[[#This Row],[Ultima Chegada]])</f>
        <v/>
      </c>
      <c r="P600" s="3">
        <f>IF(detalhe_carro1[[#This Row],[Tipo]]="Visitar Nó",((detalhe_carro1[[#This Row],[Hora Fim]]-detalhe_carro1[[#This Row],[Hora Inicio]])/60*velocidade_nos),0)</f>
        <v>0</v>
      </c>
      <c r="Q600" s="29">
        <f>detalhe_carro1[[#This Row],[Kms Nós]]+detalhe_carro1[[#This Row],[kms]]</f>
        <v>3</v>
      </c>
    </row>
    <row r="601" spans="2:17" x14ac:dyDescent="0.25">
      <c r="B601" s="3">
        <v>4</v>
      </c>
      <c r="C601">
        <v>1</v>
      </c>
      <c r="D601">
        <v>4</v>
      </c>
      <c r="E601" s="29" t="s">
        <v>27</v>
      </c>
      <c r="F601" s="3">
        <v>648</v>
      </c>
      <c r="G601" s="3">
        <v>661</v>
      </c>
      <c r="H601" s="29" t="s">
        <v>50</v>
      </c>
      <c r="I601" s="3">
        <v>0</v>
      </c>
      <c r="J601" s="7">
        <v>0.7416666666666667</v>
      </c>
      <c r="K601" s="7">
        <v>0.75069444444444444</v>
      </c>
      <c r="L601" s="3">
        <f t="shared" si="19"/>
        <v>0</v>
      </c>
      <c r="M601" s="3">
        <f t="shared" si="20"/>
        <v>1</v>
      </c>
      <c r="N601" s="29">
        <f>_xlfn.MAXIFS($G$7:G600,$E$7:E600,detalhe_carro1[[#This Row],[Nó]],$B$7:B600,detalhe_carro1[[#This Row],[Numero Voltas]],$L$7:L600,1)</f>
        <v>574</v>
      </c>
      <c r="O601" s="3">
        <f>IF(OR(detalhe_carro1[[#This Row],[Ultima Chegada]]=0,detalhe_carro1[[#This Row],[Chegada]]=0),"",detalhe_carro1[[#This Row],[Hora Inicio]]-detalhe_carro1[[#This Row],[Ultima Chegada]])</f>
        <v>74</v>
      </c>
      <c r="P601" s="3">
        <f>IF(detalhe_carro1[[#This Row],[Tipo]]="Visitar Nó",((detalhe_carro1[[#This Row],[Hora Fim]]-detalhe_carro1[[#This Row],[Hora Inicio]])/60*velocidade_nos),0)</f>
        <v>6.5</v>
      </c>
      <c r="Q601" s="29">
        <f>detalhe_carro1[[#This Row],[Kms Nós]]+detalhe_carro1[[#This Row],[kms]]</f>
        <v>6.5</v>
      </c>
    </row>
    <row r="602" spans="2:17" x14ac:dyDescent="0.25">
      <c r="B602" s="3">
        <v>4</v>
      </c>
      <c r="C602">
        <v>1</v>
      </c>
      <c r="D602">
        <v>4</v>
      </c>
      <c r="E602" s="29" t="s">
        <v>27</v>
      </c>
      <c r="F602" s="3">
        <v>664</v>
      </c>
      <c r="G602" s="3">
        <v>664</v>
      </c>
      <c r="H602" s="29" t="s">
        <v>51</v>
      </c>
      <c r="I602" s="3">
        <v>3</v>
      </c>
      <c r="J602" s="7">
        <v>0.75277777777777777</v>
      </c>
      <c r="K602" s="7">
        <v>0.75277777777777777</v>
      </c>
      <c r="L602" s="3">
        <f t="shared" si="19"/>
        <v>1</v>
      </c>
      <c r="M602" s="3">
        <f t="shared" si="20"/>
        <v>0</v>
      </c>
      <c r="N602" s="29">
        <f>_xlfn.MAXIFS($G$7:G601,$E$7:E601,detalhe_carro1[[#This Row],[Nó]],$B$7:B601,detalhe_carro1[[#This Row],[Numero Voltas]],$L$7:L601,1)</f>
        <v>574</v>
      </c>
      <c r="O602" s="3" t="str">
        <f>IF(OR(detalhe_carro1[[#This Row],[Ultima Chegada]]=0,detalhe_carro1[[#This Row],[Chegada]]=0),"",detalhe_carro1[[#This Row],[Hora Inicio]]-detalhe_carro1[[#This Row],[Ultima Chegada]])</f>
        <v/>
      </c>
      <c r="P602" s="3">
        <f>IF(detalhe_carro1[[#This Row],[Tipo]]="Visitar Nó",((detalhe_carro1[[#This Row],[Hora Fim]]-detalhe_carro1[[#This Row],[Hora Inicio]])/60*velocidade_nos),0)</f>
        <v>0</v>
      </c>
      <c r="Q602" s="29">
        <f>detalhe_carro1[[#This Row],[Kms Nós]]+detalhe_carro1[[#This Row],[kms]]</f>
        <v>3</v>
      </c>
    </row>
    <row r="603" spans="2:17" x14ac:dyDescent="0.25">
      <c r="B603" s="3">
        <v>4</v>
      </c>
      <c r="C603">
        <v>1</v>
      </c>
      <c r="D603">
        <v>3</v>
      </c>
      <c r="E603" s="29" t="s">
        <v>26</v>
      </c>
      <c r="F603" s="3">
        <v>665</v>
      </c>
      <c r="G603" s="3">
        <v>675</v>
      </c>
      <c r="H603" s="29" t="s">
        <v>50</v>
      </c>
      <c r="I603" s="3">
        <v>0</v>
      </c>
      <c r="J603" s="7">
        <v>0.75347222222222221</v>
      </c>
      <c r="K603" s="7">
        <v>0.76041666666666663</v>
      </c>
      <c r="L603" s="3">
        <f t="shared" si="19"/>
        <v>0</v>
      </c>
      <c r="M603" s="3">
        <f t="shared" si="20"/>
        <v>1</v>
      </c>
      <c r="N603" s="29">
        <f>_xlfn.MAXIFS($G$7:G602,$E$7:E602,detalhe_carro1[[#This Row],[Nó]],$B$7:B602,detalhe_carro1[[#This Row],[Numero Voltas]],$L$7:L602,1)</f>
        <v>573</v>
      </c>
      <c r="O603" s="3">
        <f>IF(OR(detalhe_carro1[[#This Row],[Ultima Chegada]]=0,detalhe_carro1[[#This Row],[Chegada]]=0),"",detalhe_carro1[[#This Row],[Hora Inicio]]-detalhe_carro1[[#This Row],[Ultima Chegada]])</f>
        <v>92</v>
      </c>
      <c r="P603" s="3">
        <f>IF(detalhe_carro1[[#This Row],[Tipo]]="Visitar Nó",((detalhe_carro1[[#This Row],[Hora Fim]]-detalhe_carro1[[#This Row],[Hora Inicio]])/60*velocidade_nos),0)</f>
        <v>5</v>
      </c>
      <c r="Q603" s="29">
        <f>detalhe_carro1[[#This Row],[Kms Nós]]+detalhe_carro1[[#This Row],[kms]]</f>
        <v>5</v>
      </c>
    </row>
    <row r="604" spans="2:17" x14ac:dyDescent="0.25">
      <c r="B604" s="3">
        <v>4</v>
      </c>
      <c r="C604">
        <v>1</v>
      </c>
      <c r="D604">
        <v>3</v>
      </c>
      <c r="E604" s="29" t="s">
        <v>26</v>
      </c>
      <c r="F604" s="3">
        <v>676</v>
      </c>
      <c r="G604" s="3">
        <v>676</v>
      </c>
      <c r="H604" s="29" t="s">
        <v>51</v>
      </c>
      <c r="I604" s="3">
        <v>1</v>
      </c>
      <c r="J604" s="7">
        <v>0.76111111111111107</v>
      </c>
      <c r="K604" s="7">
        <v>0.76111111111111107</v>
      </c>
      <c r="L604" s="3">
        <f t="shared" si="19"/>
        <v>1</v>
      </c>
      <c r="M604" s="3">
        <f t="shared" si="20"/>
        <v>0</v>
      </c>
      <c r="N604" s="29">
        <f>_xlfn.MAXIFS($G$7:G603,$E$7:E603,detalhe_carro1[[#This Row],[Nó]],$B$7:B603,detalhe_carro1[[#This Row],[Numero Voltas]],$L$7:L603,1)</f>
        <v>573</v>
      </c>
      <c r="O604" s="3" t="str">
        <f>IF(OR(detalhe_carro1[[#This Row],[Ultima Chegada]]=0,detalhe_carro1[[#This Row],[Chegada]]=0),"",detalhe_carro1[[#This Row],[Hora Inicio]]-detalhe_carro1[[#This Row],[Ultima Chegada]])</f>
        <v/>
      </c>
      <c r="P604" s="3">
        <f>IF(detalhe_carro1[[#This Row],[Tipo]]="Visitar Nó",((detalhe_carro1[[#This Row],[Hora Fim]]-detalhe_carro1[[#This Row],[Hora Inicio]])/60*velocidade_nos),0)</f>
        <v>0</v>
      </c>
      <c r="Q604" s="29">
        <f>detalhe_carro1[[#This Row],[Kms Nós]]+detalhe_carro1[[#This Row],[kms]]</f>
        <v>1</v>
      </c>
    </row>
    <row r="605" spans="2:17" x14ac:dyDescent="0.25">
      <c r="B605" s="3">
        <v>4</v>
      </c>
      <c r="C605">
        <v>1</v>
      </c>
      <c r="D605">
        <v>2</v>
      </c>
      <c r="E605" s="29" t="s">
        <v>24</v>
      </c>
      <c r="F605" s="3">
        <v>677</v>
      </c>
      <c r="G605" s="3">
        <v>691</v>
      </c>
      <c r="H605" s="29" t="s">
        <v>50</v>
      </c>
      <c r="I605" s="3">
        <v>0</v>
      </c>
      <c r="J605" s="7">
        <v>0.76180555555555551</v>
      </c>
      <c r="K605" s="7">
        <v>0.77152777777777781</v>
      </c>
      <c r="L605" s="3">
        <f t="shared" si="19"/>
        <v>0</v>
      </c>
      <c r="M605" s="3">
        <f t="shared" si="20"/>
        <v>1</v>
      </c>
      <c r="N605" s="29">
        <f>_xlfn.MAXIFS($G$7:G604,$E$7:E604,detalhe_carro1[[#This Row],[Nó]],$B$7:B604,detalhe_carro1[[#This Row],[Numero Voltas]],$L$7:L604,1)</f>
        <v>572</v>
      </c>
      <c r="O605" s="3">
        <f>IF(OR(detalhe_carro1[[#This Row],[Ultima Chegada]]=0,detalhe_carro1[[#This Row],[Chegada]]=0),"",detalhe_carro1[[#This Row],[Hora Inicio]]-detalhe_carro1[[#This Row],[Ultima Chegada]])</f>
        <v>105</v>
      </c>
      <c r="P605" s="3">
        <f>IF(detalhe_carro1[[#This Row],[Tipo]]="Visitar Nó",((detalhe_carro1[[#This Row],[Hora Fim]]-detalhe_carro1[[#This Row],[Hora Inicio]])/60*velocidade_nos),0)</f>
        <v>7</v>
      </c>
      <c r="Q605" s="29">
        <f>detalhe_carro1[[#This Row],[Kms Nós]]+detalhe_carro1[[#This Row],[kms]]</f>
        <v>7</v>
      </c>
    </row>
    <row r="606" spans="2:17" x14ac:dyDescent="0.25">
      <c r="B606" s="3">
        <v>4</v>
      </c>
      <c r="C606">
        <v>1</v>
      </c>
      <c r="D606">
        <v>2</v>
      </c>
      <c r="E606" s="29" t="s">
        <v>24</v>
      </c>
      <c r="F606" s="3">
        <v>692</v>
      </c>
      <c r="G606" s="3">
        <v>692</v>
      </c>
      <c r="H606" s="29" t="s">
        <v>51</v>
      </c>
      <c r="I606" s="3">
        <v>1</v>
      </c>
      <c r="J606" s="7">
        <v>0.77222222222222225</v>
      </c>
      <c r="K606" s="7">
        <v>0.77222222222222225</v>
      </c>
      <c r="L606" s="3">
        <f t="shared" si="19"/>
        <v>1</v>
      </c>
      <c r="M606" s="3">
        <f t="shared" si="20"/>
        <v>0</v>
      </c>
      <c r="N606" s="29">
        <f>_xlfn.MAXIFS($G$7:G605,$E$7:E605,detalhe_carro1[[#This Row],[Nó]],$B$7:B605,detalhe_carro1[[#This Row],[Numero Voltas]],$L$7:L605,1)</f>
        <v>572</v>
      </c>
      <c r="O606" s="3" t="str">
        <f>IF(OR(detalhe_carro1[[#This Row],[Ultima Chegada]]=0,detalhe_carro1[[#This Row],[Chegada]]=0),"",detalhe_carro1[[#This Row],[Hora Inicio]]-detalhe_carro1[[#This Row],[Ultima Chegada]])</f>
        <v/>
      </c>
      <c r="P606" s="3">
        <f>IF(detalhe_carro1[[#This Row],[Tipo]]="Visitar Nó",((detalhe_carro1[[#This Row],[Hora Fim]]-detalhe_carro1[[#This Row],[Hora Inicio]])/60*velocidade_nos),0)</f>
        <v>0</v>
      </c>
      <c r="Q606" s="29">
        <f>detalhe_carro1[[#This Row],[Kms Nós]]+detalhe_carro1[[#This Row],[kms]]</f>
        <v>1</v>
      </c>
    </row>
    <row r="607" spans="2:17" x14ac:dyDescent="0.25">
      <c r="B607" s="3">
        <v>4</v>
      </c>
      <c r="C607">
        <v>1</v>
      </c>
      <c r="D607">
        <v>1</v>
      </c>
      <c r="E607" s="29" t="s">
        <v>22</v>
      </c>
      <c r="F607" s="3">
        <v>699</v>
      </c>
      <c r="G607" s="3">
        <v>704</v>
      </c>
      <c r="H607" s="29" t="s">
        <v>50</v>
      </c>
      <c r="I607" s="3">
        <v>0</v>
      </c>
      <c r="J607" s="7">
        <v>0.77708333333333335</v>
      </c>
      <c r="K607" s="7">
        <v>0.78055555555555556</v>
      </c>
      <c r="L607" s="3">
        <f t="shared" si="19"/>
        <v>0</v>
      </c>
      <c r="M607" s="3">
        <f t="shared" si="20"/>
        <v>1</v>
      </c>
      <c r="N607" s="29">
        <f>_xlfn.MAXIFS($G$7:G606,$E$7:E606,detalhe_carro1[[#This Row],[Nó]],$B$7:B606,detalhe_carro1[[#This Row],[Numero Voltas]],$L$7:L606,1)</f>
        <v>565</v>
      </c>
      <c r="O607" s="3">
        <f>IF(OR(detalhe_carro1[[#This Row],[Ultima Chegada]]=0,detalhe_carro1[[#This Row],[Chegada]]=0),"",detalhe_carro1[[#This Row],[Hora Inicio]]-detalhe_carro1[[#This Row],[Ultima Chegada]])</f>
        <v>134</v>
      </c>
      <c r="P607" s="3">
        <f>IF(detalhe_carro1[[#This Row],[Tipo]]="Visitar Nó",((detalhe_carro1[[#This Row],[Hora Fim]]-detalhe_carro1[[#This Row],[Hora Inicio]])/60*velocidade_nos),0)</f>
        <v>2.5</v>
      </c>
      <c r="Q607" s="29">
        <f>detalhe_carro1[[#This Row],[Kms Nós]]+detalhe_carro1[[#This Row],[kms]]</f>
        <v>2.5</v>
      </c>
    </row>
    <row r="608" spans="2:17" x14ac:dyDescent="0.25">
      <c r="B608" s="3">
        <v>4</v>
      </c>
      <c r="C608">
        <v>1</v>
      </c>
      <c r="D608">
        <v>1</v>
      </c>
      <c r="E608" s="29" t="s">
        <v>22</v>
      </c>
      <c r="F608" s="3">
        <v>711</v>
      </c>
      <c r="G608" s="3">
        <v>711</v>
      </c>
      <c r="H608" s="29" t="s">
        <v>51</v>
      </c>
      <c r="I608" s="3">
        <v>7</v>
      </c>
      <c r="J608" s="7">
        <v>0.78541666666666665</v>
      </c>
      <c r="K608" s="7">
        <v>0.78541666666666665</v>
      </c>
      <c r="L608" s="3">
        <f t="shared" si="19"/>
        <v>1</v>
      </c>
      <c r="M608" s="3">
        <f t="shared" si="20"/>
        <v>0</v>
      </c>
      <c r="N608" s="29">
        <f>_xlfn.MAXIFS($G$7:G607,$E$7:E607,detalhe_carro1[[#This Row],[Nó]],$B$7:B607,detalhe_carro1[[#This Row],[Numero Voltas]],$L$7:L607,1)</f>
        <v>565</v>
      </c>
      <c r="O608" s="3" t="str">
        <f>IF(OR(detalhe_carro1[[#This Row],[Ultima Chegada]]=0,detalhe_carro1[[#This Row],[Chegada]]=0),"",detalhe_carro1[[#This Row],[Hora Inicio]]-detalhe_carro1[[#This Row],[Ultima Chegada]])</f>
        <v/>
      </c>
      <c r="P608" s="3">
        <f>IF(detalhe_carro1[[#This Row],[Tipo]]="Visitar Nó",((detalhe_carro1[[#This Row],[Hora Fim]]-detalhe_carro1[[#This Row],[Hora Inicio]])/60*velocidade_nos),0)</f>
        <v>0</v>
      </c>
      <c r="Q608" s="29">
        <f>detalhe_carro1[[#This Row],[Kms Nós]]+detalhe_carro1[[#This Row],[kms]]</f>
        <v>7</v>
      </c>
    </row>
    <row r="609" spans="2:17" x14ac:dyDescent="0.25">
      <c r="B609" s="3">
        <v>4</v>
      </c>
      <c r="C609">
        <v>1</v>
      </c>
      <c r="D609">
        <v>0</v>
      </c>
      <c r="E609" s="29" t="s">
        <v>20</v>
      </c>
      <c r="F609" s="3">
        <v>712</v>
      </c>
      <c r="G609" s="3">
        <v>712</v>
      </c>
      <c r="H609" s="29" t="s">
        <v>51</v>
      </c>
      <c r="I609" s="3">
        <v>1</v>
      </c>
      <c r="J609" s="7">
        <v>0.78611111111111109</v>
      </c>
      <c r="K609" s="7">
        <v>0.78611111111111109</v>
      </c>
      <c r="L609" s="3">
        <f t="shared" si="19"/>
        <v>0</v>
      </c>
      <c r="M609" s="3">
        <f t="shared" si="20"/>
        <v>1</v>
      </c>
      <c r="N609" s="29">
        <f>_xlfn.MAXIFS($G$7:G608,$E$7:E608,detalhe_carro1[[#This Row],[Nó]],$B$7:B608,detalhe_carro1[[#This Row],[Numero Voltas]],$L$7:L608,1)</f>
        <v>564</v>
      </c>
      <c r="O609" s="3">
        <f>IF(OR(detalhe_carro1[[#This Row],[Ultima Chegada]]=0,detalhe_carro1[[#This Row],[Chegada]]=0),"",detalhe_carro1[[#This Row],[Hora Inicio]]-detalhe_carro1[[#This Row],[Ultima Chegada]])</f>
        <v>148</v>
      </c>
      <c r="P609" s="3">
        <f>IF(detalhe_carro1[[#This Row],[Tipo]]="Visitar Nó",((detalhe_carro1[[#This Row],[Hora Fim]]-detalhe_carro1[[#This Row],[Hora Inicio]])/60*velocidade_nos),0)</f>
        <v>0</v>
      </c>
      <c r="Q609" s="29">
        <f>detalhe_carro1[[#This Row],[Kms Nós]]+detalhe_carro1[[#This Row],[kms]]</f>
        <v>1</v>
      </c>
    </row>
    <row r="610" spans="2:17" x14ac:dyDescent="0.25">
      <c r="B610" s="3">
        <v>4</v>
      </c>
      <c r="C610">
        <v>1</v>
      </c>
      <c r="D610">
        <v>0</v>
      </c>
      <c r="E610" s="29" t="s">
        <v>20</v>
      </c>
      <c r="F610" s="3">
        <v>712</v>
      </c>
      <c r="G610" s="3">
        <v>727</v>
      </c>
      <c r="H610" s="29" t="s">
        <v>50</v>
      </c>
      <c r="I610" s="3">
        <v>0</v>
      </c>
      <c r="J610" s="7">
        <v>0.78611111111111109</v>
      </c>
      <c r="K610" s="7">
        <v>0.79652777777777772</v>
      </c>
      <c r="L610" s="3">
        <f t="shared" si="19"/>
        <v>0</v>
      </c>
      <c r="M610" s="3">
        <f t="shared" si="20"/>
        <v>0</v>
      </c>
      <c r="N610" s="29">
        <f>_xlfn.MAXIFS($G$7:G609,$E$7:E609,detalhe_carro1[[#This Row],[Nó]],$B$7:B609,detalhe_carro1[[#This Row],[Numero Voltas]],$L$7:L609,1)</f>
        <v>564</v>
      </c>
      <c r="O610" s="3" t="str">
        <f>IF(OR(detalhe_carro1[[#This Row],[Ultima Chegada]]=0,detalhe_carro1[[#This Row],[Chegada]]=0),"",detalhe_carro1[[#This Row],[Hora Inicio]]-detalhe_carro1[[#This Row],[Ultima Chegada]])</f>
        <v/>
      </c>
      <c r="P610" s="3">
        <f>IF(detalhe_carro1[[#This Row],[Tipo]]="Visitar Nó",((detalhe_carro1[[#This Row],[Hora Fim]]-detalhe_carro1[[#This Row],[Hora Inicio]])/60*velocidade_nos),0)</f>
        <v>7.5</v>
      </c>
      <c r="Q610" s="29">
        <f>detalhe_carro1[[#This Row],[Kms Nós]]+detalhe_carro1[[#This Row],[kms]]</f>
        <v>7.5</v>
      </c>
    </row>
    <row r="611" spans="2:17" x14ac:dyDescent="0.25">
      <c r="B611" s="3">
        <v>4</v>
      </c>
      <c r="C611">
        <v>1</v>
      </c>
      <c r="D611">
        <v>0</v>
      </c>
      <c r="E611" s="29" t="s">
        <v>20</v>
      </c>
      <c r="F611" s="3">
        <v>727</v>
      </c>
      <c r="G611" s="3">
        <v>727</v>
      </c>
      <c r="H611" s="29" t="s">
        <v>51</v>
      </c>
      <c r="I611" s="3">
        <v>1</v>
      </c>
      <c r="J611" s="7">
        <v>0.79652777777777772</v>
      </c>
      <c r="K611" s="7">
        <v>0.79652777777777772</v>
      </c>
      <c r="L611" s="3">
        <f t="shared" si="19"/>
        <v>1</v>
      </c>
      <c r="M611" s="3">
        <f t="shared" si="20"/>
        <v>0</v>
      </c>
      <c r="N611" s="29">
        <f>_xlfn.MAXIFS($G$7:G610,$E$7:E610,detalhe_carro1[[#This Row],[Nó]],$B$7:B610,detalhe_carro1[[#This Row],[Numero Voltas]],$L$7:L610,1)</f>
        <v>564</v>
      </c>
      <c r="O611" s="3" t="str">
        <f>IF(OR(detalhe_carro1[[#This Row],[Ultima Chegada]]=0,detalhe_carro1[[#This Row],[Chegada]]=0),"",detalhe_carro1[[#This Row],[Hora Inicio]]-detalhe_carro1[[#This Row],[Ultima Chegada]])</f>
        <v/>
      </c>
      <c r="P611" s="3">
        <f>IF(detalhe_carro1[[#This Row],[Tipo]]="Visitar Nó",((detalhe_carro1[[#This Row],[Hora Fim]]-detalhe_carro1[[#This Row],[Hora Inicio]])/60*velocidade_nos),0)</f>
        <v>0</v>
      </c>
      <c r="Q611" s="29">
        <f>detalhe_carro1[[#This Row],[Kms Nós]]+detalhe_carro1[[#This Row],[kms]]</f>
        <v>1</v>
      </c>
    </row>
    <row r="612" spans="2:17" x14ac:dyDescent="0.25">
      <c r="B612" s="3">
        <v>4</v>
      </c>
      <c r="C612">
        <v>1</v>
      </c>
      <c r="D612">
        <v>1</v>
      </c>
      <c r="E612" s="29" t="s">
        <v>22</v>
      </c>
      <c r="F612" s="3">
        <v>728</v>
      </c>
      <c r="G612" s="3">
        <v>733</v>
      </c>
      <c r="H612" s="29" t="s">
        <v>50</v>
      </c>
      <c r="I612" s="3">
        <v>0</v>
      </c>
      <c r="J612" s="7">
        <v>0.79722222222222228</v>
      </c>
      <c r="K612" s="7">
        <v>0.80069444444444449</v>
      </c>
      <c r="L612" s="3">
        <f t="shared" si="19"/>
        <v>0</v>
      </c>
      <c r="M612" s="3">
        <f t="shared" si="20"/>
        <v>1</v>
      </c>
      <c r="N612" s="29">
        <f>_xlfn.MAXIFS($G$7:G611,$E$7:E611,detalhe_carro1[[#This Row],[Nó]],$B$7:B611,detalhe_carro1[[#This Row],[Numero Voltas]],$L$7:L611,1)</f>
        <v>711</v>
      </c>
      <c r="O612" s="3">
        <f>IF(OR(detalhe_carro1[[#This Row],[Ultima Chegada]]=0,detalhe_carro1[[#This Row],[Chegada]]=0),"",detalhe_carro1[[#This Row],[Hora Inicio]]-detalhe_carro1[[#This Row],[Ultima Chegada]])</f>
        <v>17</v>
      </c>
      <c r="P612" s="3">
        <f>IF(detalhe_carro1[[#This Row],[Tipo]]="Visitar Nó",((detalhe_carro1[[#This Row],[Hora Fim]]-detalhe_carro1[[#This Row],[Hora Inicio]])/60*velocidade_nos),0)</f>
        <v>2.5</v>
      </c>
      <c r="Q612" s="29">
        <f>detalhe_carro1[[#This Row],[Kms Nós]]+detalhe_carro1[[#This Row],[kms]]</f>
        <v>2.5</v>
      </c>
    </row>
    <row r="613" spans="2:17" x14ac:dyDescent="0.25">
      <c r="B613" s="3">
        <v>4</v>
      </c>
      <c r="C613">
        <v>1</v>
      </c>
      <c r="D613">
        <v>1</v>
      </c>
      <c r="E613" s="29" t="s">
        <v>22</v>
      </c>
      <c r="F613" s="3">
        <v>734</v>
      </c>
      <c r="G613" s="3">
        <v>734</v>
      </c>
      <c r="H613" s="29" t="s">
        <v>51</v>
      </c>
      <c r="I613" s="3">
        <v>1</v>
      </c>
      <c r="J613" s="7">
        <v>0.80138888888888893</v>
      </c>
      <c r="K613" s="7">
        <v>0.80138888888888893</v>
      </c>
      <c r="L613" s="3">
        <f t="shared" si="19"/>
        <v>1</v>
      </c>
      <c r="M613" s="3">
        <f t="shared" si="20"/>
        <v>0</v>
      </c>
      <c r="N613" s="29">
        <f>_xlfn.MAXIFS($G$7:G612,$E$7:E612,detalhe_carro1[[#This Row],[Nó]],$B$7:B612,detalhe_carro1[[#This Row],[Numero Voltas]],$L$7:L612,1)</f>
        <v>711</v>
      </c>
      <c r="O613" s="3" t="str">
        <f>IF(OR(detalhe_carro1[[#This Row],[Ultima Chegada]]=0,detalhe_carro1[[#This Row],[Chegada]]=0),"",detalhe_carro1[[#This Row],[Hora Inicio]]-detalhe_carro1[[#This Row],[Ultima Chegada]])</f>
        <v/>
      </c>
      <c r="P613" s="3">
        <f>IF(detalhe_carro1[[#This Row],[Tipo]]="Visitar Nó",((detalhe_carro1[[#This Row],[Hora Fim]]-detalhe_carro1[[#This Row],[Hora Inicio]])/60*velocidade_nos),0)</f>
        <v>0</v>
      </c>
      <c r="Q613" s="29">
        <f>detalhe_carro1[[#This Row],[Kms Nós]]+detalhe_carro1[[#This Row],[kms]]</f>
        <v>1</v>
      </c>
    </row>
    <row r="614" spans="2:17" x14ac:dyDescent="0.25">
      <c r="B614" s="3">
        <v>4</v>
      </c>
      <c r="C614">
        <v>1</v>
      </c>
      <c r="D614">
        <v>2</v>
      </c>
      <c r="E614" s="29" t="s">
        <v>24</v>
      </c>
      <c r="F614" s="3">
        <v>741</v>
      </c>
      <c r="G614" s="3">
        <v>755</v>
      </c>
      <c r="H614" s="29" t="s">
        <v>50</v>
      </c>
      <c r="I614" s="3">
        <v>0</v>
      </c>
      <c r="J614" s="7">
        <v>0.80625000000000002</v>
      </c>
      <c r="K614" s="7">
        <v>0.81597222222222221</v>
      </c>
      <c r="L614" s="3">
        <f t="shared" si="19"/>
        <v>0</v>
      </c>
      <c r="M614" s="3">
        <f t="shared" si="20"/>
        <v>1</v>
      </c>
      <c r="N614" s="29">
        <f>_xlfn.MAXIFS($G$7:G613,$E$7:E613,detalhe_carro1[[#This Row],[Nó]],$B$7:B613,detalhe_carro1[[#This Row],[Numero Voltas]],$L$7:L613,1)</f>
        <v>692</v>
      </c>
      <c r="O614" s="3">
        <f>IF(OR(detalhe_carro1[[#This Row],[Ultima Chegada]]=0,detalhe_carro1[[#This Row],[Chegada]]=0),"",detalhe_carro1[[#This Row],[Hora Inicio]]-detalhe_carro1[[#This Row],[Ultima Chegada]])</f>
        <v>49</v>
      </c>
      <c r="P614" s="3">
        <f>IF(detalhe_carro1[[#This Row],[Tipo]]="Visitar Nó",((detalhe_carro1[[#This Row],[Hora Fim]]-detalhe_carro1[[#This Row],[Hora Inicio]])/60*velocidade_nos),0)</f>
        <v>7</v>
      </c>
      <c r="Q614" s="29">
        <f>detalhe_carro1[[#This Row],[Kms Nós]]+detalhe_carro1[[#This Row],[kms]]</f>
        <v>7</v>
      </c>
    </row>
    <row r="615" spans="2:17" x14ac:dyDescent="0.25">
      <c r="B615" s="3">
        <v>4</v>
      </c>
      <c r="C615">
        <v>1</v>
      </c>
      <c r="D615">
        <v>2</v>
      </c>
      <c r="E615" s="29" t="s">
        <v>24</v>
      </c>
      <c r="F615" s="3">
        <v>762</v>
      </c>
      <c r="G615" s="3">
        <v>762</v>
      </c>
      <c r="H615" s="29" t="s">
        <v>51</v>
      </c>
      <c r="I615" s="3">
        <v>7</v>
      </c>
      <c r="J615" s="7">
        <v>0.8208333333333333</v>
      </c>
      <c r="K615" s="7">
        <v>0.8208333333333333</v>
      </c>
      <c r="L615" s="3">
        <f t="shared" si="19"/>
        <v>1</v>
      </c>
      <c r="M615" s="3">
        <f t="shared" si="20"/>
        <v>0</v>
      </c>
      <c r="N615" s="29">
        <f>_xlfn.MAXIFS($G$7:G614,$E$7:E614,detalhe_carro1[[#This Row],[Nó]],$B$7:B614,detalhe_carro1[[#This Row],[Numero Voltas]],$L$7:L614,1)</f>
        <v>692</v>
      </c>
      <c r="O615" s="3" t="str">
        <f>IF(OR(detalhe_carro1[[#This Row],[Ultima Chegada]]=0,detalhe_carro1[[#This Row],[Chegada]]=0),"",detalhe_carro1[[#This Row],[Hora Inicio]]-detalhe_carro1[[#This Row],[Ultima Chegada]])</f>
        <v/>
      </c>
      <c r="P615" s="3">
        <f>IF(detalhe_carro1[[#This Row],[Tipo]]="Visitar Nó",((detalhe_carro1[[#This Row],[Hora Fim]]-detalhe_carro1[[#This Row],[Hora Inicio]])/60*velocidade_nos),0)</f>
        <v>0</v>
      </c>
      <c r="Q615" s="29">
        <f>detalhe_carro1[[#This Row],[Kms Nós]]+detalhe_carro1[[#This Row],[kms]]</f>
        <v>7</v>
      </c>
    </row>
    <row r="616" spans="2:17" x14ac:dyDescent="0.25">
      <c r="B616" s="3">
        <v>4</v>
      </c>
      <c r="C616">
        <v>1</v>
      </c>
      <c r="D616">
        <v>3</v>
      </c>
      <c r="E616" s="29" t="s">
        <v>26</v>
      </c>
      <c r="F616" s="3">
        <v>763</v>
      </c>
      <c r="G616" s="3">
        <v>773</v>
      </c>
      <c r="H616" s="29" t="s">
        <v>50</v>
      </c>
      <c r="I616" s="3">
        <v>0</v>
      </c>
      <c r="J616" s="7">
        <v>0.82152777777777775</v>
      </c>
      <c r="K616" s="7">
        <v>0.82847222222222228</v>
      </c>
      <c r="L616" s="3">
        <f t="shared" si="19"/>
        <v>0</v>
      </c>
      <c r="M616" s="3">
        <f t="shared" si="20"/>
        <v>1</v>
      </c>
      <c r="N616" s="29">
        <f>_xlfn.MAXIFS($G$7:G615,$E$7:E615,detalhe_carro1[[#This Row],[Nó]],$B$7:B615,detalhe_carro1[[#This Row],[Numero Voltas]],$L$7:L615,1)</f>
        <v>676</v>
      </c>
      <c r="O616" s="3">
        <f>IF(OR(detalhe_carro1[[#This Row],[Ultima Chegada]]=0,detalhe_carro1[[#This Row],[Chegada]]=0),"",detalhe_carro1[[#This Row],[Hora Inicio]]-detalhe_carro1[[#This Row],[Ultima Chegada]])</f>
        <v>87</v>
      </c>
      <c r="P616" s="3">
        <f>IF(detalhe_carro1[[#This Row],[Tipo]]="Visitar Nó",((detalhe_carro1[[#This Row],[Hora Fim]]-detalhe_carro1[[#This Row],[Hora Inicio]])/60*velocidade_nos),0)</f>
        <v>5</v>
      </c>
      <c r="Q616" s="29">
        <f>detalhe_carro1[[#This Row],[Kms Nós]]+detalhe_carro1[[#This Row],[kms]]</f>
        <v>5</v>
      </c>
    </row>
    <row r="617" spans="2:17" x14ac:dyDescent="0.25">
      <c r="B617" s="3">
        <v>4</v>
      </c>
      <c r="C617">
        <v>1</v>
      </c>
      <c r="D617">
        <v>3</v>
      </c>
      <c r="E617" s="29" t="s">
        <v>26</v>
      </c>
      <c r="F617" s="3">
        <v>774</v>
      </c>
      <c r="G617" s="3">
        <v>774</v>
      </c>
      <c r="H617" s="29" t="s">
        <v>51</v>
      </c>
      <c r="I617" s="3">
        <v>1</v>
      </c>
      <c r="J617" s="7">
        <v>0.82916666666666672</v>
      </c>
      <c r="K617" s="7">
        <v>0.82916666666666672</v>
      </c>
      <c r="L617" s="3">
        <f t="shared" si="19"/>
        <v>1</v>
      </c>
      <c r="M617" s="3">
        <f t="shared" si="20"/>
        <v>0</v>
      </c>
      <c r="N617" s="29">
        <f>_xlfn.MAXIFS($G$7:G616,$E$7:E616,detalhe_carro1[[#This Row],[Nó]],$B$7:B616,detalhe_carro1[[#This Row],[Numero Voltas]],$L$7:L616,1)</f>
        <v>676</v>
      </c>
      <c r="O617" s="3" t="str">
        <f>IF(OR(detalhe_carro1[[#This Row],[Ultima Chegada]]=0,detalhe_carro1[[#This Row],[Chegada]]=0),"",detalhe_carro1[[#This Row],[Hora Inicio]]-detalhe_carro1[[#This Row],[Ultima Chegada]])</f>
        <v/>
      </c>
      <c r="P617" s="3">
        <f>IF(detalhe_carro1[[#This Row],[Tipo]]="Visitar Nó",((detalhe_carro1[[#This Row],[Hora Fim]]-detalhe_carro1[[#This Row],[Hora Inicio]])/60*velocidade_nos),0)</f>
        <v>0</v>
      </c>
      <c r="Q617" s="29">
        <f>detalhe_carro1[[#This Row],[Kms Nós]]+detalhe_carro1[[#This Row],[kms]]</f>
        <v>1</v>
      </c>
    </row>
    <row r="618" spans="2:17" x14ac:dyDescent="0.25">
      <c r="B618" s="3">
        <v>4</v>
      </c>
      <c r="C618">
        <v>1</v>
      </c>
      <c r="D618">
        <v>4</v>
      </c>
      <c r="E618" s="29" t="s">
        <v>27</v>
      </c>
      <c r="F618" s="3">
        <v>775</v>
      </c>
      <c r="G618" s="3">
        <v>788</v>
      </c>
      <c r="H618" s="29" t="s">
        <v>50</v>
      </c>
      <c r="I618" s="3">
        <v>0</v>
      </c>
      <c r="J618" s="7">
        <v>0.82986111111111116</v>
      </c>
      <c r="K618" s="7">
        <v>0.83888888888888891</v>
      </c>
      <c r="L618" s="3">
        <f t="shared" si="19"/>
        <v>0</v>
      </c>
      <c r="M618" s="3">
        <f t="shared" si="20"/>
        <v>1</v>
      </c>
      <c r="N618" s="29">
        <f>_xlfn.MAXIFS($G$7:G617,$E$7:E617,detalhe_carro1[[#This Row],[Nó]],$B$7:B617,detalhe_carro1[[#This Row],[Numero Voltas]],$L$7:L617,1)</f>
        <v>664</v>
      </c>
      <c r="O618" s="3">
        <f>IF(OR(detalhe_carro1[[#This Row],[Ultima Chegada]]=0,detalhe_carro1[[#This Row],[Chegada]]=0),"",detalhe_carro1[[#This Row],[Hora Inicio]]-detalhe_carro1[[#This Row],[Ultima Chegada]])</f>
        <v>111</v>
      </c>
      <c r="P618" s="3">
        <f>IF(detalhe_carro1[[#This Row],[Tipo]]="Visitar Nó",((detalhe_carro1[[#This Row],[Hora Fim]]-detalhe_carro1[[#This Row],[Hora Inicio]])/60*velocidade_nos),0)</f>
        <v>6.5</v>
      </c>
      <c r="Q618" s="29">
        <f>detalhe_carro1[[#This Row],[Kms Nós]]+detalhe_carro1[[#This Row],[kms]]</f>
        <v>6.5</v>
      </c>
    </row>
    <row r="619" spans="2:17" x14ac:dyDescent="0.25">
      <c r="B619" s="3">
        <v>4</v>
      </c>
      <c r="C619">
        <v>1</v>
      </c>
      <c r="D619">
        <v>4</v>
      </c>
      <c r="E619" s="29" t="s">
        <v>27</v>
      </c>
      <c r="F619" s="3">
        <v>789</v>
      </c>
      <c r="G619" s="3">
        <v>789</v>
      </c>
      <c r="H619" s="29" t="s">
        <v>51</v>
      </c>
      <c r="I619" s="3">
        <v>1</v>
      </c>
      <c r="J619" s="7">
        <v>0.83958333333333335</v>
      </c>
      <c r="K619" s="7">
        <v>0.83958333333333335</v>
      </c>
      <c r="L619" s="3">
        <f t="shared" si="19"/>
        <v>1</v>
      </c>
      <c r="M619" s="3">
        <f t="shared" si="20"/>
        <v>0</v>
      </c>
      <c r="N619" s="29">
        <f>_xlfn.MAXIFS($G$7:G618,$E$7:E618,detalhe_carro1[[#This Row],[Nó]],$B$7:B618,detalhe_carro1[[#This Row],[Numero Voltas]],$L$7:L618,1)</f>
        <v>664</v>
      </c>
      <c r="O619" s="3" t="str">
        <f>IF(OR(detalhe_carro1[[#This Row],[Ultima Chegada]]=0,detalhe_carro1[[#This Row],[Chegada]]=0),"",detalhe_carro1[[#This Row],[Hora Inicio]]-detalhe_carro1[[#This Row],[Ultima Chegada]])</f>
        <v/>
      </c>
      <c r="P619" s="3">
        <f>IF(detalhe_carro1[[#This Row],[Tipo]]="Visitar Nó",((detalhe_carro1[[#This Row],[Hora Fim]]-detalhe_carro1[[#This Row],[Hora Inicio]])/60*velocidade_nos),0)</f>
        <v>0</v>
      </c>
      <c r="Q619" s="29">
        <f>detalhe_carro1[[#This Row],[Kms Nós]]+detalhe_carro1[[#This Row],[kms]]</f>
        <v>1</v>
      </c>
    </row>
    <row r="620" spans="2:17" x14ac:dyDescent="0.25">
      <c r="B620" s="3">
        <v>4</v>
      </c>
      <c r="C620">
        <v>1</v>
      </c>
      <c r="D620">
        <v>5</v>
      </c>
      <c r="E620" s="29" t="s">
        <v>29</v>
      </c>
      <c r="F620" s="3">
        <v>792</v>
      </c>
      <c r="G620" s="3">
        <v>802</v>
      </c>
      <c r="H620" s="29" t="s">
        <v>297</v>
      </c>
      <c r="I620" s="3">
        <v>0</v>
      </c>
      <c r="J620" s="7">
        <v>0.84166666666666667</v>
      </c>
      <c r="K620" s="7">
        <v>0.84861111111111109</v>
      </c>
      <c r="L620" s="3">
        <f t="shared" si="19"/>
        <v>0</v>
      </c>
      <c r="M620" s="3">
        <f t="shared" si="20"/>
        <v>1</v>
      </c>
      <c r="N620" s="29">
        <f>_xlfn.MAXIFS($G$7:G619,$E$7:E619,detalhe_carro1[[#This Row],[Nó]],$B$7:B619,detalhe_carro1[[#This Row],[Numero Voltas]],$L$7:L619,1)</f>
        <v>645</v>
      </c>
      <c r="O620" s="3">
        <f>IF(OR(detalhe_carro1[[#This Row],[Ultima Chegada]]=0,detalhe_carro1[[#This Row],[Chegada]]=0),"",detalhe_carro1[[#This Row],[Hora Inicio]]-detalhe_carro1[[#This Row],[Ultima Chegada]])</f>
        <v>147</v>
      </c>
      <c r="P620" s="3">
        <f>IF(detalhe_carro1[[#This Row],[Tipo]]="Visitar Nó",((detalhe_carro1[[#This Row],[Hora Fim]]-detalhe_carro1[[#This Row],[Hora Inicio]])/60*velocidade_nos),0)</f>
        <v>0</v>
      </c>
      <c r="Q620" s="29">
        <f>detalhe_carro1[[#This Row],[Kms Nós]]+detalhe_carro1[[#This Row],[kms]]</f>
        <v>0</v>
      </c>
    </row>
    <row r="621" spans="2:17" x14ac:dyDescent="0.25">
      <c r="B621" s="3">
        <v>4</v>
      </c>
      <c r="C621">
        <v>1</v>
      </c>
      <c r="D621">
        <v>5</v>
      </c>
      <c r="E621" s="29" t="s">
        <v>29</v>
      </c>
      <c r="F621" s="3">
        <v>805</v>
      </c>
      <c r="G621" s="3">
        <v>833</v>
      </c>
      <c r="H621" s="29" t="s">
        <v>50</v>
      </c>
      <c r="I621" s="3">
        <v>0</v>
      </c>
      <c r="J621" s="7">
        <v>0.85069444444444442</v>
      </c>
      <c r="K621" s="7">
        <v>0.87013888888888891</v>
      </c>
      <c r="L621" s="3">
        <f t="shared" si="19"/>
        <v>0</v>
      </c>
      <c r="M621" s="3">
        <f t="shared" si="20"/>
        <v>0</v>
      </c>
      <c r="N621" s="29">
        <f>_xlfn.MAXIFS($G$7:G620,$E$7:E620,detalhe_carro1[[#This Row],[Nó]],$B$7:B620,detalhe_carro1[[#This Row],[Numero Voltas]],$L$7:L620,1)</f>
        <v>645</v>
      </c>
      <c r="O621" s="3" t="str">
        <f>IF(OR(detalhe_carro1[[#This Row],[Ultima Chegada]]=0,detalhe_carro1[[#This Row],[Chegada]]=0),"",detalhe_carro1[[#This Row],[Hora Inicio]]-detalhe_carro1[[#This Row],[Ultima Chegada]])</f>
        <v/>
      </c>
      <c r="P621" s="3">
        <f>IF(detalhe_carro1[[#This Row],[Tipo]]="Visitar Nó",((detalhe_carro1[[#This Row],[Hora Fim]]-detalhe_carro1[[#This Row],[Hora Inicio]])/60*velocidade_nos),0)</f>
        <v>14</v>
      </c>
      <c r="Q621" s="29">
        <f>detalhe_carro1[[#This Row],[Kms Nós]]+detalhe_carro1[[#This Row],[kms]]</f>
        <v>14</v>
      </c>
    </row>
    <row r="622" spans="2:17" x14ac:dyDescent="0.25">
      <c r="B622" s="3">
        <v>4</v>
      </c>
      <c r="C622">
        <v>1</v>
      </c>
      <c r="D622">
        <v>5</v>
      </c>
      <c r="E622" s="29" t="s">
        <v>29</v>
      </c>
      <c r="F622" s="3">
        <v>836</v>
      </c>
      <c r="G622" s="3">
        <v>836</v>
      </c>
      <c r="H622" s="29" t="s">
        <v>51</v>
      </c>
      <c r="I622" s="3">
        <v>3</v>
      </c>
      <c r="J622" s="7">
        <v>0.87222222222222223</v>
      </c>
      <c r="K622" s="7">
        <v>0.87222222222222223</v>
      </c>
      <c r="L622" s="3">
        <f t="shared" si="19"/>
        <v>1</v>
      </c>
      <c r="M622" s="3">
        <f t="shared" si="20"/>
        <v>0</v>
      </c>
      <c r="N622" s="29">
        <f>_xlfn.MAXIFS($G$7:G621,$E$7:E621,detalhe_carro1[[#This Row],[Nó]],$B$7:B621,detalhe_carro1[[#This Row],[Numero Voltas]],$L$7:L621,1)</f>
        <v>645</v>
      </c>
      <c r="O622" s="3" t="str">
        <f>IF(OR(detalhe_carro1[[#This Row],[Ultima Chegada]]=0,detalhe_carro1[[#This Row],[Chegada]]=0),"",detalhe_carro1[[#This Row],[Hora Inicio]]-detalhe_carro1[[#This Row],[Ultima Chegada]])</f>
        <v/>
      </c>
      <c r="P622" s="3">
        <f>IF(detalhe_carro1[[#This Row],[Tipo]]="Visitar Nó",((detalhe_carro1[[#This Row],[Hora Fim]]-detalhe_carro1[[#This Row],[Hora Inicio]])/60*velocidade_nos),0)</f>
        <v>0</v>
      </c>
      <c r="Q622" s="29">
        <f>detalhe_carro1[[#This Row],[Kms Nós]]+detalhe_carro1[[#This Row],[kms]]</f>
        <v>3</v>
      </c>
    </row>
    <row r="623" spans="2:17" x14ac:dyDescent="0.25">
      <c r="B623" s="3">
        <v>4</v>
      </c>
      <c r="C623">
        <v>1</v>
      </c>
      <c r="D623">
        <v>6</v>
      </c>
      <c r="E623" s="29" t="s">
        <v>31</v>
      </c>
      <c r="F623" s="3">
        <v>839</v>
      </c>
      <c r="G623" s="3">
        <v>848</v>
      </c>
      <c r="H623" s="29" t="s">
        <v>50</v>
      </c>
      <c r="I623" s="3">
        <v>0</v>
      </c>
      <c r="J623" s="7">
        <v>0.87430555555555556</v>
      </c>
      <c r="K623" s="7">
        <v>0.88055555555555554</v>
      </c>
      <c r="L623" s="3">
        <f t="shared" si="19"/>
        <v>0</v>
      </c>
      <c r="M623" s="3">
        <f t="shared" si="20"/>
        <v>1</v>
      </c>
      <c r="N623" s="29">
        <f>_xlfn.MAXIFS($G$7:G622,$E$7:E622,detalhe_carro1[[#This Row],[Nó]],$B$7:B622,detalhe_carro1[[#This Row],[Numero Voltas]],$L$7:L622,1)</f>
        <v>611</v>
      </c>
      <c r="O623" s="3">
        <f>IF(OR(detalhe_carro1[[#This Row],[Ultima Chegada]]=0,detalhe_carro1[[#This Row],[Chegada]]=0),"",detalhe_carro1[[#This Row],[Hora Inicio]]-detalhe_carro1[[#This Row],[Ultima Chegada]])</f>
        <v>228</v>
      </c>
      <c r="P623" s="3">
        <f>IF(detalhe_carro1[[#This Row],[Tipo]]="Visitar Nó",((detalhe_carro1[[#This Row],[Hora Fim]]-detalhe_carro1[[#This Row],[Hora Inicio]])/60*velocidade_nos),0)</f>
        <v>4.5</v>
      </c>
      <c r="Q623" s="29">
        <f>detalhe_carro1[[#This Row],[Kms Nós]]+detalhe_carro1[[#This Row],[kms]]</f>
        <v>4.5</v>
      </c>
    </row>
    <row r="624" spans="2:17" x14ac:dyDescent="0.25">
      <c r="B624" s="3">
        <v>4</v>
      </c>
      <c r="C624">
        <v>1</v>
      </c>
      <c r="D624">
        <v>6</v>
      </c>
      <c r="E624" s="29" t="s">
        <v>31</v>
      </c>
      <c r="F624" s="3">
        <v>851</v>
      </c>
      <c r="G624" s="3">
        <v>851</v>
      </c>
      <c r="H624" s="29" t="s">
        <v>51</v>
      </c>
      <c r="I624" s="3">
        <v>3</v>
      </c>
      <c r="J624" s="7">
        <v>0.88263888888888886</v>
      </c>
      <c r="K624" s="7">
        <v>0.88263888888888886</v>
      </c>
      <c r="L624" s="3">
        <f t="shared" si="19"/>
        <v>1</v>
      </c>
      <c r="M624" s="3">
        <f t="shared" si="20"/>
        <v>0</v>
      </c>
      <c r="N624" s="29">
        <f>_xlfn.MAXIFS($G$7:G623,$E$7:E623,detalhe_carro1[[#This Row],[Nó]],$B$7:B623,detalhe_carro1[[#This Row],[Numero Voltas]],$L$7:L623,1)</f>
        <v>611</v>
      </c>
      <c r="O624" s="3" t="str">
        <f>IF(OR(detalhe_carro1[[#This Row],[Ultima Chegada]]=0,detalhe_carro1[[#This Row],[Chegada]]=0),"",detalhe_carro1[[#This Row],[Hora Inicio]]-detalhe_carro1[[#This Row],[Ultima Chegada]])</f>
        <v/>
      </c>
      <c r="P624" s="3">
        <f>IF(detalhe_carro1[[#This Row],[Tipo]]="Visitar Nó",((detalhe_carro1[[#This Row],[Hora Fim]]-detalhe_carro1[[#This Row],[Hora Inicio]])/60*velocidade_nos),0)</f>
        <v>0</v>
      </c>
      <c r="Q624" s="29">
        <f>detalhe_carro1[[#This Row],[Kms Nós]]+detalhe_carro1[[#This Row],[kms]]</f>
        <v>3</v>
      </c>
    </row>
    <row r="625" spans="2:17" x14ac:dyDescent="0.25">
      <c r="B625" s="3">
        <v>4</v>
      </c>
      <c r="C625">
        <v>1</v>
      </c>
      <c r="D625">
        <v>7</v>
      </c>
      <c r="E625" s="29" t="s">
        <v>33</v>
      </c>
      <c r="F625" s="3">
        <v>854</v>
      </c>
      <c r="G625" s="3">
        <v>854</v>
      </c>
      <c r="H625" s="29" t="s">
        <v>51</v>
      </c>
      <c r="I625" s="3">
        <v>3</v>
      </c>
      <c r="J625" s="7">
        <v>0.88472222222222219</v>
      </c>
      <c r="K625" s="7">
        <v>0.88472222222222219</v>
      </c>
      <c r="L625" s="3">
        <f t="shared" si="19"/>
        <v>0</v>
      </c>
      <c r="M625" s="3">
        <f t="shared" si="20"/>
        <v>1</v>
      </c>
      <c r="N625" s="29">
        <f>_xlfn.MAXIFS($G$7:G624,$E$7:E624,detalhe_carro1[[#This Row],[Nó]],$B$7:B624,detalhe_carro1[[#This Row],[Numero Voltas]],$L$7:L624,1)</f>
        <v>583</v>
      </c>
      <c r="O625" s="3">
        <f>IF(OR(detalhe_carro1[[#This Row],[Ultima Chegada]]=0,detalhe_carro1[[#This Row],[Chegada]]=0),"",detalhe_carro1[[#This Row],[Hora Inicio]]-detalhe_carro1[[#This Row],[Ultima Chegada]])</f>
        <v>271</v>
      </c>
      <c r="P625" s="3">
        <f>IF(detalhe_carro1[[#This Row],[Tipo]]="Visitar Nó",((detalhe_carro1[[#This Row],[Hora Fim]]-detalhe_carro1[[#This Row],[Hora Inicio]])/60*velocidade_nos),0)</f>
        <v>0</v>
      </c>
      <c r="Q625" s="29">
        <f>detalhe_carro1[[#This Row],[Kms Nós]]+detalhe_carro1[[#This Row],[kms]]</f>
        <v>3</v>
      </c>
    </row>
    <row r="626" spans="2:17" x14ac:dyDescent="0.25">
      <c r="B626" s="3">
        <v>4</v>
      </c>
      <c r="C626">
        <v>1</v>
      </c>
      <c r="D626">
        <v>7</v>
      </c>
      <c r="E626" s="29" t="s">
        <v>33</v>
      </c>
      <c r="F626" s="3">
        <v>854</v>
      </c>
      <c r="G626" s="3">
        <v>854</v>
      </c>
      <c r="H626" s="29" t="s">
        <v>51</v>
      </c>
      <c r="I626" s="3">
        <v>3</v>
      </c>
      <c r="J626" s="7">
        <v>0.88472222222222219</v>
      </c>
      <c r="K626" s="7">
        <v>0.88472222222222219</v>
      </c>
      <c r="L626" s="3">
        <f t="shared" si="19"/>
        <v>1</v>
      </c>
      <c r="M626" s="3">
        <f t="shared" si="20"/>
        <v>0</v>
      </c>
      <c r="N626" s="29">
        <f>_xlfn.MAXIFS($G$7:G625,$E$7:E625,detalhe_carro1[[#This Row],[Nó]],$B$7:B625,detalhe_carro1[[#This Row],[Numero Voltas]],$L$7:L625,1)</f>
        <v>583</v>
      </c>
      <c r="O626" s="3" t="str">
        <f>IF(OR(detalhe_carro1[[#This Row],[Ultima Chegada]]=0,detalhe_carro1[[#This Row],[Chegada]]=0),"",detalhe_carro1[[#This Row],[Hora Inicio]]-detalhe_carro1[[#This Row],[Ultima Chegada]])</f>
        <v/>
      </c>
      <c r="P626" s="3">
        <f>IF(detalhe_carro1[[#This Row],[Tipo]]="Visitar Nó",((detalhe_carro1[[#This Row],[Hora Fim]]-detalhe_carro1[[#This Row],[Hora Inicio]])/60*velocidade_nos),0)</f>
        <v>0</v>
      </c>
      <c r="Q626" s="29">
        <f>detalhe_carro1[[#This Row],[Kms Nós]]+detalhe_carro1[[#This Row],[kms]]</f>
        <v>3</v>
      </c>
    </row>
    <row r="627" spans="2:17" x14ac:dyDescent="0.25">
      <c r="B627" s="3">
        <v>4</v>
      </c>
      <c r="C627">
        <v>1</v>
      </c>
      <c r="D627">
        <v>6</v>
      </c>
      <c r="E627" s="29" t="s">
        <v>31</v>
      </c>
      <c r="F627" s="3">
        <v>857</v>
      </c>
      <c r="G627" s="3">
        <v>857</v>
      </c>
      <c r="H627" s="29" t="s">
        <v>51</v>
      </c>
      <c r="I627" s="3">
        <v>3</v>
      </c>
      <c r="J627" s="7">
        <v>0.88680555555555551</v>
      </c>
      <c r="K627" s="7">
        <v>0.88680555555555551</v>
      </c>
      <c r="L627" s="3">
        <f t="shared" si="19"/>
        <v>1</v>
      </c>
      <c r="M627" s="3">
        <f t="shared" si="20"/>
        <v>1</v>
      </c>
      <c r="N627" s="29">
        <f>_xlfn.MAXIFS($G$7:G626,$E$7:E626,detalhe_carro1[[#This Row],[Nó]],$B$7:B626,detalhe_carro1[[#This Row],[Numero Voltas]],$L$7:L626,1)</f>
        <v>851</v>
      </c>
      <c r="O627" s="3">
        <f>IF(OR(detalhe_carro1[[#This Row],[Ultima Chegada]]=0,detalhe_carro1[[#This Row],[Chegada]]=0),"",detalhe_carro1[[#This Row],[Hora Inicio]]-detalhe_carro1[[#This Row],[Ultima Chegada]])</f>
        <v>6</v>
      </c>
      <c r="P627" s="3">
        <f>IF(detalhe_carro1[[#This Row],[Tipo]]="Visitar Nó",((detalhe_carro1[[#This Row],[Hora Fim]]-detalhe_carro1[[#This Row],[Hora Inicio]])/60*velocidade_nos),0)</f>
        <v>0</v>
      </c>
      <c r="Q627" s="29">
        <f>detalhe_carro1[[#This Row],[Kms Nós]]+detalhe_carro1[[#This Row],[kms]]</f>
        <v>3</v>
      </c>
    </row>
    <row r="628" spans="2:17" x14ac:dyDescent="0.25">
      <c r="B628" s="3">
        <v>4</v>
      </c>
      <c r="C628">
        <v>1</v>
      </c>
      <c r="D628">
        <v>5</v>
      </c>
      <c r="E628" s="29" t="s">
        <v>29</v>
      </c>
      <c r="F628" s="3">
        <v>860</v>
      </c>
      <c r="G628" s="3">
        <v>860</v>
      </c>
      <c r="H628" s="29" t="s">
        <v>51</v>
      </c>
      <c r="I628" s="3">
        <v>3</v>
      </c>
      <c r="J628" s="7">
        <v>0.88888888888888884</v>
      </c>
      <c r="K628" s="7">
        <v>0.88888888888888884</v>
      </c>
      <c r="L628" s="3">
        <f t="shared" si="19"/>
        <v>1</v>
      </c>
      <c r="M628" s="3">
        <f t="shared" si="20"/>
        <v>1</v>
      </c>
      <c r="N628" s="29">
        <f>_xlfn.MAXIFS($G$7:G627,$E$7:E627,detalhe_carro1[[#This Row],[Nó]],$B$7:B627,detalhe_carro1[[#This Row],[Numero Voltas]],$L$7:L627,1)</f>
        <v>836</v>
      </c>
      <c r="O628" s="3">
        <f>IF(OR(detalhe_carro1[[#This Row],[Ultima Chegada]]=0,detalhe_carro1[[#This Row],[Chegada]]=0),"",detalhe_carro1[[#This Row],[Hora Inicio]]-detalhe_carro1[[#This Row],[Ultima Chegada]])</f>
        <v>24</v>
      </c>
      <c r="P628" s="3">
        <f>IF(detalhe_carro1[[#This Row],[Tipo]]="Visitar Nó",((detalhe_carro1[[#This Row],[Hora Fim]]-detalhe_carro1[[#This Row],[Hora Inicio]])/60*velocidade_nos),0)</f>
        <v>0</v>
      </c>
      <c r="Q628" s="29">
        <f>detalhe_carro1[[#This Row],[Kms Nós]]+detalhe_carro1[[#This Row],[kms]]</f>
        <v>3</v>
      </c>
    </row>
    <row r="629" spans="2:17" x14ac:dyDescent="0.25">
      <c r="B629" s="3">
        <v>4</v>
      </c>
      <c r="C629">
        <v>1</v>
      </c>
      <c r="D629">
        <v>4</v>
      </c>
      <c r="E629" s="29" t="s">
        <v>27</v>
      </c>
      <c r="F629" s="3">
        <v>863</v>
      </c>
      <c r="G629" s="3">
        <v>863</v>
      </c>
      <c r="H629" s="29" t="s">
        <v>51</v>
      </c>
      <c r="I629" s="3">
        <v>3</v>
      </c>
      <c r="J629" s="7">
        <v>0.89097222222222228</v>
      </c>
      <c r="K629" s="7">
        <v>0.89097222222222228</v>
      </c>
      <c r="L629" s="3">
        <f t="shared" si="19"/>
        <v>1</v>
      </c>
      <c r="M629" s="3">
        <f t="shared" si="20"/>
        <v>1</v>
      </c>
      <c r="N629" s="29">
        <f>_xlfn.MAXIFS($G$7:G628,$E$7:E628,detalhe_carro1[[#This Row],[Nó]],$B$7:B628,detalhe_carro1[[#This Row],[Numero Voltas]],$L$7:L628,1)</f>
        <v>789</v>
      </c>
      <c r="O629" s="3">
        <f>IF(OR(detalhe_carro1[[#This Row],[Ultima Chegada]]=0,detalhe_carro1[[#This Row],[Chegada]]=0),"",detalhe_carro1[[#This Row],[Hora Inicio]]-detalhe_carro1[[#This Row],[Ultima Chegada]])</f>
        <v>74</v>
      </c>
      <c r="P629" s="3">
        <f>IF(detalhe_carro1[[#This Row],[Tipo]]="Visitar Nó",((detalhe_carro1[[#This Row],[Hora Fim]]-detalhe_carro1[[#This Row],[Hora Inicio]])/60*velocidade_nos),0)</f>
        <v>0</v>
      </c>
      <c r="Q629" s="29">
        <f>detalhe_carro1[[#This Row],[Kms Nós]]+detalhe_carro1[[#This Row],[kms]]</f>
        <v>3</v>
      </c>
    </row>
    <row r="630" spans="2:17" x14ac:dyDescent="0.25">
      <c r="B630" s="3">
        <v>4</v>
      </c>
      <c r="C630">
        <v>1</v>
      </c>
      <c r="D630">
        <v>3</v>
      </c>
      <c r="E630" s="29" t="s">
        <v>26</v>
      </c>
      <c r="F630" s="3">
        <v>864</v>
      </c>
      <c r="G630" s="3">
        <v>864</v>
      </c>
      <c r="H630" s="29" t="s">
        <v>51</v>
      </c>
      <c r="I630" s="3">
        <v>1</v>
      </c>
      <c r="J630" s="7">
        <v>0.89166666666666672</v>
      </c>
      <c r="K630" s="7">
        <v>0.89166666666666672</v>
      </c>
      <c r="L630" s="3">
        <f t="shared" si="19"/>
        <v>1</v>
      </c>
      <c r="M630" s="3">
        <f t="shared" si="20"/>
        <v>1</v>
      </c>
      <c r="N630" s="29">
        <f>_xlfn.MAXIFS($G$7:G629,$E$7:E629,detalhe_carro1[[#This Row],[Nó]],$B$7:B629,detalhe_carro1[[#This Row],[Numero Voltas]],$L$7:L629,1)</f>
        <v>774</v>
      </c>
      <c r="O630" s="3">
        <f>IF(OR(detalhe_carro1[[#This Row],[Ultima Chegada]]=0,detalhe_carro1[[#This Row],[Chegada]]=0),"",detalhe_carro1[[#This Row],[Hora Inicio]]-detalhe_carro1[[#This Row],[Ultima Chegada]])</f>
        <v>90</v>
      </c>
      <c r="P630" s="3">
        <f>IF(detalhe_carro1[[#This Row],[Tipo]]="Visitar Nó",((detalhe_carro1[[#This Row],[Hora Fim]]-detalhe_carro1[[#This Row],[Hora Inicio]])/60*velocidade_nos),0)</f>
        <v>0</v>
      </c>
      <c r="Q630" s="29">
        <f>detalhe_carro1[[#This Row],[Kms Nós]]+detalhe_carro1[[#This Row],[kms]]</f>
        <v>1</v>
      </c>
    </row>
    <row r="631" spans="2:17" x14ac:dyDescent="0.25">
      <c r="B631" s="3">
        <v>4</v>
      </c>
      <c r="C631">
        <v>1</v>
      </c>
      <c r="D631">
        <v>2</v>
      </c>
      <c r="E631" s="29" t="s">
        <v>24</v>
      </c>
      <c r="F631" s="3">
        <v>865</v>
      </c>
      <c r="G631" s="3">
        <v>865</v>
      </c>
      <c r="H631" s="29" t="s">
        <v>51</v>
      </c>
      <c r="I631" s="3">
        <v>1</v>
      </c>
      <c r="J631" s="7">
        <v>0.89236111111111116</v>
      </c>
      <c r="K631" s="7">
        <v>0.89236111111111116</v>
      </c>
      <c r="L631" s="3">
        <f t="shared" si="19"/>
        <v>1</v>
      </c>
      <c r="M631" s="3">
        <f t="shared" si="20"/>
        <v>1</v>
      </c>
      <c r="N631" s="29">
        <f>_xlfn.MAXIFS($G$7:G630,$E$7:E630,detalhe_carro1[[#This Row],[Nó]],$B$7:B630,detalhe_carro1[[#This Row],[Numero Voltas]],$L$7:L630,1)</f>
        <v>762</v>
      </c>
      <c r="O631" s="3">
        <f>IF(OR(detalhe_carro1[[#This Row],[Ultima Chegada]]=0,detalhe_carro1[[#This Row],[Chegada]]=0),"",detalhe_carro1[[#This Row],[Hora Inicio]]-detalhe_carro1[[#This Row],[Ultima Chegada]])</f>
        <v>103</v>
      </c>
      <c r="P631" s="3">
        <f>IF(detalhe_carro1[[#This Row],[Tipo]]="Visitar Nó",((detalhe_carro1[[#This Row],[Hora Fim]]-detalhe_carro1[[#This Row],[Hora Inicio]])/60*velocidade_nos),0)</f>
        <v>0</v>
      </c>
      <c r="Q631" s="29">
        <f>detalhe_carro1[[#This Row],[Kms Nós]]+detalhe_carro1[[#This Row],[kms]]</f>
        <v>1</v>
      </c>
    </row>
    <row r="632" spans="2:17" x14ac:dyDescent="0.25">
      <c r="B632" s="3">
        <v>4</v>
      </c>
      <c r="C632">
        <v>1</v>
      </c>
      <c r="D632">
        <v>1</v>
      </c>
      <c r="E632" s="29" t="s">
        <v>22</v>
      </c>
      <c r="F632" s="3">
        <v>872</v>
      </c>
      <c r="G632" s="3">
        <v>872</v>
      </c>
      <c r="H632" s="29" t="s">
        <v>51</v>
      </c>
      <c r="I632" s="3">
        <v>7</v>
      </c>
      <c r="J632" s="7">
        <v>0.89722222222222225</v>
      </c>
      <c r="K632" s="7">
        <v>0.89722222222222225</v>
      </c>
      <c r="L632" s="3">
        <f t="shared" si="19"/>
        <v>1</v>
      </c>
      <c r="M632" s="3">
        <f t="shared" si="20"/>
        <v>1</v>
      </c>
      <c r="N632" s="29">
        <f>_xlfn.MAXIFS($G$7:G631,$E$7:E631,detalhe_carro1[[#This Row],[Nó]],$B$7:B631,detalhe_carro1[[#This Row],[Numero Voltas]],$L$7:L631,1)</f>
        <v>734</v>
      </c>
      <c r="O632" s="3">
        <f>IF(OR(detalhe_carro1[[#This Row],[Ultima Chegada]]=0,detalhe_carro1[[#This Row],[Chegada]]=0),"",detalhe_carro1[[#This Row],[Hora Inicio]]-detalhe_carro1[[#This Row],[Ultima Chegada]])</f>
        <v>138</v>
      </c>
      <c r="P632" s="3">
        <f>IF(detalhe_carro1[[#This Row],[Tipo]]="Visitar Nó",((detalhe_carro1[[#This Row],[Hora Fim]]-detalhe_carro1[[#This Row],[Hora Inicio]])/60*velocidade_nos),0)</f>
        <v>0</v>
      </c>
      <c r="Q632" s="29">
        <f>detalhe_carro1[[#This Row],[Kms Nós]]+detalhe_carro1[[#This Row],[kms]]</f>
        <v>7</v>
      </c>
    </row>
    <row r="633" spans="2:17" x14ac:dyDescent="0.25">
      <c r="B633" s="3">
        <v>4</v>
      </c>
      <c r="C633">
        <v>1</v>
      </c>
      <c r="D633">
        <v>0</v>
      </c>
      <c r="E633" s="29" t="s">
        <v>20</v>
      </c>
      <c r="F633" s="3">
        <v>873</v>
      </c>
      <c r="G633" s="3">
        <v>873</v>
      </c>
      <c r="H633" s="29" t="s">
        <v>51</v>
      </c>
      <c r="I633" s="3">
        <v>1</v>
      </c>
      <c r="J633" s="7">
        <v>0.8979166666666667</v>
      </c>
      <c r="K633" s="7">
        <v>0.8979166666666667</v>
      </c>
      <c r="L633" s="3">
        <f t="shared" si="19"/>
        <v>0</v>
      </c>
      <c r="M633" s="3">
        <f t="shared" si="20"/>
        <v>1</v>
      </c>
      <c r="N633" s="29">
        <f>_xlfn.MAXIFS($G$7:G632,$E$7:E632,detalhe_carro1[[#This Row],[Nó]],$B$7:B632,detalhe_carro1[[#This Row],[Numero Voltas]],$L$7:L632,1)</f>
        <v>727</v>
      </c>
      <c r="O633" s="3">
        <f>IF(OR(detalhe_carro1[[#This Row],[Ultima Chegada]]=0,detalhe_carro1[[#This Row],[Chegada]]=0),"",detalhe_carro1[[#This Row],[Hora Inicio]]-detalhe_carro1[[#This Row],[Ultima Chegada]])</f>
        <v>146</v>
      </c>
      <c r="P633" s="3">
        <f>IF(detalhe_carro1[[#This Row],[Tipo]]="Visitar Nó",((detalhe_carro1[[#This Row],[Hora Fim]]-detalhe_carro1[[#This Row],[Hora Inicio]])/60*velocidade_nos),0)</f>
        <v>0</v>
      </c>
      <c r="Q633" s="29">
        <f>detalhe_carro1[[#This Row],[Kms Nós]]+detalhe_carro1[[#This Row],[kms]]</f>
        <v>1</v>
      </c>
    </row>
    <row r="634" spans="2:17" x14ac:dyDescent="0.25">
      <c r="B634" s="3">
        <v>4</v>
      </c>
      <c r="C634">
        <v>1</v>
      </c>
      <c r="D634">
        <v>0</v>
      </c>
      <c r="E634" s="29" t="s">
        <v>20</v>
      </c>
      <c r="F634" s="3">
        <v>873</v>
      </c>
      <c r="G634" s="3">
        <v>873</v>
      </c>
      <c r="H634" s="29" t="s">
        <v>51</v>
      </c>
      <c r="I634" s="3">
        <v>1</v>
      </c>
      <c r="J634" s="7">
        <v>0.8979166666666667</v>
      </c>
      <c r="K634" s="7">
        <v>0.8979166666666667</v>
      </c>
      <c r="L634" s="3">
        <f t="shared" si="19"/>
        <v>1</v>
      </c>
      <c r="M634" s="3">
        <f t="shared" si="20"/>
        <v>0</v>
      </c>
      <c r="N634" s="29">
        <f>_xlfn.MAXIFS($G$7:G633,$E$7:E633,detalhe_carro1[[#This Row],[Nó]],$B$7:B633,detalhe_carro1[[#This Row],[Numero Voltas]],$L$7:L633,1)</f>
        <v>727</v>
      </c>
      <c r="O634" s="3" t="str">
        <f>IF(OR(detalhe_carro1[[#This Row],[Ultima Chegada]]=0,detalhe_carro1[[#This Row],[Chegada]]=0),"",detalhe_carro1[[#This Row],[Hora Inicio]]-detalhe_carro1[[#This Row],[Ultima Chegada]])</f>
        <v/>
      </c>
      <c r="P634" s="3">
        <f>IF(detalhe_carro1[[#This Row],[Tipo]]="Visitar Nó",((detalhe_carro1[[#This Row],[Hora Fim]]-detalhe_carro1[[#This Row],[Hora Inicio]])/60*velocidade_nos),0)</f>
        <v>0</v>
      </c>
      <c r="Q634" s="29">
        <f>detalhe_carro1[[#This Row],[Kms Nós]]+detalhe_carro1[[#This Row],[kms]]</f>
        <v>1</v>
      </c>
    </row>
    <row r="635" spans="2:17" x14ac:dyDescent="0.25">
      <c r="B635" s="3">
        <v>4</v>
      </c>
      <c r="C635">
        <v>1</v>
      </c>
      <c r="D635">
        <v>1</v>
      </c>
      <c r="E635" s="29" t="s">
        <v>22</v>
      </c>
      <c r="F635" s="3">
        <v>874</v>
      </c>
      <c r="G635" s="3">
        <v>874</v>
      </c>
      <c r="H635" s="29" t="s">
        <v>51</v>
      </c>
      <c r="I635" s="3">
        <v>1</v>
      </c>
      <c r="J635" s="7">
        <v>0.89861111111111114</v>
      </c>
      <c r="K635" s="7">
        <v>0.89861111111111114</v>
      </c>
      <c r="L635" s="3">
        <f t="shared" si="19"/>
        <v>1</v>
      </c>
      <c r="M635" s="3">
        <f t="shared" si="20"/>
        <v>1</v>
      </c>
      <c r="N635" s="29">
        <f>_xlfn.MAXIFS($G$7:G634,$E$7:E634,detalhe_carro1[[#This Row],[Nó]],$B$7:B634,detalhe_carro1[[#This Row],[Numero Voltas]],$L$7:L634,1)</f>
        <v>872</v>
      </c>
      <c r="O635" s="3">
        <f>IF(OR(detalhe_carro1[[#This Row],[Ultima Chegada]]=0,detalhe_carro1[[#This Row],[Chegada]]=0),"",detalhe_carro1[[#This Row],[Hora Inicio]]-detalhe_carro1[[#This Row],[Ultima Chegada]])</f>
        <v>2</v>
      </c>
      <c r="P635" s="3">
        <f>IF(detalhe_carro1[[#This Row],[Tipo]]="Visitar Nó",((detalhe_carro1[[#This Row],[Hora Fim]]-detalhe_carro1[[#This Row],[Hora Inicio]])/60*velocidade_nos),0)</f>
        <v>0</v>
      </c>
      <c r="Q635" s="29">
        <f>detalhe_carro1[[#This Row],[Kms Nós]]+detalhe_carro1[[#This Row],[kms]]</f>
        <v>1</v>
      </c>
    </row>
    <row r="636" spans="2:17" x14ac:dyDescent="0.25">
      <c r="B636" s="3">
        <v>4</v>
      </c>
      <c r="C636">
        <v>1</v>
      </c>
      <c r="D636">
        <v>2</v>
      </c>
      <c r="E636" s="29" t="s">
        <v>24</v>
      </c>
      <c r="F636" s="3">
        <v>881</v>
      </c>
      <c r="G636" s="3">
        <v>881</v>
      </c>
      <c r="H636" s="29" t="s">
        <v>51</v>
      </c>
      <c r="I636" s="3">
        <v>7</v>
      </c>
      <c r="J636" s="7">
        <v>0.90347222222222223</v>
      </c>
      <c r="K636" s="7">
        <v>0.90347222222222223</v>
      </c>
      <c r="L636" s="3">
        <f t="shared" si="19"/>
        <v>1</v>
      </c>
      <c r="M636" s="3">
        <f t="shared" si="20"/>
        <v>1</v>
      </c>
      <c r="N636" s="29">
        <f>_xlfn.MAXIFS($G$7:G635,$E$7:E635,detalhe_carro1[[#This Row],[Nó]],$B$7:B635,detalhe_carro1[[#This Row],[Numero Voltas]],$L$7:L635,1)</f>
        <v>865</v>
      </c>
      <c r="O636" s="3">
        <f>IF(OR(detalhe_carro1[[#This Row],[Ultima Chegada]]=0,detalhe_carro1[[#This Row],[Chegada]]=0),"",detalhe_carro1[[#This Row],[Hora Inicio]]-detalhe_carro1[[#This Row],[Ultima Chegada]])</f>
        <v>16</v>
      </c>
      <c r="P636" s="3">
        <f>IF(detalhe_carro1[[#This Row],[Tipo]]="Visitar Nó",((detalhe_carro1[[#This Row],[Hora Fim]]-detalhe_carro1[[#This Row],[Hora Inicio]])/60*velocidade_nos),0)</f>
        <v>0</v>
      </c>
      <c r="Q636" s="29">
        <f>detalhe_carro1[[#This Row],[Kms Nós]]+detalhe_carro1[[#This Row],[kms]]</f>
        <v>7</v>
      </c>
    </row>
    <row r="637" spans="2:17" x14ac:dyDescent="0.25">
      <c r="B637" s="3">
        <v>4</v>
      </c>
      <c r="C637">
        <v>1</v>
      </c>
      <c r="D637">
        <v>3</v>
      </c>
      <c r="E637" s="29" t="s">
        <v>26</v>
      </c>
      <c r="F637" s="3">
        <v>882</v>
      </c>
      <c r="G637" s="3">
        <v>882</v>
      </c>
      <c r="H637" s="29" t="s">
        <v>51</v>
      </c>
      <c r="I637" s="3">
        <v>1</v>
      </c>
      <c r="J637" s="7">
        <v>0.90416666666666667</v>
      </c>
      <c r="K637" s="7">
        <v>0.90416666666666667</v>
      </c>
      <c r="L637" s="3">
        <f t="shared" si="19"/>
        <v>1</v>
      </c>
      <c r="M637" s="3">
        <f t="shared" si="20"/>
        <v>1</v>
      </c>
      <c r="N637" s="29">
        <f>_xlfn.MAXIFS($G$7:G636,$E$7:E636,detalhe_carro1[[#This Row],[Nó]],$B$7:B636,detalhe_carro1[[#This Row],[Numero Voltas]],$L$7:L636,1)</f>
        <v>864</v>
      </c>
      <c r="O637" s="3">
        <f>IF(OR(detalhe_carro1[[#This Row],[Ultima Chegada]]=0,detalhe_carro1[[#This Row],[Chegada]]=0),"",detalhe_carro1[[#This Row],[Hora Inicio]]-detalhe_carro1[[#This Row],[Ultima Chegada]])</f>
        <v>18</v>
      </c>
      <c r="P637" s="3">
        <f>IF(detalhe_carro1[[#This Row],[Tipo]]="Visitar Nó",((detalhe_carro1[[#This Row],[Hora Fim]]-detalhe_carro1[[#This Row],[Hora Inicio]])/60*velocidade_nos),0)</f>
        <v>0</v>
      </c>
      <c r="Q637" s="29">
        <f>detalhe_carro1[[#This Row],[Kms Nós]]+detalhe_carro1[[#This Row],[kms]]</f>
        <v>1</v>
      </c>
    </row>
    <row r="638" spans="2:17" x14ac:dyDescent="0.25">
      <c r="B638" s="3">
        <v>4</v>
      </c>
      <c r="C638">
        <v>1</v>
      </c>
      <c r="D638">
        <v>4</v>
      </c>
      <c r="E638" s="29" t="s">
        <v>27</v>
      </c>
      <c r="F638" s="3">
        <v>883</v>
      </c>
      <c r="G638" s="3">
        <v>883</v>
      </c>
      <c r="H638" s="29" t="s">
        <v>51</v>
      </c>
      <c r="I638" s="3">
        <v>1</v>
      </c>
      <c r="J638" s="7">
        <v>0.90486111111111112</v>
      </c>
      <c r="K638" s="7">
        <v>0.90486111111111112</v>
      </c>
      <c r="L638" s="3">
        <f t="shared" si="19"/>
        <v>1</v>
      </c>
      <c r="M638" s="3">
        <f t="shared" si="20"/>
        <v>1</v>
      </c>
      <c r="N638" s="29">
        <f>_xlfn.MAXIFS($G$7:G637,$E$7:E637,detalhe_carro1[[#This Row],[Nó]],$B$7:B637,detalhe_carro1[[#This Row],[Numero Voltas]],$L$7:L637,1)</f>
        <v>863</v>
      </c>
      <c r="O638" s="3">
        <f>IF(OR(detalhe_carro1[[#This Row],[Ultima Chegada]]=0,detalhe_carro1[[#This Row],[Chegada]]=0),"",detalhe_carro1[[#This Row],[Hora Inicio]]-detalhe_carro1[[#This Row],[Ultima Chegada]])</f>
        <v>20</v>
      </c>
      <c r="P638" s="3">
        <f>IF(detalhe_carro1[[#This Row],[Tipo]]="Visitar Nó",((detalhe_carro1[[#This Row],[Hora Fim]]-detalhe_carro1[[#This Row],[Hora Inicio]])/60*velocidade_nos),0)</f>
        <v>0</v>
      </c>
      <c r="Q638" s="29">
        <f>detalhe_carro1[[#This Row],[Kms Nós]]+detalhe_carro1[[#This Row],[kms]]</f>
        <v>1</v>
      </c>
    </row>
    <row r="639" spans="2:17" x14ac:dyDescent="0.25">
      <c r="B639" s="3">
        <v>4</v>
      </c>
      <c r="C639">
        <v>1</v>
      </c>
      <c r="D639">
        <v>5</v>
      </c>
      <c r="E639" s="29" t="s">
        <v>29</v>
      </c>
      <c r="F639" s="3">
        <v>886</v>
      </c>
      <c r="G639" s="3">
        <v>886</v>
      </c>
      <c r="H639" s="29" t="s">
        <v>51</v>
      </c>
      <c r="I639" s="3">
        <v>3</v>
      </c>
      <c r="J639" s="7">
        <v>0.90694444444444444</v>
      </c>
      <c r="K639" s="7">
        <v>0.90694444444444444</v>
      </c>
      <c r="L639" s="3">
        <f t="shared" si="19"/>
        <v>1</v>
      </c>
      <c r="M639" s="3">
        <f t="shared" si="20"/>
        <v>1</v>
      </c>
      <c r="N639" s="29">
        <f>_xlfn.MAXIFS($G$7:G638,$E$7:E638,detalhe_carro1[[#This Row],[Nó]],$B$7:B638,detalhe_carro1[[#This Row],[Numero Voltas]],$L$7:L638,1)</f>
        <v>860</v>
      </c>
      <c r="O639" s="3">
        <f>IF(OR(detalhe_carro1[[#This Row],[Ultima Chegada]]=0,detalhe_carro1[[#This Row],[Chegada]]=0),"",detalhe_carro1[[#This Row],[Hora Inicio]]-detalhe_carro1[[#This Row],[Ultima Chegada]])</f>
        <v>26</v>
      </c>
      <c r="P639" s="3">
        <f>IF(detalhe_carro1[[#This Row],[Tipo]]="Visitar Nó",((detalhe_carro1[[#This Row],[Hora Fim]]-detalhe_carro1[[#This Row],[Hora Inicio]])/60*velocidade_nos),0)</f>
        <v>0</v>
      </c>
      <c r="Q639" s="29">
        <f>detalhe_carro1[[#This Row],[Kms Nós]]+detalhe_carro1[[#This Row],[kms]]</f>
        <v>3</v>
      </c>
    </row>
    <row r="640" spans="2:17" x14ac:dyDescent="0.25">
      <c r="B640" s="3">
        <v>4</v>
      </c>
      <c r="C640">
        <v>1</v>
      </c>
      <c r="D640">
        <v>6</v>
      </c>
      <c r="E640" s="29" t="s">
        <v>31</v>
      </c>
      <c r="F640" s="3">
        <v>889</v>
      </c>
      <c r="G640" s="3">
        <v>889</v>
      </c>
      <c r="H640" s="29" t="s">
        <v>51</v>
      </c>
      <c r="I640" s="3">
        <v>3</v>
      </c>
      <c r="J640" s="7">
        <v>0.90902777777777777</v>
      </c>
      <c r="K640" s="7">
        <v>0.90902777777777777</v>
      </c>
      <c r="L640" s="3">
        <f t="shared" si="19"/>
        <v>1</v>
      </c>
      <c r="M640" s="3">
        <f t="shared" si="20"/>
        <v>1</v>
      </c>
      <c r="N640" s="29">
        <f>_xlfn.MAXIFS($G$7:G639,$E$7:E639,detalhe_carro1[[#This Row],[Nó]],$B$7:B639,detalhe_carro1[[#This Row],[Numero Voltas]],$L$7:L639,1)</f>
        <v>857</v>
      </c>
      <c r="O640" s="3">
        <f>IF(OR(detalhe_carro1[[#This Row],[Ultima Chegada]]=0,detalhe_carro1[[#This Row],[Chegada]]=0),"",detalhe_carro1[[#This Row],[Hora Inicio]]-detalhe_carro1[[#This Row],[Ultima Chegada]])</f>
        <v>32</v>
      </c>
      <c r="P640" s="3">
        <f>IF(detalhe_carro1[[#This Row],[Tipo]]="Visitar Nó",((detalhe_carro1[[#This Row],[Hora Fim]]-detalhe_carro1[[#This Row],[Hora Inicio]])/60*velocidade_nos),0)</f>
        <v>0</v>
      </c>
      <c r="Q640" s="29">
        <f>detalhe_carro1[[#This Row],[Kms Nós]]+detalhe_carro1[[#This Row],[kms]]</f>
        <v>3</v>
      </c>
    </row>
    <row r="641" spans="2:17" x14ac:dyDescent="0.25">
      <c r="B641" s="3">
        <v>4</v>
      </c>
      <c r="C641">
        <v>1</v>
      </c>
      <c r="D641">
        <v>7</v>
      </c>
      <c r="E641" s="29" t="s">
        <v>33</v>
      </c>
      <c r="F641" s="3">
        <v>892</v>
      </c>
      <c r="G641" s="3">
        <v>892</v>
      </c>
      <c r="H641" s="29" t="s">
        <v>51</v>
      </c>
      <c r="I641" s="3">
        <v>3</v>
      </c>
      <c r="J641" s="7">
        <v>0.91111111111111109</v>
      </c>
      <c r="K641" s="7">
        <v>0.91111111111111109</v>
      </c>
      <c r="L641" s="3">
        <f t="shared" si="19"/>
        <v>0</v>
      </c>
      <c r="M641" s="3">
        <f t="shared" si="20"/>
        <v>1</v>
      </c>
      <c r="N641" s="29">
        <f>_xlfn.MAXIFS($G$7:G640,$E$7:E640,detalhe_carro1[[#This Row],[Nó]],$B$7:B640,detalhe_carro1[[#This Row],[Numero Voltas]],$L$7:L640,1)</f>
        <v>854</v>
      </c>
      <c r="O641" s="3">
        <f>IF(OR(detalhe_carro1[[#This Row],[Ultima Chegada]]=0,detalhe_carro1[[#This Row],[Chegada]]=0),"",detalhe_carro1[[#This Row],[Hora Inicio]]-detalhe_carro1[[#This Row],[Ultima Chegada]])</f>
        <v>38</v>
      </c>
      <c r="P641" s="3">
        <f>IF(detalhe_carro1[[#This Row],[Tipo]]="Visitar Nó",((detalhe_carro1[[#This Row],[Hora Fim]]-detalhe_carro1[[#This Row],[Hora Inicio]])/60*velocidade_nos),0)</f>
        <v>0</v>
      </c>
      <c r="Q641" s="29">
        <f>detalhe_carro1[[#This Row],[Kms Nós]]+detalhe_carro1[[#This Row],[kms]]</f>
        <v>3</v>
      </c>
    </row>
    <row r="642" spans="2:17" x14ac:dyDescent="0.25">
      <c r="B642" s="3">
        <v>4</v>
      </c>
      <c r="C642">
        <v>1</v>
      </c>
      <c r="D642">
        <v>7</v>
      </c>
      <c r="E642" s="29" t="s">
        <v>33</v>
      </c>
      <c r="F642" s="3">
        <v>892</v>
      </c>
      <c r="G642" s="3">
        <v>892</v>
      </c>
      <c r="H642" s="29" t="s">
        <v>51</v>
      </c>
      <c r="I642" s="3">
        <v>3</v>
      </c>
      <c r="J642" s="7">
        <v>0.91111111111111109</v>
      </c>
      <c r="K642" s="7">
        <v>0.91111111111111109</v>
      </c>
      <c r="L642" s="3">
        <f t="shared" si="19"/>
        <v>1</v>
      </c>
      <c r="M642" s="3">
        <f t="shared" si="20"/>
        <v>0</v>
      </c>
      <c r="N642" s="29">
        <f>_xlfn.MAXIFS($G$7:G641,$E$7:E641,detalhe_carro1[[#This Row],[Nó]],$B$7:B641,detalhe_carro1[[#This Row],[Numero Voltas]],$L$7:L641,1)</f>
        <v>854</v>
      </c>
      <c r="O642" s="3" t="str">
        <f>IF(OR(detalhe_carro1[[#This Row],[Ultima Chegada]]=0,detalhe_carro1[[#This Row],[Chegada]]=0),"",detalhe_carro1[[#This Row],[Hora Inicio]]-detalhe_carro1[[#This Row],[Ultima Chegada]])</f>
        <v/>
      </c>
      <c r="P642" s="3">
        <f>IF(detalhe_carro1[[#This Row],[Tipo]]="Visitar Nó",((detalhe_carro1[[#This Row],[Hora Fim]]-detalhe_carro1[[#This Row],[Hora Inicio]])/60*velocidade_nos),0)</f>
        <v>0</v>
      </c>
      <c r="Q642" s="29">
        <f>detalhe_carro1[[#This Row],[Kms Nós]]+detalhe_carro1[[#This Row],[kms]]</f>
        <v>3</v>
      </c>
    </row>
    <row r="643" spans="2:17" x14ac:dyDescent="0.25">
      <c r="B643" s="3">
        <v>4</v>
      </c>
      <c r="C643">
        <v>1</v>
      </c>
      <c r="D643">
        <v>6</v>
      </c>
      <c r="E643" s="29" t="s">
        <v>31</v>
      </c>
      <c r="F643" s="3">
        <v>895</v>
      </c>
      <c r="G643" s="3">
        <v>895</v>
      </c>
      <c r="H643" s="29" t="s">
        <v>51</v>
      </c>
      <c r="I643" s="3">
        <v>3</v>
      </c>
      <c r="J643" s="7">
        <v>0.91319444444444442</v>
      </c>
      <c r="K643" s="7">
        <v>0.91319444444444442</v>
      </c>
      <c r="L643" s="3">
        <f t="shared" si="19"/>
        <v>1</v>
      </c>
      <c r="M643" s="3">
        <f t="shared" si="20"/>
        <v>1</v>
      </c>
      <c r="N643" s="29">
        <f>_xlfn.MAXIFS($G$7:G642,$E$7:E642,detalhe_carro1[[#This Row],[Nó]],$B$7:B642,detalhe_carro1[[#This Row],[Numero Voltas]],$L$7:L642,1)</f>
        <v>889</v>
      </c>
      <c r="O643" s="3">
        <f>IF(OR(detalhe_carro1[[#This Row],[Ultima Chegada]]=0,detalhe_carro1[[#This Row],[Chegada]]=0),"",detalhe_carro1[[#This Row],[Hora Inicio]]-detalhe_carro1[[#This Row],[Ultima Chegada]])</f>
        <v>6</v>
      </c>
      <c r="P643" s="3">
        <f>IF(detalhe_carro1[[#This Row],[Tipo]]="Visitar Nó",((detalhe_carro1[[#This Row],[Hora Fim]]-detalhe_carro1[[#This Row],[Hora Inicio]])/60*velocidade_nos),0)</f>
        <v>0</v>
      </c>
      <c r="Q643" s="29">
        <f>detalhe_carro1[[#This Row],[Kms Nós]]+detalhe_carro1[[#This Row],[kms]]</f>
        <v>3</v>
      </c>
    </row>
    <row r="644" spans="2:17" x14ac:dyDescent="0.25">
      <c r="B644" s="3">
        <v>4</v>
      </c>
      <c r="C644">
        <v>1</v>
      </c>
      <c r="D644">
        <v>5</v>
      </c>
      <c r="E644" s="29" t="s">
        <v>29</v>
      </c>
      <c r="F644" s="3">
        <v>898</v>
      </c>
      <c r="G644" s="3">
        <v>898</v>
      </c>
      <c r="H644" s="29" t="s">
        <v>51</v>
      </c>
      <c r="I644" s="3">
        <v>3</v>
      </c>
      <c r="J644" s="7">
        <v>0.91527777777777775</v>
      </c>
      <c r="K644" s="7">
        <v>0.91527777777777775</v>
      </c>
      <c r="L644" s="3">
        <f t="shared" si="19"/>
        <v>1</v>
      </c>
      <c r="M644" s="3">
        <f t="shared" si="20"/>
        <v>1</v>
      </c>
      <c r="N644" s="29">
        <f>_xlfn.MAXIFS($G$7:G643,$E$7:E643,detalhe_carro1[[#This Row],[Nó]],$B$7:B643,detalhe_carro1[[#This Row],[Numero Voltas]],$L$7:L643,1)</f>
        <v>886</v>
      </c>
      <c r="O644" s="3">
        <f>IF(OR(detalhe_carro1[[#This Row],[Ultima Chegada]]=0,detalhe_carro1[[#This Row],[Chegada]]=0),"",detalhe_carro1[[#This Row],[Hora Inicio]]-detalhe_carro1[[#This Row],[Ultima Chegada]])</f>
        <v>12</v>
      </c>
      <c r="P644" s="3">
        <f>IF(detalhe_carro1[[#This Row],[Tipo]]="Visitar Nó",((detalhe_carro1[[#This Row],[Hora Fim]]-detalhe_carro1[[#This Row],[Hora Inicio]])/60*velocidade_nos),0)</f>
        <v>0</v>
      </c>
      <c r="Q644" s="29">
        <f>detalhe_carro1[[#This Row],[Kms Nós]]+detalhe_carro1[[#This Row],[kms]]</f>
        <v>3</v>
      </c>
    </row>
    <row r="645" spans="2:17" x14ac:dyDescent="0.25">
      <c r="B645" s="3">
        <v>4</v>
      </c>
      <c r="C645">
        <v>1</v>
      </c>
      <c r="D645">
        <v>4</v>
      </c>
      <c r="E645" s="29" t="s">
        <v>27</v>
      </c>
      <c r="F645" s="3">
        <v>901</v>
      </c>
      <c r="G645" s="3">
        <v>901</v>
      </c>
      <c r="H645" s="29" t="s">
        <v>51</v>
      </c>
      <c r="I645" s="3">
        <v>3</v>
      </c>
      <c r="J645" s="7">
        <v>0.91736111111111107</v>
      </c>
      <c r="K645" s="7">
        <v>0.91736111111111107</v>
      </c>
      <c r="L645" s="3">
        <f t="shared" si="19"/>
        <v>1</v>
      </c>
      <c r="M645" s="3">
        <f t="shared" si="20"/>
        <v>1</v>
      </c>
      <c r="N645" s="29">
        <f>_xlfn.MAXIFS($G$7:G644,$E$7:E644,detalhe_carro1[[#This Row],[Nó]],$B$7:B644,detalhe_carro1[[#This Row],[Numero Voltas]],$L$7:L644,1)</f>
        <v>883</v>
      </c>
      <c r="O645" s="3">
        <f>IF(OR(detalhe_carro1[[#This Row],[Ultima Chegada]]=0,detalhe_carro1[[#This Row],[Chegada]]=0),"",detalhe_carro1[[#This Row],[Hora Inicio]]-detalhe_carro1[[#This Row],[Ultima Chegada]])</f>
        <v>18</v>
      </c>
      <c r="P645" s="3">
        <f>IF(detalhe_carro1[[#This Row],[Tipo]]="Visitar Nó",((detalhe_carro1[[#This Row],[Hora Fim]]-detalhe_carro1[[#This Row],[Hora Inicio]])/60*velocidade_nos),0)</f>
        <v>0</v>
      </c>
      <c r="Q645" s="29">
        <f>detalhe_carro1[[#This Row],[Kms Nós]]+detalhe_carro1[[#This Row],[kms]]</f>
        <v>3</v>
      </c>
    </row>
    <row r="646" spans="2:17" x14ac:dyDescent="0.25">
      <c r="B646" s="3">
        <v>4</v>
      </c>
      <c r="C646">
        <v>1</v>
      </c>
      <c r="D646">
        <v>3</v>
      </c>
      <c r="E646" s="29" t="s">
        <v>26</v>
      </c>
      <c r="F646" s="3">
        <v>902</v>
      </c>
      <c r="G646" s="3">
        <v>902</v>
      </c>
      <c r="H646" s="29" t="s">
        <v>51</v>
      </c>
      <c r="I646" s="3">
        <v>1</v>
      </c>
      <c r="J646" s="7">
        <v>0.91805555555555551</v>
      </c>
      <c r="K646" s="7">
        <v>0.91805555555555551</v>
      </c>
      <c r="L646" s="3">
        <f t="shared" si="19"/>
        <v>1</v>
      </c>
      <c r="M646" s="3">
        <f t="shared" si="20"/>
        <v>1</v>
      </c>
      <c r="N646" s="29">
        <f>_xlfn.MAXIFS($G$7:G645,$E$7:E645,detalhe_carro1[[#This Row],[Nó]],$B$7:B645,detalhe_carro1[[#This Row],[Numero Voltas]],$L$7:L645,1)</f>
        <v>882</v>
      </c>
      <c r="O646" s="3">
        <f>IF(OR(detalhe_carro1[[#This Row],[Ultima Chegada]]=0,detalhe_carro1[[#This Row],[Chegada]]=0),"",detalhe_carro1[[#This Row],[Hora Inicio]]-detalhe_carro1[[#This Row],[Ultima Chegada]])</f>
        <v>20</v>
      </c>
      <c r="P646" s="3">
        <f>IF(detalhe_carro1[[#This Row],[Tipo]]="Visitar Nó",((detalhe_carro1[[#This Row],[Hora Fim]]-detalhe_carro1[[#This Row],[Hora Inicio]])/60*velocidade_nos),0)</f>
        <v>0</v>
      </c>
      <c r="Q646" s="29">
        <f>detalhe_carro1[[#This Row],[Kms Nós]]+detalhe_carro1[[#This Row],[kms]]</f>
        <v>1</v>
      </c>
    </row>
    <row r="647" spans="2:17" x14ac:dyDescent="0.25">
      <c r="B647" s="3">
        <v>4</v>
      </c>
      <c r="C647">
        <v>1</v>
      </c>
      <c r="D647">
        <v>2</v>
      </c>
      <c r="E647" s="29" t="s">
        <v>24</v>
      </c>
      <c r="F647" s="3">
        <v>903</v>
      </c>
      <c r="G647" s="3">
        <v>903</v>
      </c>
      <c r="H647" s="29" t="s">
        <v>51</v>
      </c>
      <c r="I647" s="3">
        <v>1</v>
      </c>
      <c r="J647" s="7">
        <v>0.91874999999999996</v>
      </c>
      <c r="K647" s="7">
        <v>0.91874999999999996</v>
      </c>
      <c r="L647" s="3">
        <f t="shared" ref="L647:L710" si="21">IF(E647&lt;&gt;E648,1,0)</f>
        <v>1</v>
      </c>
      <c r="M647" s="3">
        <f t="shared" ref="M647:M710" si="22">IF(E647&lt;&gt;E646,1,0)</f>
        <v>1</v>
      </c>
      <c r="N647" s="29">
        <f>_xlfn.MAXIFS($G$7:G646,$E$7:E646,detalhe_carro1[[#This Row],[Nó]],$B$7:B646,detalhe_carro1[[#This Row],[Numero Voltas]],$L$7:L646,1)</f>
        <v>881</v>
      </c>
      <c r="O647" s="3">
        <f>IF(OR(detalhe_carro1[[#This Row],[Ultima Chegada]]=0,detalhe_carro1[[#This Row],[Chegada]]=0),"",detalhe_carro1[[#This Row],[Hora Inicio]]-detalhe_carro1[[#This Row],[Ultima Chegada]])</f>
        <v>22</v>
      </c>
      <c r="P647" s="3">
        <f>IF(detalhe_carro1[[#This Row],[Tipo]]="Visitar Nó",((detalhe_carro1[[#This Row],[Hora Fim]]-detalhe_carro1[[#This Row],[Hora Inicio]])/60*velocidade_nos),0)</f>
        <v>0</v>
      </c>
      <c r="Q647" s="29">
        <f>detalhe_carro1[[#This Row],[Kms Nós]]+detalhe_carro1[[#This Row],[kms]]</f>
        <v>1</v>
      </c>
    </row>
    <row r="648" spans="2:17" x14ac:dyDescent="0.25">
      <c r="B648" s="3">
        <v>4</v>
      </c>
      <c r="C648">
        <v>1</v>
      </c>
      <c r="D648">
        <v>1</v>
      </c>
      <c r="E648" s="29" t="s">
        <v>22</v>
      </c>
      <c r="F648" s="3">
        <v>910</v>
      </c>
      <c r="G648" s="3">
        <v>910</v>
      </c>
      <c r="H648" s="29" t="s">
        <v>51</v>
      </c>
      <c r="I648" s="3">
        <v>7</v>
      </c>
      <c r="J648" s="7">
        <v>0.92361111111111116</v>
      </c>
      <c r="K648" s="7">
        <v>0.92361111111111116</v>
      </c>
      <c r="L648" s="3">
        <f t="shared" si="21"/>
        <v>1</v>
      </c>
      <c r="M648" s="3">
        <f t="shared" si="22"/>
        <v>1</v>
      </c>
      <c r="N648" s="29">
        <f>_xlfn.MAXIFS($G$7:G647,$E$7:E647,detalhe_carro1[[#This Row],[Nó]],$B$7:B647,detalhe_carro1[[#This Row],[Numero Voltas]],$L$7:L647,1)</f>
        <v>874</v>
      </c>
      <c r="O648" s="3">
        <f>IF(OR(detalhe_carro1[[#This Row],[Ultima Chegada]]=0,detalhe_carro1[[#This Row],[Chegada]]=0),"",detalhe_carro1[[#This Row],[Hora Inicio]]-detalhe_carro1[[#This Row],[Ultima Chegada]])</f>
        <v>36</v>
      </c>
      <c r="P648" s="3">
        <f>IF(detalhe_carro1[[#This Row],[Tipo]]="Visitar Nó",((detalhe_carro1[[#This Row],[Hora Fim]]-detalhe_carro1[[#This Row],[Hora Inicio]])/60*velocidade_nos),0)</f>
        <v>0</v>
      </c>
      <c r="Q648" s="29">
        <f>detalhe_carro1[[#This Row],[Kms Nós]]+detalhe_carro1[[#This Row],[kms]]</f>
        <v>7</v>
      </c>
    </row>
    <row r="649" spans="2:17" x14ac:dyDescent="0.25">
      <c r="B649" s="3">
        <v>4</v>
      </c>
      <c r="C649">
        <v>1</v>
      </c>
      <c r="D649">
        <v>0</v>
      </c>
      <c r="E649" s="29" t="s">
        <v>20</v>
      </c>
      <c r="F649" s="3">
        <v>911</v>
      </c>
      <c r="G649" s="3">
        <v>911</v>
      </c>
      <c r="H649" s="29" t="s">
        <v>51</v>
      </c>
      <c r="I649" s="3">
        <v>1</v>
      </c>
      <c r="J649" s="7">
        <v>0.9243055555555556</v>
      </c>
      <c r="K649" s="7">
        <v>0.9243055555555556</v>
      </c>
      <c r="L649" s="3">
        <f t="shared" si="21"/>
        <v>0</v>
      </c>
      <c r="M649" s="3">
        <f t="shared" si="22"/>
        <v>1</v>
      </c>
      <c r="N649" s="29">
        <f>_xlfn.MAXIFS($G$7:G648,$E$7:E648,detalhe_carro1[[#This Row],[Nó]],$B$7:B648,detalhe_carro1[[#This Row],[Numero Voltas]],$L$7:L648,1)</f>
        <v>873</v>
      </c>
      <c r="O649" s="3">
        <f>IF(OR(detalhe_carro1[[#This Row],[Ultima Chegada]]=0,detalhe_carro1[[#This Row],[Chegada]]=0),"",detalhe_carro1[[#This Row],[Hora Inicio]]-detalhe_carro1[[#This Row],[Ultima Chegada]])</f>
        <v>38</v>
      </c>
      <c r="P649" s="3">
        <f>IF(detalhe_carro1[[#This Row],[Tipo]]="Visitar Nó",((detalhe_carro1[[#This Row],[Hora Fim]]-detalhe_carro1[[#This Row],[Hora Inicio]])/60*velocidade_nos),0)</f>
        <v>0</v>
      </c>
      <c r="Q649" s="29">
        <f>detalhe_carro1[[#This Row],[Kms Nós]]+detalhe_carro1[[#This Row],[kms]]</f>
        <v>1</v>
      </c>
    </row>
    <row r="650" spans="2:17" x14ac:dyDescent="0.25">
      <c r="B650" s="3">
        <v>4</v>
      </c>
      <c r="C650">
        <v>1</v>
      </c>
      <c r="D650">
        <v>0</v>
      </c>
      <c r="E650" s="29" t="s">
        <v>20</v>
      </c>
      <c r="F650" s="3">
        <v>911</v>
      </c>
      <c r="G650" s="3">
        <v>911</v>
      </c>
      <c r="H650" s="29" t="s">
        <v>51</v>
      </c>
      <c r="I650" s="3">
        <v>1</v>
      </c>
      <c r="J650" s="7">
        <v>0.9243055555555556</v>
      </c>
      <c r="K650" s="7">
        <v>0.9243055555555556</v>
      </c>
      <c r="L650" s="3">
        <f t="shared" si="21"/>
        <v>1</v>
      </c>
      <c r="M650" s="3">
        <f t="shared" si="22"/>
        <v>0</v>
      </c>
      <c r="N650" s="29">
        <f>_xlfn.MAXIFS($G$7:G649,$E$7:E649,detalhe_carro1[[#This Row],[Nó]],$B$7:B649,detalhe_carro1[[#This Row],[Numero Voltas]],$L$7:L649,1)</f>
        <v>873</v>
      </c>
      <c r="O650" s="3" t="str">
        <f>IF(OR(detalhe_carro1[[#This Row],[Ultima Chegada]]=0,detalhe_carro1[[#This Row],[Chegada]]=0),"",detalhe_carro1[[#This Row],[Hora Inicio]]-detalhe_carro1[[#This Row],[Ultima Chegada]])</f>
        <v/>
      </c>
      <c r="P650" s="3">
        <f>IF(detalhe_carro1[[#This Row],[Tipo]]="Visitar Nó",((detalhe_carro1[[#This Row],[Hora Fim]]-detalhe_carro1[[#This Row],[Hora Inicio]])/60*velocidade_nos),0)</f>
        <v>0</v>
      </c>
      <c r="Q650" s="29">
        <f>detalhe_carro1[[#This Row],[Kms Nós]]+detalhe_carro1[[#This Row],[kms]]</f>
        <v>1</v>
      </c>
    </row>
    <row r="651" spans="2:17" x14ac:dyDescent="0.25">
      <c r="B651" s="3">
        <v>4</v>
      </c>
      <c r="C651">
        <v>1</v>
      </c>
      <c r="D651">
        <v>1</v>
      </c>
      <c r="E651" s="29" t="s">
        <v>22</v>
      </c>
      <c r="F651" s="3">
        <v>912</v>
      </c>
      <c r="G651" s="3">
        <v>912</v>
      </c>
      <c r="H651" s="29" t="s">
        <v>51</v>
      </c>
      <c r="I651" s="3">
        <v>1</v>
      </c>
      <c r="J651" s="7">
        <v>0.92500000000000004</v>
      </c>
      <c r="K651" s="7">
        <v>0.92500000000000004</v>
      </c>
      <c r="L651" s="3">
        <f t="shared" si="21"/>
        <v>1</v>
      </c>
      <c r="M651" s="3">
        <f t="shared" si="22"/>
        <v>1</v>
      </c>
      <c r="N651" s="29">
        <f>_xlfn.MAXIFS($G$7:G650,$E$7:E650,detalhe_carro1[[#This Row],[Nó]],$B$7:B650,detalhe_carro1[[#This Row],[Numero Voltas]],$L$7:L650,1)</f>
        <v>910</v>
      </c>
      <c r="O651" s="3">
        <f>IF(OR(detalhe_carro1[[#This Row],[Ultima Chegada]]=0,detalhe_carro1[[#This Row],[Chegada]]=0),"",detalhe_carro1[[#This Row],[Hora Inicio]]-detalhe_carro1[[#This Row],[Ultima Chegada]])</f>
        <v>2</v>
      </c>
      <c r="P651" s="3">
        <f>IF(detalhe_carro1[[#This Row],[Tipo]]="Visitar Nó",((detalhe_carro1[[#This Row],[Hora Fim]]-detalhe_carro1[[#This Row],[Hora Inicio]])/60*velocidade_nos),0)</f>
        <v>0</v>
      </c>
      <c r="Q651" s="29">
        <f>detalhe_carro1[[#This Row],[Kms Nós]]+detalhe_carro1[[#This Row],[kms]]</f>
        <v>1</v>
      </c>
    </row>
    <row r="652" spans="2:17" x14ac:dyDescent="0.25">
      <c r="B652" s="3">
        <v>4</v>
      </c>
      <c r="C652">
        <v>1</v>
      </c>
      <c r="D652">
        <v>2</v>
      </c>
      <c r="E652" s="29" t="s">
        <v>24</v>
      </c>
      <c r="F652" s="3">
        <v>919</v>
      </c>
      <c r="G652" s="3">
        <v>919</v>
      </c>
      <c r="H652" s="29" t="s">
        <v>51</v>
      </c>
      <c r="I652" s="3">
        <v>7</v>
      </c>
      <c r="J652" s="7">
        <v>0.92986111111111114</v>
      </c>
      <c r="K652" s="7">
        <v>0.92986111111111114</v>
      </c>
      <c r="L652" s="3">
        <f t="shared" si="21"/>
        <v>1</v>
      </c>
      <c r="M652" s="3">
        <f t="shared" si="22"/>
        <v>1</v>
      </c>
      <c r="N652" s="29">
        <f>_xlfn.MAXIFS($G$7:G651,$E$7:E651,detalhe_carro1[[#This Row],[Nó]],$B$7:B651,detalhe_carro1[[#This Row],[Numero Voltas]],$L$7:L651,1)</f>
        <v>903</v>
      </c>
      <c r="O652" s="3">
        <f>IF(OR(detalhe_carro1[[#This Row],[Ultima Chegada]]=0,detalhe_carro1[[#This Row],[Chegada]]=0),"",detalhe_carro1[[#This Row],[Hora Inicio]]-detalhe_carro1[[#This Row],[Ultima Chegada]])</f>
        <v>16</v>
      </c>
      <c r="P652" s="3">
        <f>IF(detalhe_carro1[[#This Row],[Tipo]]="Visitar Nó",((detalhe_carro1[[#This Row],[Hora Fim]]-detalhe_carro1[[#This Row],[Hora Inicio]])/60*velocidade_nos),0)</f>
        <v>0</v>
      </c>
      <c r="Q652" s="29">
        <f>detalhe_carro1[[#This Row],[Kms Nós]]+detalhe_carro1[[#This Row],[kms]]</f>
        <v>7</v>
      </c>
    </row>
    <row r="653" spans="2:17" x14ac:dyDescent="0.25">
      <c r="B653" s="3">
        <v>4</v>
      </c>
      <c r="C653">
        <v>1</v>
      </c>
      <c r="D653">
        <v>3</v>
      </c>
      <c r="E653" s="29" t="s">
        <v>26</v>
      </c>
      <c r="F653" s="3">
        <v>920</v>
      </c>
      <c r="G653" s="3">
        <v>920</v>
      </c>
      <c r="H653" s="29" t="s">
        <v>51</v>
      </c>
      <c r="I653" s="3">
        <v>1</v>
      </c>
      <c r="J653" s="7">
        <v>0.93055555555555558</v>
      </c>
      <c r="K653" s="7">
        <v>0.93055555555555558</v>
      </c>
      <c r="L653" s="3">
        <f t="shared" si="21"/>
        <v>1</v>
      </c>
      <c r="M653" s="3">
        <f t="shared" si="22"/>
        <v>1</v>
      </c>
      <c r="N653" s="29">
        <f>_xlfn.MAXIFS($G$7:G652,$E$7:E652,detalhe_carro1[[#This Row],[Nó]],$B$7:B652,detalhe_carro1[[#This Row],[Numero Voltas]],$L$7:L652,1)</f>
        <v>902</v>
      </c>
      <c r="O653" s="3">
        <f>IF(OR(detalhe_carro1[[#This Row],[Ultima Chegada]]=0,detalhe_carro1[[#This Row],[Chegada]]=0),"",detalhe_carro1[[#This Row],[Hora Inicio]]-detalhe_carro1[[#This Row],[Ultima Chegada]])</f>
        <v>18</v>
      </c>
      <c r="P653" s="3">
        <f>IF(detalhe_carro1[[#This Row],[Tipo]]="Visitar Nó",((detalhe_carro1[[#This Row],[Hora Fim]]-detalhe_carro1[[#This Row],[Hora Inicio]])/60*velocidade_nos),0)</f>
        <v>0</v>
      </c>
      <c r="Q653" s="29">
        <f>detalhe_carro1[[#This Row],[Kms Nós]]+detalhe_carro1[[#This Row],[kms]]</f>
        <v>1</v>
      </c>
    </row>
    <row r="654" spans="2:17" x14ac:dyDescent="0.25">
      <c r="B654" s="3">
        <v>4</v>
      </c>
      <c r="C654">
        <v>1</v>
      </c>
      <c r="D654">
        <v>4</v>
      </c>
      <c r="E654" s="29" t="s">
        <v>27</v>
      </c>
      <c r="F654" s="3">
        <v>921</v>
      </c>
      <c r="G654" s="3">
        <v>921</v>
      </c>
      <c r="H654" s="29" t="s">
        <v>51</v>
      </c>
      <c r="I654" s="3">
        <v>1</v>
      </c>
      <c r="J654" s="7">
        <v>0.93125000000000002</v>
      </c>
      <c r="K654" s="7">
        <v>0.93125000000000002</v>
      </c>
      <c r="L654" s="3">
        <f t="shared" si="21"/>
        <v>1</v>
      </c>
      <c r="M654" s="3">
        <f t="shared" si="22"/>
        <v>1</v>
      </c>
      <c r="N654" s="29">
        <f>_xlfn.MAXIFS($G$7:G653,$E$7:E653,detalhe_carro1[[#This Row],[Nó]],$B$7:B653,detalhe_carro1[[#This Row],[Numero Voltas]],$L$7:L653,1)</f>
        <v>901</v>
      </c>
      <c r="O654" s="3">
        <f>IF(OR(detalhe_carro1[[#This Row],[Ultima Chegada]]=0,detalhe_carro1[[#This Row],[Chegada]]=0),"",detalhe_carro1[[#This Row],[Hora Inicio]]-detalhe_carro1[[#This Row],[Ultima Chegada]])</f>
        <v>20</v>
      </c>
      <c r="P654" s="3">
        <f>IF(detalhe_carro1[[#This Row],[Tipo]]="Visitar Nó",((detalhe_carro1[[#This Row],[Hora Fim]]-detalhe_carro1[[#This Row],[Hora Inicio]])/60*velocidade_nos),0)</f>
        <v>0</v>
      </c>
      <c r="Q654" s="29">
        <f>detalhe_carro1[[#This Row],[Kms Nós]]+detalhe_carro1[[#This Row],[kms]]</f>
        <v>1</v>
      </c>
    </row>
    <row r="655" spans="2:17" x14ac:dyDescent="0.25">
      <c r="B655" s="3">
        <v>4</v>
      </c>
      <c r="C655">
        <v>1</v>
      </c>
      <c r="D655">
        <v>5</v>
      </c>
      <c r="E655" s="29" t="s">
        <v>29</v>
      </c>
      <c r="F655" s="3">
        <v>924</v>
      </c>
      <c r="G655" s="3">
        <v>924</v>
      </c>
      <c r="H655" s="29" t="s">
        <v>51</v>
      </c>
      <c r="I655" s="3">
        <v>3</v>
      </c>
      <c r="J655" s="7">
        <v>0.93333333333333335</v>
      </c>
      <c r="K655" s="7">
        <v>0.93333333333333335</v>
      </c>
      <c r="L655" s="3">
        <f t="shared" si="21"/>
        <v>1</v>
      </c>
      <c r="M655" s="3">
        <f t="shared" si="22"/>
        <v>1</v>
      </c>
      <c r="N655" s="29">
        <f>_xlfn.MAXIFS($G$7:G654,$E$7:E654,detalhe_carro1[[#This Row],[Nó]],$B$7:B654,detalhe_carro1[[#This Row],[Numero Voltas]],$L$7:L654,1)</f>
        <v>898</v>
      </c>
      <c r="O655" s="3">
        <f>IF(OR(detalhe_carro1[[#This Row],[Ultima Chegada]]=0,detalhe_carro1[[#This Row],[Chegada]]=0),"",detalhe_carro1[[#This Row],[Hora Inicio]]-detalhe_carro1[[#This Row],[Ultima Chegada]])</f>
        <v>26</v>
      </c>
      <c r="P655" s="3">
        <f>IF(detalhe_carro1[[#This Row],[Tipo]]="Visitar Nó",((detalhe_carro1[[#This Row],[Hora Fim]]-detalhe_carro1[[#This Row],[Hora Inicio]])/60*velocidade_nos),0)</f>
        <v>0</v>
      </c>
      <c r="Q655" s="29">
        <f>detalhe_carro1[[#This Row],[Kms Nós]]+detalhe_carro1[[#This Row],[kms]]</f>
        <v>3</v>
      </c>
    </row>
    <row r="656" spans="2:17" x14ac:dyDescent="0.25">
      <c r="B656" s="3">
        <v>4</v>
      </c>
      <c r="C656">
        <v>1</v>
      </c>
      <c r="D656">
        <v>6</v>
      </c>
      <c r="E656" s="29" t="s">
        <v>31</v>
      </c>
      <c r="F656" s="3">
        <v>927</v>
      </c>
      <c r="G656" s="3">
        <v>927</v>
      </c>
      <c r="H656" s="29" t="s">
        <v>51</v>
      </c>
      <c r="I656" s="3">
        <v>3</v>
      </c>
      <c r="J656" s="7">
        <v>0.93541666666666667</v>
      </c>
      <c r="K656" s="7">
        <v>0.93541666666666667</v>
      </c>
      <c r="L656" s="3">
        <f t="shared" si="21"/>
        <v>1</v>
      </c>
      <c r="M656" s="3">
        <f t="shared" si="22"/>
        <v>1</v>
      </c>
      <c r="N656" s="29">
        <f>_xlfn.MAXIFS($G$7:G655,$E$7:E655,detalhe_carro1[[#This Row],[Nó]],$B$7:B655,detalhe_carro1[[#This Row],[Numero Voltas]],$L$7:L655,1)</f>
        <v>895</v>
      </c>
      <c r="O656" s="3">
        <f>IF(OR(detalhe_carro1[[#This Row],[Ultima Chegada]]=0,detalhe_carro1[[#This Row],[Chegada]]=0),"",detalhe_carro1[[#This Row],[Hora Inicio]]-detalhe_carro1[[#This Row],[Ultima Chegada]])</f>
        <v>32</v>
      </c>
      <c r="P656" s="3">
        <f>IF(detalhe_carro1[[#This Row],[Tipo]]="Visitar Nó",((detalhe_carro1[[#This Row],[Hora Fim]]-detalhe_carro1[[#This Row],[Hora Inicio]])/60*velocidade_nos),0)</f>
        <v>0</v>
      </c>
      <c r="Q656" s="29">
        <f>detalhe_carro1[[#This Row],[Kms Nós]]+detalhe_carro1[[#This Row],[kms]]</f>
        <v>3</v>
      </c>
    </row>
    <row r="657" spans="2:17" x14ac:dyDescent="0.25">
      <c r="B657" s="3">
        <v>4</v>
      </c>
      <c r="C657">
        <v>1</v>
      </c>
      <c r="D657">
        <v>7</v>
      </c>
      <c r="E657" s="29" t="s">
        <v>33</v>
      </c>
      <c r="F657" s="3">
        <v>930</v>
      </c>
      <c r="G657" s="3">
        <v>930</v>
      </c>
      <c r="H657" s="29" t="s">
        <v>51</v>
      </c>
      <c r="I657" s="3">
        <v>3</v>
      </c>
      <c r="J657" s="7">
        <v>0.9375</v>
      </c>
      <c r="K657" s="7">
        <v>0.9375</v>
      </c>
      <c r="L657" s="3">
        <f t="shared" si="21"/>
        <v>0</v>
      </c>
      <c r="M657" s="3">
        <f t="shared" si="22"/>
        <v>1</v>
      </c>
      <c r="N657" s="29">
        <f>_xlfn.MAXIFS($G$7:G656,$E$7:E656,detalhe_carro1[[#This Row],[Nó]],$B$7:B656,detalhe_carro1[[#This Row],[Numero Voltas]],$L$7:L656,1)</f>
        <v>892</v>
      </c>
      <c r="O657" s="3">
        <f>IF(OR(detalhe_carro1[[#This Row],[Ultima Chegada]]=0,detalhe_carro1[[#This Row],[Chegada]]=0),"",detalhe_carro1[[#This Row],[Hora Inicio]]-detalhe_carro1[[#This Row],[Ultima Chegada]])</f>
        <v>38</v>
      </c>
      <c r="P657" s="3">
        <f>IF(detalhe_carro1[[#This Row],[Tipo]]="Visitar Nó",((detalhe_carro1[[#This Row],[Hora Fim]]-detalhe_carro1[[#This Row],[Hora Inicio]])/60*velocidade_nos),0)</f>
        <v>0</v>
      </c>
      <c r="Q657" s="29">
        <f>detalhe_carro1[[#This Row],[Kms Nós]]+detalhe_carro1[[#This Row],[kms]]</f>
        <v>3</v>
      </c>
    </row>
    <row r="658" spans="2:17" x14ac:dyDescent="0.25">
      <c r="B658" s="3">
        <v>4</v>
      </c>
      <c r="C658">
        <v>1</v>
      </c>
      <c r="D658">
        <v>7</v>
      </c>
      <c r="E658" s="29" t="s">
        <v>33</v>
      </c>
      <c r="F658" s="3">
        <v>930</v>
      </c>
      <c r="G658" s="3">
        <v>930</v>
      </c>
      <c r="H658" s="29" t="s">
        <v>51</v>
      </c>
      <c r="I658" s="3">
        <v>3</v>
      </c>
      <c r="J658" s="7">
        <v>0.9375</v>
      </c>
      <c r="K658" s="7">
        <v>0.9375</v>
      </c>
      <c r="L658" s="3">
        <f t="shared" si="21"/>
        <v>1</v>
      </c>
      <c r="M658" s="3">
        <f t="shared" si="22"/>
        <v>0</v>
      </c>
      <c r="N658" s="29">
        <f>_xlfn.MAXIFS($G$7:G657,$E$7:E657,detalhe_carro1[[#This Row],[Nó]],$B$7:B657,detalhe_carro1[[#This Row],[Numero Voltas]],$L$7:L657,1)</f>
        <v>892</v>
      </c>
      <c r="O658" s="3" t="str">
        <f>IF(OR(detalhe_carro1[[#This Row],[Ultima Chegada]]=0,detalhe_carro1[[#This Row],[Chegada]]=0),"",detalhe_carro1[[#This Row],[Hora Inicio]]-detalhe_carro1[[#This Row],[Ultima Chegada]])</f>
        <v/>
      </c>
      <c r="P658" s="3">
        <f>IF(detalhe_carro1[[#This Row],[Tipo]]="Visitar Nó",((detalhe_carro1[[#This Row],[Hora Fim]]-detalhe_carro1[[#This Row],[Hora Inicio]])/60*velocidade_nos),0)</f>
        <v>0</v>
      </c>
      <c r="Q658" s="29">
        <f>detalhe_carro1[[#This Row],[Kms Nós]]+detalhe_carro1[[#This Row],[kms]]</f>
        <v>3</v>
      </c>
    </row>
    <row r="659" spans="2:17" x14ac:dyDescent="0.25">
      <c r="B659" s="3">
        <v>4</v>
      </c>
      <c r="C659">
        <v>1</v>
      </c>
      <c r="D659">
        <v>6</v>
      </c>
      <c r="E659" s="29" t="s">
        <v>31</v>
      </c>
      <c r="F659" s="3">
        <v>933</v>
      </c>
      <c r="G659" s="3">
        <v>933</v>
      </c>
      <c r="H659" s="29" t="s">
        <v>51</v>
      </c>
      <c r="I659" s="3">
        <v>3</v>
      </c>
      <c r="J659" s="7">
        <v>0.93958333333333333</v>
      </c>
      <c r="K659" s="7">
        <v>0.93958333333333333</v>
      </c>
      <c r="L659" s="3">
        <f t="shared" si="21"/>
        <v>1</v>
      </c>
      <c r="M659" s="3">
        <f t="shared" si="22"/>
        <v>1</v>
      </c>
      <c r="N659" s="29">
        <f>_xlfn.MAXIFS($G$7:G658,$E$7:E658,detalhe_carro1[[#This Row],[Nó]],$B$7:B658,detalhe_carro1[[#This Row],[Numero Voltas]],$L$7:L658,1)</f>
        <v>927</v>
      </c>
      <c r="O659" s="3">
        <f>IF(OR(detalhe_carro1[[#This Row],[Ultima Chegada]]=0,detalhe_carro1[[#This Row],[Chegada]]=0),"",detalhe_carro1[[#This Row],[Hora Inicio]]-detalhe_carro1[[#This Row],[Ultima Chegada]])</f>
        <v>6</v>
      </c>
      <c r="P659" s="3">
        <f>IF(detalhe_carro1[[#This Row],[Tipo]]="Visitar Nó",((detalhe_carro1[[#This Row],[Hora Fim]]-detalhe_carro1[[#This Row],[Hora Inicio]])/60*velocidade_nos),0)</f>
        <v>0</v>
      </c>
      <c r="Q659" s="29">
        <f>detalhe_carro1[[#This Row],[Kms Nós]]+detalhe_carro1[[#This Row],[kms]]</f>
        <v>3</v>
      </c>
    </row>
    <row r="660" spans="2:17" x14ac:dyDescent="0.25">
      <c r="B660" s="3">
        <v>4</v>
      </c>
      <c r="C660">
        <v>1</v>
      </c>
      <c r="D660">
        <v>5</v>
      </c>
      <c r="E660" s="29" t="s">
        <v>29</v>
      </c>
      <c r="F660" s="3">
        <v>936</v>
      </c>
      <c r="G660" s="3">
        <v>936</v>
      </c>
      <c r="H660" s="29" t="s">
        <v>51</v>
      </c>
      <c r="I660" s="3">
        <v>3</v>
      </c>
      <c r="J660" s="7">
        <v>0.94166666666666665</v>
      </c>
      <c r="K660" s="7">
        <v>0.94166666666666665</v>
      </c>
      <c r="L660" s="3">
        <f t="shared" si="21"/>
        <v>1</v>
      </c>
      <c r="M660" s="3">
        <f t="shared" si="22"/>
        <v>1</v>
      </c>
      <c r="N660" s="29">
        <f>_xlfn.MAXIFS($G$7:G659,$E$7:E659,detalhe_carro1[[#This Row],[Nó]],$B$7:B659,detalhe_carro1[[#This Row],[Numero Voltas]],$L$7:L659,1)</f>
        <v>924</v>
      </c>
      <c r="O660" s="3">
        <f>IF(OR(detalhe_carro1[[#This Row],[Ultima Chegada]]=0,detalhe_carro1[[#This Row],[Chegada]]=0),"",detalhe_carro1[[#This Row],[Hora Inicio]]-detalhe_carro1[[#This Row],[Ultima Chegada]])</f>
        <v>12</v>
      </c>
      <c r="P660" s="3">
        <f>IF(detalhe_carro1[[#This Row],[Tipo]]="Visitar Nó",((detalhe_carro1[[#This Row],[Hora Fim]]-detalhe_carro1[[#This Row],[Hora Inicio]])/60*velocidade_nos),0)</f>
        <v>0</v>
      </c>
      <c r="Q660" s="29">
        <f>detalhe_carro1[[#This Row],[Kms Nós]]+detalhe_carro1[[#This Row],[kms]]</f>
        <v>3</v>
      </c>
    </row>
    <row r="661" spans="2:17" x14ac:dyDescent="0.25">
      <c r="B661" s="3">
        <v>4</v>
      </c>
      <c r="C661">
        <v>1</v>
      </c>
      <c r="D661">
        <v>4</v>
      </c>
      <c r="E661" s="29" t="s">
        <v>27</v>
      </c>
      <c r="F661" s="3">
        <v>939</v>
      </c>
      <c r="G661" s="3">
        <v>939</v>
      </c>
      <c r="H661" s="29" t="s">
        <v>51</v>
      </c>
      <c r="I661" s="3">
        <v>3</v>
      </c>
      <c r="J661" s="7">
        <v>0.94374999999999998</v>
      </c>
      <c r="K661" s="7">
        <v>0.94374999999999998</v>
      </c>
      <c r="L661" s="3">
        <f t="shared" si="21"/>
        <v>1</v>
      </c>
      <c r="M661" s="3">
        <f t="shared" si="22"/>
        <v>1</v>
      </c>
      <c r="N661" s="29">
        <f>_xlfn.MAXIFS($G$7:G660,$E$7:E660,detalhe_carro1[[#This Row],[Nó]],$B$7:B660,detalhe_carro1[[#This Row],[Numero Voltas]],$L$7:L660,1)</f>
        <v>921</v>
      </c>
      <c r="O661" s="3">
        <f>IF(OR(detalhe_carro1[[#This Row],[Ultima Chegada]]=0,detalhe_carro1[[#This Row],[Chegada]]=0),"",detalhe_carro1[[#This Row],[Hora Inicio]]-detalhe_carro1[[#This Row],[Ultima Chegada]])</f>
        <v>18</v>
      </c>
      <c r="P661" s="3">
        <f>IF(detalhe_carro1[[#This Row],[Tipo]]="Visitar Nó",((detalhe_carro1[[#This Row],[Hora Fim]]-detalhe_carro1[[#This Row],[Hora Inicio]])/60*velocidade_nos),0)</f>
        <v>0</v>
      </c>
      <c r="Q661" s="29">
        <f>detalhe_carro1[[#This Row],[Kms Nós]]+detalhe_carro1[[#This Row],[kms]]</f>
        <v>3</v>
      </c>
    </row>
    <row r="662" spans="2:17" x14ac:dyDescent="0.25">
      <c r="B662" s="3">
        <v>4</v>
      </c>
      <c r="C662">
        <v>1</v>
      </c>
      <c r="D662">
        <v>3</v>
      </c>
      <c r="E662" s="29" t="s">
        <v>26</v>
      </c>
      <c r="F662" s="3">
        <v>940</v>
      </c>
      <c r="G662" s="3">
        <v>940</v>
      </c>
      <c r="H662" s="29" t="s">
        <v>51</v>
      </c>
      <c r="I662" s="3">
        <v>1</v>
      </c>
      <c r="J662" s="7">
        <v>0.94444444444444442</v>
      </c>
      <c r="K662" s="7">
        <v>0.94444444444444442</v>
      </c>
      <c r="L662" s="3">
        <f t="shared" si="21"/>
        <v>1</v>
      </c>
      <c r="M662" s="3">
        <f t="shared" si="22"/>
        <v>1</v>
      </c>
      <c r="N662" s="29">
        <f>_xlfn.MAXIFS($G$7:G661,$E$7:E661,detalhe_carro1[[#This Row],[Nó]],$B$7:B661,detalhe_carro1[[#This Row],[Numero Voltas]],$L$7:L661,1)</f>
        <v>920</v>
      </c>
      <c r="O662" s="3">
        <f>IF(OR(detalhe_carro1[[#This Row],[Ultima Chegada]]=0,detalhe_carro1[[#This Row],[Chegada]]=0),"",detalhe_carro1[[#This Row],[Hora Inicio]]-detalhe_carro1[[#This Row],[Ultima Chegada]])</f>
        <v>20</v>
      </c>
      <c r="P662" s="3">
        <f>IF(detalhe_carro1[[#This Row],[Tipo]]="Visitar Nó",((detalhe_carro1[[#This Row],[Hora Fim]]-detalhe_carro1[[#This Row],[Hora Inicio]])/60*velocidade_nos),0)</f>
        <v>0</v>
      </c>
      <c r="Q662" s="29">
        <f>detalhe_carro1[[#This Row],[Kms Nós]]+detalhe_carro1[[#This Row],[kms]]</f>
        <v>1</v>
      </c>
    </row>
    <row r="663" spans="2:17" x14ac:dyDescent="0.25">
      <c r="B663" s="3">
        <v>4</v>
      </c>
      <c r="C663">
        <v>1</v>
      </c>
      <c r="D663">
        <v>2</v>
      </c>
      <c r="E663" s="29" t="s">
        <v>24</v>
      </c>
      <c r="F663" s="3">
        <v>941</v>
      </c>
      <c r="G663" s="3">
        <v>941</v>
      </c>
      <c r="H663" s="29" t="s">
        <v>51</v>
      </c>
      <c r="I663" s="3">
        <v>1</v>
      </c>
      <c r="J663" s="7">
        <v>0.94513888888888886</v>
      </c>
      <c r="K663" s="7">
        <v>0.94513888888888886</v>
      </c>
      <c r="L663" s="3">
        <f t="shared" si="21"/>
        <v>1</v>
      </c>
      <c r="M663" s="3">
        <f t="shared" si="22"/>
        <v>1</v>
      </c>
      <c r="N663" s="29">
        <f>_xlfn.MAXIFS($G$7:G662,$E$7:E662,detalhe_carro1[[#This Row],[Nó]],$B$7:B662,detalhe_carro1[[#This Row],[Numero Voltas]],$L$7:L662,1)</f>
        <v>919</v>
      </c>
      <c r="O663" s="3">
        <f>IF(OR(detalhe_carro1[[#This Row],[Ultima Chegada]]=0,detalhe_carro1[[#This Row],[Chegada]]=0),"",detalhe_carro1[[#This Row],[Hora Inicio]]-detalhe_carro1[[#This Row],[Ultima Chegada]])</f>
        <v>22</v>
      </c>
      <c r="P663" s="3">
        <f>IF(detalhe_carro1[[#This Row],[Tipo]]="Visitar Nó",((detalhe_carro1[[#This Row],[Hora Fim]]-detalhe_carro1[[#This Row],[Hora Inicio]])/60*velocidade_nos),0)</f>
        <v>0</v>
      </c>
      <c r="Q663" s="29">
        <f>detalhe_carro1[[#This Row],[Kms Nós]]+detalhe_carro1[[#This Row],[kms]]</f>
        <v>1</v>
      </c>
    </row>
    <row r="664" spans="2:17" x14ac:dyDescent="0.25">
      <c r="B664" s="3">
        <v>4</v>
      </c>
      <c r="C664">
        <v>1</v>
      </c>
      <c r="D664">
        <v>1</v>
      </c>
      <c r="E664" s="29" t="s">
        <v>22</v>
      </c>
      <c r="F664" s="3">
        <v>948</v>
      </c>
      <c r="G664" s="3">
        <v>948</v>
      </c>
      <c r="H664" s="29" t="s">
        <v>51</v>
      </c>
      <c r="I664" s="3">
        <v>7</v>
      </c>
      <c r="J664" s="7">
        <v>0.95</v>
      </c>
      <c r="K664" s="7">
        <v>0.95</v>
      </c>
      <c r="L664" s="3">
        <f t="shared" si="21"/>
        <v>1</v>
      </c>
      <c r="M664" s="3">
        <f t="shared" si="22"/>
        <v>1</v>
      </c>
      <c r="N664" s="29">
        <f>_xlfn.MAXIFS($G$7:G663,$E$7:E663,detalhe_carro1[[#This Row],[Nó]],$B$7:B663,detalhe_carro1[[#This Row],[Numero Voltas]],$L$7:L663,1)</f>
        <v>912</v>
      </c>
      <c r="O664" s="3">
        <f>IF(OR(detalhe_carro1[[#This Row],[Ultima Chegada]]=0,detalhe_carro1[[#This Row],[Chegada]]=0),"",detalhe_carro1[[#This Row],[Hora Inicio]]-detalhe_carro1[[#This Row],[Ultima Chegada]])</f>
        <v>36</v>
      </c>
      <c r="P664" s="3">
        <f>IF(detalhe_carro1[[#This Row],[Tipo]]="Visitar Nó",((detalhe_carro1[[#This Row],[Hora Fim]]-detalhe_carro1[[#This Row],[Hora Inicio]])/60*velocidade_nos),0)</f>
        <v>0</v>
      </c>
      <c r="Q664" s="29">
        <f>detalhe_carro1[[#This Row],[Kms Nós]]+detalhe_carro1[[#This Row],[kms]]</f>
        <v>7</v>
      </c>
    </row>
    <row r="665" spans="2:17" x14ac:dyDescent="0.25">
      <c r="B665" s="3">
        <v>4</v>
      </c>
      <c r="C665">
        <v>1</v>
      </c>
      <c r="D665">
        <v>0</v>
      </c>
      <c r="E665" s="29" t="s">
        <v>20</v>
      </c>
      <c r="F665" s="3">
        <v>949</v>
      </c>
      <c r="G665" s="3">
        <v>949</v>
      </c>
      <c r="H665" s="29" t="s">
        <v>51</v>
      </c>
      <c r="I665" s="3">
        <v>1</v>
      </c>
      <c r="J665" s="7">
        <v>0.9506944444444444</v>
      </c>
      <c r="K665" s="7">
        <v>0.9506944444444444</v>
      </c>
      <c r="L665" s="3">
        <f t="shared" si="21"/>
        <v>0</v>
      </c>
      <c r="M665" s="3">
        <f t="shared" si="22"/>
        <v>1</v>
      </c>
      <c r="N665" s="29">
        <f>_xlfn.MAXIFS($G$7:G664,$E$7:E664,detalhe_carro1[[#This Row],[Nó]],$B$7:B664,detalhe_carro1[[#This Row],[Numero Voltas]],$L$7:L664,1)</f>
        <v>911</v>
      </c>
      <c r="O665" s="3">
        <f>IF(OR(detalhe_carro1[[#This Row],[Ultima Chegada]]=0,detalhe_carro1[[#This Row],[Chegada]]=0),"",detalhe_carro1[[#This Row],[Hora Inicio]]-detalhe_carro1[[#This Row],[Ultima Chegada]])</f>
        <v>38</v>
      </c>
      <c r="P665" s="3">
        <f>IF(detalhe_carro1[[#This Row],[Tipo]]="Visitar Nó",((detalhe_carro1[[#This Row],[Hora Fim]]-detalhe_carro1[[#This Row],[Hora Inicio]])/60*velocidade_nos),0)</f>
        <v>0</v>
      </c>
      <c r="Q665" s="29">
        <f>detalhe_carro1[[#This Row],[Kms Nós]]+detalhe_carro1[[#This Row],[kms]]</f>
        <v>1</v>
      </c>
    </row>
    <row r="666" spans="2:17" x14ac:dyDescent="0.25">
      <c r="B666" s="3">
        <v>4</v>
      </c>
      <c r="C666">
        <v>1</v>
      </c>
      <c r="D666">
        <v>0</v>
      </c>
      <c r="E666" s="29" t="s">
        <v>20</v>
      </c>
      <c r="F666" s="3">
        <v>949</v>
      </c>
      <c r="G666" s="3">
        <v>949</v>
      </c>
      <c r="H666" s="29" t="s">
        <v>51</v>
      </c>
      <c r="I666" s="3">
        <v>1</v>
      </c>
      <c r="J666" s="7">
        <v>0.9506944444444444</v>
      </c>
      <c r="K666" s="7">
        <v>0.9506944444444444</v>
      </c>
      <c r="L666" s="3">
        <f t="shared" si="21"/>
        <v>1</v>
      </c>
      <c r="M666" s="3">
        <f t="shared" si="22"/>
        <v>0</v>
      </c>
      <c r="N666" s="29">
        <f>_xlfn.MAXIFS($G$7:G665,$E$7:E665,detalhe_carro1[[#This Row],[Nó]],$B$7:B665,detalhe_carro1[[#This Row],[Numero Voltas]],$L$7:L665,1)</f>
        <v>911</v>
      </c>
      <c r="O666" s="3" t="str">
        <f>IF(OR(detalhe_carro1[[#This Row],[Ultima Chegada]]=0,detalhe_carro1[[#This Row],[Chegada]]=0),"",detalhe_carro1[[#This Row],[Hora Inicio]]-detalhe_carro1[[#This Row],[Ultima Chegada]])</f>
        <v/>
      </c>
      <c r="P666" s="3">
        <f>IF(detalhe_carro1[[#This Row],[Tipo]]="Visitar Nó",((detalhe_carro1[[#This Row],[Hora Fim]]-detalhe_carro1[[#This Row],[Hora Inicio]])/60*velocidade_nos),0)</f>
        <v>0</v>
      </c>
      <c r="Q666" s="29">
        <f>detalhe_carro1[[#This Row],[Kms Nós]]+detalhe_carro1[[#This Row],[kms]]</f>
        <v>1</v>
      </c>
    </row>
    <row r="667" spans="2:17" x14ac:dyDescent="0.25">
      <c r="B667" s="3">
        <v>4</v>
      </c>
      <c r="C667">
        <v>1</v>
      </c>
      <c r="D667">
        <v>1</v>
      </c>
      <c r="E667" s="29" t="s">
        <v>22</v>
      </c>
      <c r="F667" s="3">
        <v>950</v>
      </c>
      <c r="G667" s="3">
        <v>1032</v>
      </c>
      <c r="H667" s="29" t="s">
        <v>52</v>
      </c>
      <c r="I667" s="3">
        <v>0</v>
      </c>
      <c r="J667" s="7">
        <v>0.95138888888888884</v>
      </c>
      <c r="K667" s="7">
        <v>8.3333333333333332E-3</v>
      </c>
      <c r="L667" s="3">
        <f t="shared" si="21"/>
        <v>0</v>
      </c>
      <c r="M667" s="3">
        <f t="shared" si="22"/>
        <v>1</v>
      </c>
      <c r="N667" s="29">
        <f>_xlfn.MAXIFS($G$7:G666,$E$7:E666,detalhe_carro1[[#This Row],[Nó]],$B$7:B666,detalhe_carro1[[#This Row],[Numero Voltas]],$L$7:L666,1)</f>
        <v>948</v>
      </c>
      <c r="O667" s="3">
        <f>IF(OR(detalhe_carro1[[#This Row],[Ultima Chegada]]=0,detalhe_carro1[[#This Row],[Chegada]]=0),"",detalhe_carro1[[#This Row],[Hora Inicio]]-detalhe_carro1[[#This Row],[Ultima Chegada]])</f>
        <v>2</v>
      </c>
      <c r="P667" s="3">
        <f>IF(detalhe_carro1[[#This Row],[Tipo]]="Visitar Nó",((detalhe_carro1[[#This Row],[Hora Fim]]-detalhe_carro1[[#This Row],[Hora Inicio]])/60*velocidade_nos),0)</f>
        <v>0</v>
      </c>
      <c r="Q667" s="29">
        <f>detalhe_carro1[[#This Row],[Kms Nós]]+detalhe_carro1[[#This Row],[kms]]</f>
        <v>0</v>
      </c>
    </row>
    <row r="668" spans="2:17" x14ac:dyDescent="0.25">
      <c r="B668" s="3">
        <v>4</v>
      </c>
      <c r="C668">
        <v>1</v>
      </c>
      <c r="D668">
        <v>1</v>
      </c>
      <c r="E668" s="29" t="s">
        <v>22</v>
      </c>
      <c r="F668" s="3">
        <v>1033</v>
      </c>
      <c r="G668" s="3">
        <v>1033</v>
      </c>
      <c r="H668" s="29" t="s">
        <v>51</v>
      </c>
      <c r="I668" s="3">
        <v>1</v>
      </c>
      <c r="J668" s="7">
        <v>9.0277777777777769E-3</v>
      </c>
      <c r="K668" s="7">
        <v>9.0277777777777769E-3</v>
      </c>
      <c r="L668" s="3">
        <f t="shared" si="21"/>
        <v>1</v>
      </c>
      <c r="M668" s="3">
        <f t="shared" si="22"/>
        <v>0</v>
      </c>
      <c r="N668" s="29">
        <f>_xlfn.MAXIFS($G$7:G667,$E$7:E667,detalhe_carro1[[#This Row],[Nó]],$B$7:B667,detalhe_carro1[[#This Row],[Numero Voltas]],$L$7:L667,1)</f>
        <v>948</v>
      </c>
      <c r="O668" s="3" t="str">
        <f>IF(OR(detalhe_carro1[[#This Row],[Ultima Chegada]]=0,detalhe_carro1[[#This Row],[Chegada]]=0),"",detalhe_carro1[[#This Row],[Hora Inicio]]-detalhe_carro1[[#This Row],[Ultima Chegada]])</f>
        <v/>
      </c>
      <c r="P668" s="3">
        <f>IF(detalhe_carro1[[#This Row],[Tipo]]="Visitar Nó",((detalhe_carro1[[#This Row],[Hora Fim]]-detalhe_carro1[[#This Row],[Hora Inicio]])/60*velocidade_nos),0)</f>
        <v>0</v>
      </c>
      <c r="Q668" s="29">
        <f>detalhe_carro1[[#This Row],[Kms Nós]]+detalhe_carro1[[#This Row],[kms]]</f>
        <v>1</v>
      </c>
    </row>
    <row r="669" spans="2:17" x14ac:dyDescent="0.25">
      <c r="B669" s="3">
        <v>4</v>
      </c>
      <c r="C669">
        <v>1</v>
      </c>
      <c r="D669">
        <v>2</v>
      </c>
      <c r="E669" s="29" t="s">
        <v>24</v>
      </c>
      <c r="F669" s="3">
        <v>1040</v>
      </c>
      <c r="G669" s="3">
        <v>1040</v>
      </c>
      <c r="H669" s="29" t="s">
        <v>51</v>
      </c>
      <c r="I669" s="3">
        <v>7</v>
      </c>
      <c r="J669" s="7">
        <v>1.3888888888888888E-2</v>
      </c>
      <c r="K669" s="7">
        <v>1.3888888888888888E-2</v>
      </c>
      <c r="L669" s="3">
        <f t="shared" si="21"/>
        <v>1</v>
      </c>
      <c r="M669" s="3">
        <f t="shared" si="22"/>
        <v>1</v>
      </c>
      <c r="N669" s="29">
        <f>_xlfn.MAXIFS($G$7:G668,$E$7:E668,detalhe_carro1[[#This Row],[Nó]],$B$7:B668,detalhe_carro1[[#This Row],[Numero Voltas]],$L$7:L668,1)</f>
        <v>941</v>
      </c>
      <c r="O669" s="3">
        <f>IF(OR(detalhe_carro1[[#This Row],[Ultima Chegada]]=0,detalhe_carro1[[#This Row],[Chegada]]=0),"",detalhe_carro1[[#This Row],[Hora Inicio]]-detalhe_carro1[[#This Row],[Ultima Chegada]])</f>
        <v>99</v>
      </c>
      <c r="P669" s="3">
        <f>IF(detalhe_carro1[[#This Row],[Tipo]]="Visitar Nó",((detalhe_carro1[[#This Row],[Hora Fim]]-detalhe_carro1[[#This Row],[Hora Inicio]])/60*velocidade_nos),0)</f>
        <v>0</v>
      </c>
      <c r="Q669" s="29">
        <f>detalhe_carro1[[#This Row],[Kms Nós]]+detalhe_carro1[[#This Row],[kms]]</f>
        <v>7</v>
      </c>
    </row>
    <row r="670" spans="2:17" x14ac:dyDescent="0.25">
      <c r="B670" s="3">
        <v>4</v>
      </c>
      <c r="C670">
        <v>1</v>
      </c>
      <c r="D670">
        <v>3</v>
      </c>
      <c r="E670" s="29" t="s">
        <v>26</v>
      </c>
      <c r="F670" s="3">
        <v>1041</v>
      </c>
      <c r="G670" s="3">
        <v>1041</v>
      </c>
      <c r="H670" s="29" t="s">
        <v>51</v>
      </c>
      <c r="I670" s="3">
        <v>1</v>
      </c>
      <c r="J670" s="7">
        <v>1.4583333333333334E-2</v>
      </c>
      <c r="K670" s="7">
        <v>1.4583333333333334E-2</v>
      </c>
      <c r="L670" s="3">
        <f t="shared" si="21"/>
        <v>1</v>
      </c>
      <c r="M670" s="3">
        <f t="shared" si="22"/>
        <v>1</v>
      </c>
      <c r="N670" s="29">
        <f>_xlfn.MAXIFS($G$7:G669,$E$7:E669,detalhe_carro1[[#This Row],[Nó]],$B$7:B669,detalhe_carro1[[#This Row],[Numero Voltas]],$L$7:L669,1)</f>
        <v>940</v>
      </c>
      <c r="O670" s="3">
        <f>IF(OR(detalhe_carro1[[#This Row],[Ultima Chegada]]=0,detalhe_carro1[[#This Row],[Chegada]]=0),"",detalhe_carro1[[#This Row],[Hora Inicio]]-detalhe_carro1[[#This Row],[Ultima Chegada]])</f>
        <v>101</v>
      </c>
      <c r="P670" s="3">
        <f>IF(detalhe_carro1[[#This Row],[Tipo]]="Visitar Nó",((detalhe_carro1[[#This Row],[Hora Fim]]-detalhe_carro1[[#This Row],[Hora Inicio]])/60*velocidade_nos),0)</f>
        <v>0</v>
      </c>
      <c r="Q670" s="29">
        <f>detalhe_carro1[[#This Row],[Kms Nós]]+detalhe_carro1[[#This Row],[kms]]</f>
        <v>1</v>
      </c>
    </row>
    <row r="671" spans="2:17" x14ac:dyDescent="0.25">
      <c r="B671" s="3">
        <v>4</v>
      </c>
      <c r="C671">
        <v>1</v>
      </c>
      <c r="D671">
        <v>4</v>
      </c>
      <c r="E671" s="29" t="s">
        <v>27</v>
      </c>
      <c r="F671" s="3">
        <v>1042</v>
      </c>
      <c r="G671" s="3">
        <v>1042</v>
      </c>
      <c r="H671" s="29" t="s">
        <v>51</v>
      </c>
      <c r="I671" s="3">
        <v>1</v>
      </c>
      <c r="J671" s="7">
        <v>1.5277777777777777E-2</v>
      </c>
      <c r="K671" s="7">
        <v>1.5277777777777777E-2</v>
      </c>
      <c r="L671" s="3">
        <f t="shared" si="21"/>
        <v>1</v>
      </c>
      <c r="M671" s="3">
        <f t="shared" si="22"/>
        <v>1</v>
      </c>
      <c r="N671" s="29">
        <f>_xlfn.MAXIFS($G$7:G670,$E$7:E670,detalhe_carro1[[#This Row],[Nó]],$B$7:B670,detalhe_carro1[[#This Row],[Numero Voltas]],$L$7:L670,1)</f>
        <v>939</v>
      </c>
      <c r="O671" s="3">
        <f>IF(OR(detalhe_carro1[[#This Row],[Ultima Chegada]]=0,detalhe_carro1[[#This Row],[Chegada]]=0),"",detalhe_carro1[[#This Row],[Hora Inicio]]-detalhe_carro1[[#This Row],[Ultima Chegada]])</f>
        <v>103</v>
      </c>
      <c r="P671" s="3">
        <f>IF(detalhe_carro1[[#This Row],[Tipo]]="Visitar Nó",((detalhe_carro1[[#This Row],[Hora Fim]]-detalhe_carro1[[#This Row],[Hora Inicio]])/60*velocidade_nos),0)</f>
        <v>0</v>
      </c>
      <c r="Q671" s="29">
        <f>detalhe_carro1[[#This Row],[Kms Nós]]+detalhe_carro1[[#This Row],[kms]]</f>
        <v>1</v>
      </c>
    </row>
    <row r="672" spans="2:17" x14ac:dyDescent="0.25">
      <c r="B672" s="3">
        <v>4</v>
      </c>
      <c r="C672">
        <v>1</v>
      </c>
      <c r="D672">
        <v>5</v>
      </c>
      <c r="E672" s="29" t="s">
        <v>29</v>
      </c>
      <c r="F672" s="3">
        <v>1045</v>
      </c>
      <c r="G672" s="3">
        <v>1045</v>
      </c>
      <c r="H672" s="29" t="s">
        <v>51</v>
      </c>
      <c r="I672" s="3">
        <v>3</v>
      </c>
      <c r="J672" s="7">
        <v>1.7361111111111112E-2</v>
      </c>
      <c r="K672" s="7">
        <v>1.7361111111111112E-2</v>
      </c>
      <c r="L672" s="3">
        <f t="shared" si="21"/>
        <v>1</v>
      </c>
      <c r="M672" s="3">
        <f t="shared" si="22"/>
        <v>1</v>
      </c>
      <c r="N672" s="29">
        <f>_xlfn.MAXIFS($G$7:G671,$E$7:E671,detalhe_carro1[[#This Row],[Nó]],$B$7:B671,detalhe_carro1[[#This Row],[Numero Voltas]],$L$7:L671,1)</f>
        <v>936</v>
      </c>
      <c r="O672" s="3">
        <f>IF(OR(detalhe_carro1[[#This Row],[Ultima Chegada]]=0,detalhe_carro1[[#This Row],[Chegada]]=0),"",detalhe_carro1[[#This Row],[Hora Inicio]]-detalhe_carro1[[#This Row],[Ultima Chegada]])</f>
        <v>109</v>
      </c>
      <c r="P672" s="3">
        <f>IF(detalhe_carro1[[#This Row],[Tipo]]="Visitar Nó",((detalhe_carro1[[#This Row],[Hora Fim]]-detalhe_carro1[[#This Row],[Hora Inicio]])/60*velocidade_nos),0)</f>
        <v>0</v>
      </c>
      <c r="Q672" s="29">
        <f>detalhe_carro1[[#This Row],[Kms Nós]]+detalhe_carro1[[#This Row],[kms]]</f>
        <v>3</v>
      </c>
    </row>
    <row r="673" spans="2:17" x14ac:dyDescent="0.25">
      <c r="B673" s="3">
        <v>4</v>
      </c>
      <c r="C673">
        <v>1</v>
      </c>
      <c r="D673">
        <v>6</v>
      </c>
      <c r="E673" s="29" t="s">
        <v>31</v>
      </c>
      <c r="F673" s="3">
        <v>1048</v>
      </c>
      <c r="G673" s="3">
        <v>1048</v>
      </c>
      <c r="H673" s="29" t="s">
        <v>51</v>
      </c>
      <c r="I673" s="3">
        <v>3</v>
      </c>
      <c r="J673" s="7">
        <v>1.9444444444444445E-2</v>
      </c>
      <c r="K673" s="7">
        <v>1.9444444444444445E-2</v>
      </c>
      <c r="L673" s="3">
        <f t="shared" si="21"/>
        <v>1</v>
      </c>
      <c r="M673" s="3">
        <f t="shared" si="22"/>
        <v>1</v>
      </c>
      <c r="N673" s="29">
        <f>_xlfn.MAXIFS($G$7:G672,$E$7:E672,detalhe_carro1[[#This Row],[Nó]],$B$7:B672,detalhe_carro1[[#This Row],[Numero Voltas]],$L$7:L672,1)</f>
        <v>933</v>
      </c>
      <c r="O673" s="3">
        <f>IF(OR(detalhe_carro1[[#This Row],[Ultima Chegada]]=0,detalhe_carro1[[#This Row],[Chegada]]=0),"",detalhe_carro1[[#This Row],[Hora Inicio]]-detalhe_carro1[[#This Row],[Ultima Chegada]])</f>
        <v>115</v>
      </c>
      <c r="P673" s="3">
        <f>IF(detalhe_carro1[[#This Row],[Tipo]]="Visitar Nó",((detalhe_carro1[[#This Row],[Hora Fim]]-detalhe_carro1[[#This Row],[Hora Inicio]])/60*velocidade_nos),0)</f>
        <v>0</v>
      </c>
      <c r="Q673" s="29">
        <f>detalhe_carro1[[#This Row],[Kms Nós]]+detalhe_carro1[[#This Row],[kms]]</f>
        <v>3</v>
      </c>
    </row>
    <row r="674" spans="2:17" x14ac:dyDescent="0.25">
      <c r="B674" s="3">
        <v>4</v>
      </c>
      <c r="C674">
        <v>1</v>
      </c>
      <c r="D674">
        <v>7</v>
      </c>
      <c r="E674" s="29" t="s">
        <v>33</v>
      </c>
      <c r="F674" s="3">
        <v>1051</v>
      </c>
      <c r="G674" s="3">
        <v>1051</v>
      </c>
      <c r="H674" s="29" t="s">
        <v>51</v>
      </c>
      <c r="I674" s="3">
        <v>3</v>
      </c>
      <c r="J674" s="7">
        <v>2.1527777777777778E-2</v>
      </c>
      <c r="K674" s="7">
        <v>2.1527777777777778E-2</v>
      </c>
      <c r="L674" s="3">
        <f t="shared" si="21"/>
        <v>0</v>
      </c>
      <c r="M674" s="3">
        <f t="shared" si="22"/>
        <v>1</v>
      </c>
      <c r="N674" s="29">
        <f>_xlfn.MAXIFS($G$7:G673,$E$7:E673,detalhe_carro1[[#This Row],[Nó]],$B$7:B673,detalhe_carro1[[#This Row],[Numero Voltas]],$L$7:L673,1)</f>
        <v>930</v>
      </c>
      <c r="O674" s="3">
        <f>IF(OR(detalhe_carro1[[#This Row],[Ultima Chegada]]=0,detalhe_carro1[[#This Row],[Chegada]]=0),"",detalhe_carro1[[#This Row],[Hora Inicio]]-detalhe_carro1[[#This Row],[Ultima Chegada]])</f>
        <v>121</v>
      </c>
      <c r="P674" s="3">
        <f>IF(detalhe_carro1[[#This Row],[Tipo]]="Visitar Nó",((detalhe_carro1[[#This Row],[Hora Fim]]-detalhe_carro1[[#This Row],[Hora Inicio]])/60*velocidade_nos),0)</f>
        <v>0</v>
      </c>
      <c r="Q674" s="29">
        <f>detalhe_carro1[[#This Row],[Kms Nós]]+detalhe_carro1[[#This Row],[kms]]</f>
        <v>3</v>
      </c>
    </row>
    <row r="675" spans="2:17" x14ac:dyDescent="0.25">
      <c r="B675" s="3">
        <v>4</v>
      </c>
      <c r="C675">
        <v>1</v>
      </c>
      <c r="D675">
        <v>7</v>
      </c>
      <c r="E675" s="29" t="s">
        <v>33</v>
      </c>
      <c r="F675" s="3">
        <v>1051</v>
      </c>
      <c r="G675" s="3">
        <v>1051</v>
      </c>
      <c r="H675" s="29" t="s">
        <v>51</v>
      </c>
      <c r="I675" s="3">
        <v>3</v>
      </c>
      <c r="J675" s="7">
        <v>2.1527777777777778E-2</v>
      </c>
      <c r="K675" s="7">
        <v>2.1527777777777778E-2</v>
      </c>
      <c r="L675" s="3">
        <f t="shared" si="21"/>
        <v>0</v>
      </c>
      <c r="M675" s="3">
        <f t="shared" si="22"/>
        <v>0</v>
      </c>
      <c r="N675" s="29">
        <f>_xlfn.MAXIFS($G$7:G674,$E$7:E674,detalhe_carro1[[#This Row],[Nó]],$B$7:B674,detalhe_carro1[[#This Row],[Numero Voltas]],$L$7:L674,1)</f>
        <v>930</v>
      </c>
      <c r="O675" s="3" t="str">
        <f>IF(OR(detalhe_carro1[[#This Row],[Ultima Chegada]]=0,detalhe_carro1[[#This Row],[Chegada]]=0),"",detalhe_carro1[[#This Row],[Hora Inicio]]-detalhe_carro1[[#This Row],[Ultima Chegada]])</f>
        <v/>
      </c>
      <c r="P675" s="3">
        <f>IF(detalhe_carro1[[#This Row],[Tipo]]="Visitar Nó",((detalhe_carro1[[#This Row],[Hora Fim]]-detalhe_carro1[[#This Row],[Hora Inicio]])/60*velocidade_nos),0)</f>
        <v>0</v>
      </c>
      <c r="Q675" s="29">
        <f>detalhe_carro1[[#This Row],[Kms Nós]]+detalhe_carro1[[#This Row],[kms]]</f>
        <v>3</v>
      </c>
    </row>
    <row r="676" spans="2:17" x14ac:dyDescent="0.25">
      <c r="B676" s="3">
        <v>4</v>
      </c>
      <c r="C676">
        <v>1</v>
      </c>
      <c r="D676">
        <v>7</v>
      </c>
      <c r="E676" s="29" t="s">
        <v>33</v>
      </c>
      <c r="F676" s="3">
        <v>1051</v>
      </c>
      <c r="G676" s="3">
        <v>1051</v>
      </c>
      <c r="H676" s="29" t="s">
        <v>51</v>
      </c>
      <c r="I676" s="3">
        <v>3</v>
      </c>
      <c r="J676" s="7">
        <v>2.1527777777777778E-2</v>
      </c>
      <c r="K676" s="7">
        <v>2.1527777777777778E-2</v>
      </c>
      <c r="L676" s="3">
        <f t="shared" si="21"/>
        <v>0</v>
      </c>
      <c r="M676" s="3">
        <f t="shared" si="22"/>
        <v>0</v>
      </c>
      <c r="N676" s="29">
        <f>_xlfn.MAXIFS($G$7:G675,$E$7:E675,detalhe_carro1[[#This Row],[Nó]],$B$7:B675,detalhe_carro1[[#This Row],[Numero Voltas]],$L$7:L675,1)</f>
        <v>930</v>
      </c>
      <c r="O676" s="3" t="str">
        <f>IF(OR(detalhe_carro1[[#This Row],[Ultima Chegada]]=0,detalhe_carro1[[#This Row],[Chegada]]=0),"",detalhe_carro1[[#This Row],[Hora Inicio]]-detalhe_carro1[[#This Row],[Ultima Chegada]])</f>
        <v/>
      </c>
      <c r="P676" s="3">
        <f>IF(detalhe_carro1[[#This Row],[Tipo]]="Visitar Nó",((detalhe_carro1[[#This Row],[Hora Fim]]-detalhe_carro1[[#This Row],[Hora Inicio]])/60*velocidade_nos),0)</f>
        <v>0</v>
      </c>
      <c r="Q676" s="29">
        <f>detalhe_carro1[[#This Row],[Kms Nós]]+detalhe_carro1[[#This Row],[kms]]</f>
        <v>3</v>
      </c>
    </row>
    <row r="677" spans="2:17" x14ac:dyDescent="0.25">
      <c r="B677" s="3">
        <v>4</v>
      </c>
      <c r="C677">
        <v>2</v>
      </c>
      <c r="D677">
        <v>7</v>
      </c>
      <c r="E677" s="29" t="s">
        <v>33</v>
      </c>
      <c r="F677" s="3">
        <v>990</v>
      </c>
      <c r="G677" s="3">
        <v>1050</v>
      </c>
      <c r="H677" s="29" t="s">
        <v>54</v>
      </c>
      <c r="I677" s="3">
        <v>0</v>
      </c>
      <c r="J677" s="7">
        <v>0.97916666666666663</v>
      </c>
      <c r="K677" s="7">
        <v>2.0833333333333332E-2</v>
      </c>
      <c r="L677" s="3">
        <f t="shared" si="21"/>
        <v>0</v>
      </c>
      <c r="M677" s="3">
        <f t="shared" si="22"/>
        <v>0</v>
      </c>
      <c r="N677" s="29">
        <f>_xlfn.MAXIFS($G$7:G676,$E$7:E676,detalhe_carro1[[#This Row],[Nó]],$B$7:B676,detalhe_carro1[[#This Row],[Numero Voltas]],$L$7:L676,1)</f>
        <v>930</v>
      </c>
      <c r="O677" s="3" t="str">
        <f>IF(OR(detalhe_carro1[[#This Row],[Ultima Chegada]]=0,detalhe_carro1[[#This Row],[Chegada]]=0),"",detalhe_carro1[[#This Row],[Hora Inicio]]-detalhe_carro1[[#This Row],[Ultima Chegada]])</f>
        <v/>
      </c>
      <c r="P677" s="3">
        <f>IF(detalhe_carro1[[#This Row],[Tipo]]="Visitar Nó",((detalhe_carro1[[#This Row],[Hora Fim]]-detalhe_carro1[[#This Row],[Hora Inicio]])/60*velocidade_nos),0)</f>
        <v>0</v>
      </c>
      <c r="Q677" s="29">
        <f>detalhe_carro1[[#This Row],[Kms Nós]]+detalhe_carro1[[#This Row],[kms]]</f>
        <v>0</v>
      </c>
    </row>
    <row r="678" spans="2:17" x14ac:dyDescent="0.25">
      <c r="B678" s="3">
        <v>4</v>
      </c>
      <c r="C678">
        <v>2</v>
      </c>
      <c r="D678">
        <v>7</v>
      </c>
      <c r="E678" s="29" t="s">
        <v>33</v>
      </c>
      <c r="F678" s="3">
        <v>1020</v>
      </c>
      <c r="G678" s="3">
        <v>1050</v>
      </c>
      <c r="H678" s="29" t="s">
        <v>54</v>
      </c>
      <c r="I678" s="3">
        <v>0</v>
      </c>
      <c r="J678" s="7">
        <v>0</v>
      </c>
      <c r="K678" s="7">
        <v>2.0833333333333332E-2</v>
      </c>
      <c r="L678" s="3">
        <f t="shared" si="21"/>
        <v>0</v>
      </c>
      <c r="M678" s="3">
        <f t="shared" si="22"/>
        <v>0</v>
      </c>
      <c r="N678" s="29">
        <f>_xlfn.MAXIFS($G$7:G677,$E$7:E677,detalhe_carro1[[#This Row],[Nó]],$B$7:B677,detalhe_carro1[[#This Row],[Numero Voltas]],$L$7:L677,1)</f>
        <v>930</v>
      </c>
      <c r="O678" s="3" t="str">
        <f>IF(OR(detalhe_carro1[[#This Row],[Ultima Chegada]]=0,detalhe_carro1[[#This Row],[Chegada]]=0),"",detalhe_carro1[[#This Row],[Hora Inicio]]-detalhe_carro1[[#This Row],[Ultima Chegada]])</f>
        <v/>
      </c>
      <c r="P678" s="3">
        <f>IF(detalhe_carro1[[#This Row],[Tipo]]="Visitar Nó",((detalhe_carro1[[#This Row],[Hora Fim]]-detalhe_carro1[[#This Row],[Hora Inicio]])/60*velocidade_nos),0)</f>
        <v>0</v>
      </c>
      <c r="Q678" s="29">
        <f>detalhe_carro1[[#This Row],[Kms Nós]]+detalhe_carro1[[#This Row],[kms]]</f>
        <v>0</v>
      </c>
    </row>
    <row r="679" spans="2:17" x14ac:dyDescent="0.25">
      <c r="B679" s="3">
        <v>4</v>
      </c>
      <c r="C679">
        <v>2</v>
      </c>
      <c r="D679">
        <v>7</v>
      </c>
      <c r="E679" s="29" t="s">
        <v>33</v>
      </c>
      <c r="F679" s="3">
        <v>1050</v>
      </c>
      <c r="G679" s="3">
        <v>1050</v>
      </c>
      <c r="H679" s="29" t="s">
        <v>49</v>
      </c>
      <c r="I679" s="3">
        <v>0</v>
      </c>
      <c r="J679" s="7">
        <v>2.0833333333333332E-2</v>
      </c>
      <c r="K679" s="7">
        <v>2.0833333333333332E-2</v>
      </c>
      <c r="L679" s="3">
        <f t="shared" si="21"/>
        <v>0</v>
      </c>
      <c r="M679" s="3">
        <f t="shared" si="22"/>
        <v>0</v>
      </c>
      <c r="N679" s="29">
        <f>_xlfn.MAXIFS($G$7:G678,$E$7:E678,detalhe_carro1[[#This Row],[Nó]],$B$7:B678,detalhe_carro1[[#This Row],[Numero Voltas]],$L$7:L678,1)</f>
        <v>930</v>
      </c>
      <c r="O679" s="3" t="str">
        <f>IF(OR(detalhe_carro1[[#This Row],[Ultima Chegada]]=0,detalhe_carro1[[#This Row],[Chegada]]=0),"",detalhe_carro1[[#This Row],[Hora Inicio]]-detalhe_carro1[[#This Row],[Ultima Chegada]])</f>
        <v/>
      </c>
      <c r="P679" s="3">
        <f>IF(detalhe_carro1[[#This Row],[Tipo]]="Visitar Nó",((detalhe_carro1[[#This Row],[Hora Fim]]-detalhe_carro1[[#This Row],[Hora Inicio]])/60*velocidade_nos),0)</f>
        <v>0</v>
      </c>
      <c r="Q679" s="29">
        <f>detalhe_carro1[[#This Row],[Kms Nós]]+detalhe_carro1[[#This Row],[kms]]</f>
        <v>0</v>
      </c>
    </row>
    <row r="680" spans="2:17" x14ac:dyDescent="0.25">
      <c r="B680" s="3">
        <v>4</v>
      </c>
      <c r="C680">
        <v>2</v>
      </c>
      <c r="D680">
        <v>7</v>
      </c>
      <c r="E680" s="29" t="s">
        <v>33</v>
      </c>
      <c r="F680" s="3">
        <v>1050</v>
      </c>
      <c r="G680" s="3">
        <v>1063</v>
      </c>
      <c r="H680" s="29" t="s">
        <v>50</v>
      </c>
      <c r="I680" s="3">
        <v>0</v>
      </c>
      <c r="J680" s="7">
        <v>2.0833333333333332E-2</v>
      </c>
      <c r="K680" s="7">
        <v>2.9861111111111113E-2</v>
      </c>
      <c r="L680" s="3">
        <f t="shared" si="21"/>
        <v>0</v>
      </c>
      <c r="M680" s="3">
        <f t="shared" si="22"/>
        <v>0</v>
      </c>
      <c r="N680" s="29">
        <f>_xlfn.MAXIFS($G$7:G679,$E$7:E679,detalhe_carro1[[#This Row],[Nó]],$B$7:B679,detalhe_carro1[[#This Row],[Numero Voltas]],$L$7:L679,1)</f>
        <v>930</v>
      </c>
      <c r="O680" s="3" t="str">
        <f>IF(OR(detalhe_carro1[[#This Row],[Ultima Chegada]]=0,detalhe_carro1[[#This Row],[Chegada]]=0),"",detalhe_carro1[[#This Row],[Hora Inicio]]-detalhe_carro1[[#This Row],[Ultima Chegada]])</f>
        <v/>
      </c>
      <c r="P680" s="3">
        <f>IF(detalhe_carro1[[#This Row],[Tipo]]="Visitar Nó",((detalhe_carro1[[#This Row],[Hora Fim]]-detalhe_carro1[[#This Row],[Hora Inicio]])/60*velocidade_nos),0)</f>
        <v>6.5</v>
      </c>
      <c r="Q680" s="29">
        <f>detalhe_carro1[[#This Row],[Kms Nós]]+detalhe_carro1[[#This Row],[kms]]</f>
        <v>6.5</v>
      </c>
    </row>
    <row r="681" spans="2:17" x14ac:dyDescent="0.25">
      <c r="B681" s="3">
        <v>4</v>
      </c>
      <c r="C681">
        <v>2</v>
      </c>
      <c r="D681">
        <v>7</v>
      </c>
      <c r="E681" s="29" t="s">
        <v>33</v>
      </c>
      <c r="F681" s="3">
        <v>1063</v>
      </c>
      <c r="G681" s="3">
        <v>1063</v>
      </c>
      <c r="H681" s="29" t="s">
        <v>51</v>
      </c>
      <c r="I681" s="3">
        <v>0</v>
      </c>
      <c r="J681" s="7">
        <v>2.9861111111111113E-2</v>
      </c>
      <c r="K681" s="7">
        <v>2.9861111111111113E-2</v>
      </c>
      <c r="L681" s="3">
        <f t="shared" si="21"/>
        <v>1</v>
      </c>
      <c r="M681" s="3">
        <f t="shared" si="22"/>
        <v>0</v>
      </c>
      <c r="N681" s="29">
        <f>_xlfn.MAXIFS($G$7:G680,$E$7:E680,detalhe_carro1[[#This Row],[Nó]],$B$7:B680,detalhe_carro1[[#This Row],[Numero Voltas]],$L$7:L680,1)</f>
        <v>930</v>
      </c>
      <c r="O681" s="3" t="str">
        <f>IF(OR(detalhe_carro1[[#This Row],[Ultima Chegada]]=0,detalhe_carro1[[#This Row],[Chegada]]=0),"",detalhe_carro1[[#This Row],[Hora Inicio]]-detalhe_carro1[[#This Row],[Ultima Chegada]])</f>
        <v/>
      </c>
      <c r="P681" s="3">
        <f>IF(detalhe_carro1[[#This Row],[Tipo]]="Visitar Nó",((detalhe_carro1[[#This Row],[Hora Fim]]-detalhe_carro1[[#This Row],[Hora Inicio]])/60*velocidade_nos),0)</f>
        <v>0</v>
      </c>
      <c r="Q681" s="29">
        <f>detalhe_carro1[[#This Row],[Kms Nós]]+detalhe_carro1[[#This Row],[kms]]</f>
        <v>0</v>
      </c>
    </row>
    <row r="682" spans="2:17" x14ac:dyDescent="0.25">
      <c r="B682" s="3">
        <v>4</v>
      </c>
      <c r="C682">
        <v>2</v>
      </c>
      <c r="D682">
        <v>6</v>
      </c>
      <c r="E682" s="29" t="s">
        <v>31</v>
      </c>
      <c r="F682" s="3">
        <v>1066</v>
      </c>
      <c r="G682" s="3">
        <v>1076</v>
      </c>
      <c r="H682" s="29" t="s">
        <v>297</v>
      </c>
      <c r="I682" s="3">
        <v>0</v>
      </c>
      <c r="J682" s="7">
        <v>3.1944444444444442E-2</v>
      </c>
      <c r="K682" s="7">
        <v>3.888888888888889E-2</v>
      </c>
      <c r="L682" s="3">
        <f t="shared" si="21"/>
        <v>0</v>
      </c>
      <c r="M682" s="3">
        <f t="shared" si="22"/>
        <v>1</v>
      </c>
      <c r="N682" s="29">
        <f>_xlfn.MAXIFS($G$7:G681,$E$7:E681,detalhe_carro1[[#This Row],[Nó]],$B$7:B681,detalhe_carro1[[#This Row],[Numero Voltas]],$L$7:L681,1)</f>
        <v>1048</v>
      </c>
      <c r="O682" s="3">
        <f>IF(OR(detalhe_carro1[[#This Row],[Ultima Chegada]]=0,detalhe_carro1[[#This Row],[Chegada]]=0),"",detalhe_carro1[[#This Row],[Hora Inicio]]-detalhe_carro1[[#This Row],[Ultima Chegada]])</f>
        <v>18</v>
      </c>
      <c r="P682" s="3">
        <f>IF(detalhe_carro1[[#This Row],[Tipo]]="Visitar Nó",((detalhe_carro1[[#This Row],[Hora Fim]]-detalhe_carro1[[#This Row],[Hora Inicio]])/60*velocidade_nos),0)</f>
        <v>0</v>
      </c>
      <c r="Q682" s="29">
        <f>detalhe_carro1[[#This Row],[Kms Nós]]+detalhe_carro1[[#This Row],[kms]]</f>
        <v>0</v>
      </c>
    </row>
    <row r="683" spans="2:17" x14ac:dyDescent="0.25">
      <c r="B683" s="3">
        <v>4</v>
      </c>
      <c r="C683">
        <v>2</v>
      </c>
      <c r="D683">
        <v>6</v>
      </c>
      <c r="E683" s="29" t="s">
        <v>31</v>
      </c>
      <c r="F683" s="3">
        <v>1079</v>
      </c>
      <c r="G683" s="3">
        <v>1088</v>
      </c>
      <c r="H683" s="29" t="s">
        <v>50</v>
      </c>
      <c r="I683" s="3">
        <v>0</v>
      </c>
      <c r="J683" s="7">
        <v>4.0972222222222222E-2</v>
      </c>
      <c r="K683" s="7">
        <v>4.7222222222222221E-2</v>
      </c>
      <c r="L683" s="3">
        <f t="shared" si="21"/>
        <v>0</v>
      </c>
      <c r="M683" s="3">
        <f t="shared" si="22"/>
        <v>0</v>
      </c>
      <c r="N683" s="29">
        <f>_xlfn.MAXIFS($G$7:G682,$E$7:E682,detalhe_carro1[[#This Row],[Nó]],$B$7:B682,detalhe_carro1[[#This Row],[Numero Voltas]],$L$7:L682,1)</f>
        <v>1048</v>
      </c>
      <c r="O683" s="3" t="str">
        <f>IF(OR(detalhe_carro1[[#This Row],[Ultima Chegada]]=0,detalhe_carro1[[#This Row],[Chegada]]=0),"",detalhe_carro1[[#This Row],[Hora Inicio]]-detalhe_carro1[[#This Row],[Ultima Chegada]])</f>
        <v/>
      </c>
      <c r="P683" s="3">
        <f>IF(detalhe_carro1[[#This Row],[Tipo]]="Visitar Nó",((detalhe_carro1[[#This Row],[Hora Fim]]-detalhe_carro1[[#This Row],[Hora Inicio]])/60*velocidade_nos),0)</f>
        <v>4.5</v>
      </c>
      <c r="Q683" s="29">
        <f>detalhe_carro1[[#This Row],[Kms Nós]]+detalhe_carro1[[#This Row],[kms]]</f>
        <v>4.5</v>
      </c>
    </row>
    <row r="684" spans="2:17" x14ac:dyDescent="0.25">
      <c r="B684" s="3">
        <v>4</v>
      </c>
      <c r="C684">
        <v>2</v>
      </c>
      <c r="D684">
        <v>6</v>
      </c>
      <c r="E684" s="29" t="s">
        <v>31</v>
      </c>
      <c r="F684" s="3">
        <v>1091</v>
      </c>
      <c r="G684" s="3">
        <v>1091</v>
      </c>
      <c r="H684" s="29" t="s">
        <v>51</v>
      </c>
      <c r="I684" s="3">
        <v>3</v>
      </c>
      <c r="J684" s="7">
        <v>4.9305555555555554E-2</v>
      </c>
      <c r="K684" s="7">
        <v>4.9305555555555554E-2</v>
      </c>
      <c r="L684" s="3">
        <f t="shared" si="21"/>
        <v>1</v>
      </c>
      <c r="M684" s="3">
        <f t="shared" si="22"/>
        <v>0</v>
      </c>
      <c r="N684" s="29">
        <f>_xlfn.MAXIFS($G$7:G683,$E$7:E683,detalhe_carro1[[#This Row],[Nó]],$B$7:B683,detalhe_carro1[[#This Row],[Numero Voltas]],$L$7:L683,1)</f>
        <v>1048</v>
      </c>
      <c r="O684" s="3" t="str">
        <f>IF(OR(detalhe_carro1[[#This Row],[Ultima Chegada]]=0,detalhe_carro1[[#This Row],[Chegada]]=0),"",detalhe_carro1[[#This Row],[Hora Inicio]]-detalhe_carro1[[#This Row],[Ultima Chegada]])</f>
        <v/>
      </c>
      <c r="P684" s="3">
        <f>IF(detalhe_carro1[[#This Row],[Tipo]]="Visitar Nó",((detalhe_carro1[[#This Row],[Hora Fim]]-detalhe_carro1[[#This Row],[Hora Inicio]])/60*velocidade_nos),0)</f>
        <v>0</v>
      </c>
      <c r="Q684" s="29">
        <f>detalhe_carro1[[#This Row],[Kms Nós]]+detalhe_carro1[[#This Row],[kms]]</f>
        <v>3</v>
      </c>
    </row>
    <row r="685" spans="2:17" x14ac:dyDescent="0.25">
      <c r="B685" s="3">
        <v>4</v>
      </c>
      <c r="C685">
        <v>2</v>
      </c>
      <c r="D685">
        <v>5</v>
      </c>
      <c r="E685" s="29" t="s">
        <v>29</v>
      </c>
      <c r="F685" s="3">
        <v>1094</v>
      </c>
      <c r="G685" s="3">
        <v>1122</v>
      </c>
      <c r="H685" s="29" t="s">
        <v>50</v>
      </c>
      <c r="I685" s="3">
        <v>0</v>
      </c>
      <c r="J685" s="7">
        <v>5.1388888888888887E-2</v>
      </c>
      <c r="K685" s="7">
        <v>7.0833333333333331E-2</v>
      </c>
      <c r="L685" s="3">
        <f t="shared" si="21"/>
        <v>0</v>
      </c>
      <c r="M685" s="3">
        <f t="shared" si="22"/>
        <v>1</v>
      </c>
      <c r="N685" s="29">
        <f>_xlfn.MAXIFS($G$7:G684,$E$7:E684,detalhe_carro1[[#This Row],[Nó]],$B$7:B684,detalhe_carro1[[#This Row],[Numero Voltas]],$L$7:L684,1)</f>
        <v>1045</v>
      </c>
      <c r="O685" s="3">
        <f>IF(OR(detalhe_carro1[[#This Row],[Ultima Chegada]]=0,detalhe_carro1[[#This Row],[Chegada]]=0),"",detalhe_carro1[[#This Row],[Hora Inicio]]-detalhe_carro1[[#This Row],[Ultima Chegada]])</f>
        <v>49</v>
      </c>
      <c r="P685" s="3">
        <f>IF(detalhe_carro1[[#This Row],[Tipo]]="Visitar Nó",((detalhe_carro1[[#This Row],[Hora Fim]]-detalhe_carro1[[#This Row],[Hora Inicio]])/60*velocidade_nos),0)</f>
        <v>14</v>
      </c>
      <c r="Q685" s="29">
        <f>detalhe_carro1[[#This Row],[Kms Nós]]+detalhe_carro1[[#This Row],[kms]]</f>
        <v>14</v>
      </c>
    </row>
    <row r="686" spans="2:17" x14ac:dyDescent="0.25">
      <c r="B686" s="3">
        <v>4</v>
      </c>
      <c r="C686">
        <v>2</v>
      </c>
      <c r="D686">
        <v>5</v>
      </c>
      <c r="E686" s="29" t="s">
        <v>29</v>
      </c>
      <c r="F686" s="3">
        <v>1125</v>
      </c>
      <c r="G686" s="3">
        <v>1125</v>
      </c>
      <c r="H686" s="29" t="s">
        <v>51</v>
      </c>
      <c r="I686" s="3">
        <v>3</v>
      </c>
      <c r="J686" s="7">
        <v>7.2916666666666671E-2</v>
      </c>
      <c r="K686" s="7">
        <v>7.2916666666666671E-2</v>
      </c>
      <c r="L686" s="3">
        <f t="shared" si="21"/>
        <v>1</v>
      </c>
      <c r="M686" s="3">
        <f t="shared" si="22"/>
        <v>0</v>
      </c>
      <c r="N686" s="29">
        <f>_xlfn.MAXIFS($G$7:G685,$E$7:E685,detalhe_carro1[[#This Row],[Nó]],$B$7:B685,detalhe_carro1[[#This Row],[Numero Voltas]],$L$7:L685,1)</f>
        <v>1045</v>
      </c>
      <c r="O686" s="3" t="str">
        <f>IF(OR(detalhe_carro1[[#This Row],[Ultima Chegada]]=0,detalhe_carro1[[#This Row],[Chegada]]=0),"",detalhe_carro1[[#This Row],[Hora Inicio]]-detalhe_carro1[[#This Row],[Ultima Chegada]])</f>
        <v/>
      </c>
      <c r="P686" s="3">
        <f>IF(detalhe_carro1[[#This Row],[Tipo]]="Visitar Nó",((detalhe_carro1[[#This Row],[Hora Fim]]-detalhe_carro1[[#This Row],[Hora Inicio]])/60*velocidade_nos),0)</f>
        <v>0</v>
      </c>
      <c r="Q686" s="29">
        <f>detalhe_carro1[[#This Row],[Kms Nós]]+detalhe_carro1[[#This Row],[kms]]</f>
        <v>3</v>
      </c>
    </row>
    <row r="687" spans="2:17" x14ac:dyDescent="0.25">
      <c r="B687" s="3">
        <v>4</v>
      </c>
      <c r="C687">
        <v>2</v>
      </c>
      <c r="D687">
        <v>4</v>
      </c>
      <c r="E687" s="29" t="s">
        <v>27</v>
      </c>
      <c r="F687" s="3">
        <v>1128</v>
      </c>
      <c r="G687" s="3">
        <v>1141</v>
      </c>
      <c r="H687" s="29" t="s">
        <v>50</v>
      </c>
      <c r="I687" s="3">
        <v>0</v>
      </c>
      <c r="J687" s="7">
        <v>7.4999999999999997E-2</v>
      </c>
      <c r="K687" s="7">
        <v>8.4027777777777785E-2</v>
      </c>
      <c r="L687" s="3">
        <f t="shared" si="21"/>
        <v>0</v>
      </c>
      <c r="M687" s="3">
        <f t="shared" si="22"/>
        <v>1</v>
      </c>
      <c r="N687" s="29">
        <f>_xlfn.MAXIFS($G$7:G686,$E$7:E686,detalhe_carro1[[#This Row],[Nó]],$B$7:B686,detalhe_carro1[[#This Row],[Numero Voltas]],$L$7:L686,1)</f>
        <v>1042</v>
      </c>
      <c r="O687" s="3">
        <f>IF(OR(detalhe_carro1[[#This Row],[Ultima Chegada]]=0,detalhe_carro1[[#This Row],[Chegada]]=0),"",detalhe_carro1[[#This Row],[Hora Inicio]]-detalhe_carro1[[#This Row],[Ultima Chegada]])</f>
        <v>86</v>
      </c>
      <c r="P687" s="3">
        <f>IF(detalhe_carro1[[#This Row],[Tipo]]="Visitar Nó",((detalhe_carro1[[#This Row],[Hora Fim]]-detalhe_carro1[[#This Row],[Hora Inicio]])/60*velocidade_nos),0)</f>
        <v>6.5</v>
      </c>
      <c r="Q687" s="29">
        <f>detalhe_carro1[[#This Row],[Kms Nós]]+detalhe_carro1[[#This Row],[kms]]</f>
        <v>6.5</v>
      </c>
    </row>
    <row r="688" spans="2:17" x14ac:dyDescent="0.25">
      <c r="B688" s="3">
        <v>4</v>
      </c>
      <c r="C688">
        <v>2</v>
      </c>
      <c r="D688">
        <v>4</v>
      </c>
      <c r="E688" s="29" t="s">
        <v>27</v>
      </c>
      <c r="F688" s="3">
        <v>1144</v>
      </c>
      <c r="G688" s="3">
        <v>1144</v>
      </c>
      <c r="H688" s="29" t="s">
        <v>51</v>
      </c>
      <c r="I688" s="3">
        <v>3</v>
      </c>
      <c r="J688" s="7">
        <v>8.611111111111111E-2</v>
      </c>
      <c r="K688" s="7">
        <v>8.611111111111111E-2</v>
      </c>
      <c r="L688" s="3">
        <f t="shared" si="21"/>
        <v>1</v>
      </c>
      <c r="M688" s="3">
        <f t="shared" si="22"/>
        <v>0</v>
      </c>
      <c r="N688" s="29">
        <f>_xlfn.MAXIFS($G$7:G687,$E$7:E687,detalhe_carro1[[#This Row],[Nó]],$B$7:B687,detalhe_carro1[[#This Row],[Numero Voltas]],$L$7:L687,1)</f>
        <v>1042</v>
      </c>
      <c r="O688" s="3" t="str">
        <f>IF(OR(detalhe_carro1[[#This Row],[Ultima Chegada]]=0,detalhe_carro1[[#This Row],[Chegada]]=0),"",detalhe_carro1[[#This Row],[Hora Inicio]]-detalhe_carro1[[#This Row],[Ultima Chegada]])</f>
        <v/>
      </c>
      <c r="P688" s="3">
        <f>IF(detalhe_carro1[[#This Row],[Tipo]]="Visitar Nó",((detalhe_carro1[[#This Row],[Hora Fim]]-detalhe_carro1[[#This Row],[Hora Inicio]])/60*velocidade_nos),0)</f>
        <v>0</v>
      </c>
      <c r="Q688" s="29">
        <f>detalhe_carro1[[#This Row],[Kms Nós]]+detalhe_carro1[[#This Row],[kms]]</f>
        <v>3</v>
      </c>
    </row>
    <row r="689" spans="2:17" x14ac:dyDescent="0.25">
      <c r="B689" s="3">
        <v>4</v>
      </c>
      <c r="C689">
        <v>2</v>
      </c>
      <c r="D689">
        <v>3</v>
      </c>
      <c r="E689" s="29" t="s">
        <v>26</v>
      </c>
      <c r="F689" s="3">
        <v>1145</v>
      </c>
      <c r="G689" s="3">
        <v>1155</v>
      </c>
      <c r="H689" s="29" t="s">
        <v>50</v>
      </c>
      <c r="I689" s="3">
        <v>0</v>
      </c>
      <c r="J689" s="7">
        <v>8.6805555555555552E-2</v>
      </c>
      <c r="K689" s="7">
        <v>9.375E-2</v>
      </c>
      <c r="L689" s="3">
        <f t="shared" si="21"/>
        <v>0</v>
      </c>
      <c r="M689" s="3">
        <f t="shared" si="22"/>
        <v>1</v>
      </c>
      <c r="N689" s="29">
        <f>_xlfn.MAXIFS($G$7:G688,$E$7:E688,detalhe_carro1[[#This Row],[Nó]],$B$7:B688,detalhe_carro1[[#This Row],[Numero Voltas]],$L$7:L688,1)</f>
        <v>1041</v>
      </c>
      <c r="O689" s="3">
        <f>IF(OR(detalhe_carro1[[#This Row],[Ultima Chegada]]=0,detalhe_carro1[[#This Row],[Chegada]]=0),"",detalhe_carro1[[#This Row],[Hora Inicio]]-detalhe_carro1[[#This Row],[Ultima Chegada]])</f>
        <v>104</v>
      </c>
      <c r="P689" s="3">
        <f>IF(detalhe_carro1[[#This Row],[Tipo]]="Visitar Nó",((detalhe_carro1[[#This Row],[Hora Fim]]-detalhe_carro1[[#This Row],[Hora Inicio]])/60*velocidade_nos),0)</f>
        <v>5</v>
      </c>
      <c r="Q689" s="29">
        <f>detalhe_carro1[[#This Row],[Kms Nós]]+detalhe_carro1[[#This Row],[kms]]</f>
        <v>5</v>
      </c>
    </row>
    <row r="690" spans="2:17" x14ac:dyDescent="0.25">
      <c r="B690" s="3">
        <v>4</v>
      </c>
      <c r="C690">
        <v>2</v>
      </c>
      <c r="D690">
        <v>3</v>
      </c>
      <c r="E690" s="29" t="s">
        <v>26</v>
      </c>
      <c r="F690" s="3">
        <v>1156</v>
      </c>
      <c r="G690" s="3">
        <v>1156</v>
      </c>
      <c r="H690" s="29" t="s">
        <v>51</v>
      </c>
      <c r="I690" s="3">
        <v>1</v>
      </c>
      <c r="J690" s="7">
        <v>9.4444444444444442E-2</v>
      </c>
      <c r="K690" s="7">
        <v>9.4444444444444442E-2</v>
      </c>
      <c r="L690" s="3">
        <f t="shared" si="21"/>
        <v>1</v>
      </c>
      <c r="M690" s="3">
        <f t="shared" si="22"/>
        <v>0</v>
      </c>
      <c r="N690" s="29">
        <f>_xlfn.MAXIFS($G$7:G689,$E$7:E689,detalhe_carro1[[#This Row],[Nó]],$B$7:B689,detalhe_carro1[[#This Row],[Numero Voltas]],$L$7:L689,1)</f>
        <v>1041</v>
      </c>
      <c r="O690" s="3" t="str">
        <f>IF(OR(detalhe_carro1[[#This Row],[Ultima Chegada]]=0,detalhe_carro1[[#This Row],[Chegada]]=0),"",detalhe_carro1[[#This Row],[Hora Inicio]]-detalhe_carro1[[#This Row],[Ultima Chegada]])</f>
        <v/>
      </c>
      <c r="P690" s="3">
        <f>IF(detalhe_carro1[[#This Row],[Tipo]]="Visitar Nó",((detalhe_carro1[[#This Row],[Hora Fim]]-detalhe_carro1[[#This Row],[Hora Inicio]])/60*velocidade_nos),0)</f>
        <v>0</v>
      </c>
      <c r="Q690" s="29">
        <f>detalhe_carro1[[#This Row],[Kms Nós]]+detalhe_carro1[[#This Row],[kms]]</f>
        <v>1</v>
      </c>
    </row>
    <row r="691" spans="2:17" x14ac:dyDescent="0.25">
      <c r="B691" s="3">
        <v>4</v>
      </c>
      <c r="C691">
        <v>2</v>
      </c>
      <c r="D691">
        <v>2</v>
      </c>
      <c r="E691" s="29" t="s">
        <v>24</v>
      </c>
      <c r="F691" s="3">
        <v>1157</v>
      </c>
      <c r="G691" s="3">
        <v>1171</v>
      </c>
      <c r="H691" s="29" t="s">
        <v>50</v>
      </c>
      <c r="I691" s="3">
        <v>0</v>
      </c>
      <c r="J691" s="7">
        <v>9.5138888888888884E-2</v>
      </c>
      <c r="K691" s="7">
        <v>0.10486111111111111</v>
      </c>
      <c r="L691" s="3">
        <f t="shared" si="21"/>
        <v>0</v>
      </c>
      <c r="M691" s="3">
        <f t="shared" si="22"/>
        <v>1</v>
      </c>
      <c r="N691" s="29">
        <f>_xlfn.MAXIFS($G$7:G690,$E$7:E690,detalhe_carro1[[#This Row],[Nó]],$B$7:B690,detalhe_carro1[[#This Row],[Numero Voltas]],$L$7:L690,1)</f>
        <v>1040</v>
      </c>
      <c r="O691" s="3">
        <f>IF(OR(detalhe_carro1[[#This Row],[Ultima Chegada]]=0,detalhe_carro1[[#This Row],[Chegada]]=0),"",detalhe_carro1[[#This Row],[Hora Inicio]]-detalhe_carro1[[#This Row],[Ultima Chegada]])</f>
        <v>117</v>
      </c>
      <c r="P691" s="3">
        <f>IF(detalhe_carro1[[#This Row],[Tipo]]="Visitar Nó",((detalhe_carro1[[#This Row],[Hora Fim]]-detalhe_carro1[[#This Row],[Hora Inicio]])/60*velocidade_nos),0)</f>
        <v>7</v>
      </c>
      <c r="Q691" s="29">
        <f>detalhe_carro1[[#This Row],[Kms Nós]]+detalhe_carro1[[#This Row],[kms]]</f>
        <v>7</v>
      </c>
    </row>
    <row r="692" spans="2:17" x14ac:dyDescent="0.25">
      <c r="B692" s="3">
        <v>4</v>
      </c>
      <c r="C692">
        <v>2</v>
      </c>
      <c r="D692">
        <v>2</v>
      </c>
      <c r="E692" s="29" t="s">
        <v>24</v>
      </c>
      <c r="F692" s="3">
        <v>1172</v>
      </c>
      <c r="G692" s="3">
        <v>1172</v>
      </c>
      <c r="H692" s="29" t="s">
        <v>51</v>
      </c>
      <c r="I692" s="3">
        <v>1</v>
      </c>
      <c r="J692" s="7">
        <v>0.10555555555555556</v>
      </c>
      <c r="K692" s="7">
        <v>0.10555555555555556</v>
      </c>
      <c r="L692" s="3">
        <f t="shared" si="21"/>
        <v>1</v>
      </c>
      <c r="M692" s="3">
        <f t="shared" si="22"/>
        <v>0</v>
      </c>
      <c r="N692" s="29">
        <f>_xlfn.MAXIFS($G$7:G691,$E$7:E691,detalhe_carro1[[#This Row],[Nó]],$B$7:B691,detalhe_carro1[[#This Row],[Numero Voltas]],$L$7:L691,1)</f>
        <v>1040</v>
      </c>
      <c r="O692" s="3" t="str">
        <f>IF(OR(detalhe_carro1[[#This Row],[Ultima Chegada]]=0,detalhe_carro1[[#This Row],[Chegada]]=0),"",detalhe_carro1[[#This Row],[Hora Inicio]]-detalhe_carro1[[#This Row],[Ultima Chegada]])</f>
        <v/>
      </c>
      <c r="P692" s="3">
        <f>IF(detalhe_carro1[[#This Row],[Tipo]]="Visitar Nó",((detalhe_carro1[[#This Row],[Hora Fim]]-detalhe_carro1[[#This Row],[Hora Inicio]])/60*velocidade_nos),0)</f>
        <v>0</v>
      </c>
      <c r="Q692" s="29">
        <f>detalhe_carro1[[#This Row],[Kms Nós]]+detalhe_carro1[[#This Row],[kms]]</f>
        <v>1</v>
      </c>
    </row>
    <row r="693" spans="2:17" x14ac:dyDescent="0.25">
      <c r="B693" s="3">
        <v>4</v>
      </c>
      <c r="C693">
        <v>2</v>
      </c>
      <c r="D693">
        <v>1</v>
      </c>
      <c r="E693" s="29" t="s">
        <v>22</v>
      </c>
      <c r="F693" s="3">
        <v>1179</v>
      </c>
      <c r="G693" s="3">
        <v>1184</v>
      </c>
      <c r="H693" s="29" t="s">
        <v>50</v>
      </c>
      <c r="I693" s="3">
        <v>0</v>
      </c>
      <c r="J693" s="7">
        <v>0.11041666666666666</v>
      </c>
      <c r="K693" s="7">
        <v>0.11388888888888889</v>
      </c>
      <c r="L693" s="3">
        <f t="shared" si="21"/>
        <v>0</v>
      </c>
      <c r="M693" s="3">
        <f t="shared" si="22"/>
        <v>1</v>
      </c>
      <c r="N693" s="29">
        <f>_xlfn.MAXIFS($G$7:G692,$E$7:E692,detalhe_carro1[[#This Row],[Nó]],$B$7:B692,detalhe_carro1[[#This Row],[Numero Voltas]],$L$7:L692,1)</f>
        <v>1033</v>
      </c>
      <c r="O693" s="3">
        <f>IF(OR(detalhe_carro1[[#This Row],[Ultima Chegada]]=0,detalhe_carro1[[#This Row],[Chegada]]=0),"",detalhe_carro1[[#This Row],[Hora Inicio]]-detalhe_carro1[[#This Row],[Ultima Chegada]])</f>
        <v>146</v>
      </c>
      <c r="P693" s="3">
        <f>IF(detalhe_carro1[[#This Row],[Tipo]]="Visitar Nó",((detalhe_carro1[[#This Row],[Hora Fim]]-detalhe_carro1[[#This Row],[Hora Inicio]])/60*velocidade_nos),0)</f>
        <v>2.5</v>
      </c>
      <c r="Q693" s="29">
        <f>detalhe_carro1[[#This Row],[Kms Nós]]+detalhe_carro1[[#This Row],[kms]]</f>
        <v>2.5</v>
      </c>
    </row>
    <row r="694" spans="2:17" x14ac:dyDescent="0.25">
      <c r="B694" s="3">
        <v>4</v>
      </c>
      <c r="C694">
        <v>2</v>
      </c>
      <c r="D694">
        <v>1</v>
      </c>
      <c r="E694" s="29" t="s">
        <v>22</v>
      </c>
      <c r="F694" s="3">
        <v>1191</v>
      </c>
      <c r="G694" s="3">
        <v>1191</v>
      </c>
      <c r="H694" s="29" t="s">
        <v>51</v>
      </c>
      <c r="I694" s="3">
        <v>7</v>
      </c>
      <c r="J694" s="7">
        <v>0.11874999999999999</v>
      </c>
      <c r="K694" s="7">
        <v>0.11874999999999999</v>
      </c>
      <c r="L694" s="3">
        <f t="shared" si="21"/>
        <v>1</v>
      </c>
      <c r="M694" s="3">
        <f t="shared" si="22"/>
        <v>0</v>
      </c>
      <c r="N694" s="29">
        <f>_xlfn.MAXIFS($G$7:G693,$E$7:E693,detalhe_carro1[[#This Row],[Nó]],$B$7:B693,detalhe_carro1[[#This Row],[Numero Voltas]],$L$7:L693,1)</f>
        <v>1033</v>
      </c>
      <c r="O694" s="3" t="str">
        <f>IF(OR(detalhe_carro1[[#This Row],[Ultima Chegada]]=0,detalhe_carro1[[#This Row],[Chegada]]=0),"",detalhe_carro1[[#This Row],[Hora Inicio]]-detalhe_carro1[[#This Row],[Ultima Chegada]])</f>
        <v/>
      </c>
      <c r="P694" s="3">
        <f>IF(detalhe_carro1[[#This Row],[Tipo]]="Visitar Nó",((detalhe_carro1[[#This Row],[Hora Fim]]-detalhe_carro1[[#This Row],[Hora Inicio]])/60*velocidade_nos),0)</f>
        <v>0</v>
      </c>
      <c r="Q694" s="29">
        <f>detalhe_carro1[[#This Row],[Kms Nós]]+detalhe_carro1[[#This Row],[kms]]</f>
        <v>7</v>
      </c>
    </row>
    <row r="695" spans="2:17" x14ac:dyDescent="0.25">
      <c r="B695" s="3">
        <v>4</v>
      </c>
      <c r="C695">
        <v>2</v>
      </c>
      <c r="D695">
        <v>0</v>
      </c>
      <c r="E695" s="29" t="s">
        <v>20</v>
      </c>
      <c r="F695" s="3">
        <v>1192</v>
      </c>
      <c r="G695" s="3">
        <v>1192</v>
      </c>
      <c r="H695" s="29" t="s">
        <v>51</v>
      </c>
      <c r="I695" s="3">
        <v>1</v>
      </c>
      <c r="J695" s="7">
        <v>0.11944444444444445</v>
      </c>
      <c r="K695" s="7">
        <v>0.11944444444444445</v>
      </c>
      <c r="L695" s="3">
        <f t="shared" si="21"/>
        <v>0</v>
      </c>
      <c r="M695" s="3">
        <f t="shared" si="22"/>
        <v>1</v>
      </c>
      <c r="N695" s="29">
        <f>_xlfn.MAXIFS($G$7:G694,$E$7:E694,detalhe_carro1[[#This Row],[Nó]],$B$7:B694,detalhe_carro1[[#This Row],[Numero Voltas]],$L$7:L694,1)</f>
        <v>949</v>
      </c>
      <c r="O695" s="3">
        <f>IF(OR(detalhe_carro1[[#This Row],[Ultima Chegada]]=0,detalhe_carro1[[#This Row],[Chegada]]=0),"",detalhe_carro1[[#This Row],[Hora Inicio]]-detalhe_carro1[[#This Row],[Ultima Chegada]])</f>
        <v>243</v>
      </c>
      <c r="P695" s="3">
        <f>IF(detalhe_carro1[[#This Row],[Tipo]]="Visitar Nó",((detalhe_carro1[[#This Row],[Hora Fim]]-detalhe_carro1[[#This Row],[Hora Inicio]])/60*velocidade_nos),0)</f>
        <v>0</v>
      </c>
      <c r="Q695" s="29">
        <f>detalhe_carro1[[#This Row],[Kms Nós]]+detalhe_carro1[[#This Row],[kms]]</f>
        <v>1</v>
      </c>
    </row>
    <row r="696" spans="2:17" x14ac:dyDescent="0.25">
      <c r="B696" s="3">
        <v>4</v>
      </c>
      <c r="C696">
        <v>2</v>
      </c>
      <c r="D696">
        <v>0</v>
      </c>
      <c r="E696" s="29" t="s">
        <v>20</v>
      </c>
      <c r="F696" s="3">
        <v>1192</v>
      </c>
      <c r="G696" s="3">
        <v>1207</v>
      </c>
      <c r="H696" s="29" t="s">
        <v>50</v>
      </c>
      <c r="I696" s="3">
        <v>0</v>
      </c>
      <c r="J696" s="7">
        <v>0.11944444444444445</v>
      </c>
      <c r="K696" s="7">
        <v>0.12986111111111112</v>
      </c>
      <c r="L696" s="3">
        <f t="shared" si="21"/>
        <v>0</v>
      </c>
      <c r="M696" s="3">
        <f t="shared" si="22"/>
        <v>0</v>
      </c>
      <c r="N696" s="29">
        <f>_xlfn.MAXIFS($G$7:G695,$E$7:E695,detalhe_carro1[[#This Row],[Nó]],$B$7:B695,detalhe_carro1[[#This Row],[Numero Voltas]],$L$7:L695,1)</f>
        <v>949</v>
      </c>
      <c r="O696" s="3" t="str">
        <f>IF(OR(detalhe_carro1[[#This Row],[Ultima Chegada]]=0,detalhe_carro1[[#This Row],[Chegada]]=0),"",detalhe_carro1[[#This Row],[Hora Inicio]]-detalhe_carro1[[#This Row],[Ultima Chegada]])</f>
        <v/>
      </c>
      <c r="P696" s="3">
        <f>IF(detalhe_carro1[[#This Row],[Tipo]]="Visitar Nó",((detalhe_carro1[[#This Row],[Hora Fim]]-detalhe_carro1[[#This Row],[Hora Inicio]])/60*velocidade_nos),0)</f>
        <v>7.5</v>
      </c>
      <c r="Q696" s="29">
        <f>detalhe_carro1[[#This Row],[Kms Nós]]+detalhe_carro1[[#This Row],[kms]]</f>
        <v>7.5</v>
      </c>
    </row>
    <row r="697" spans="2:17" x14ac:dyDescent="0.25">
      <c r="B697" s="3">
        <v>4</v>
      </c>
      <c r="C697">
        <v>2</v>
      </c>
      <c r="D697">
        <v>0</v>
      </c>
      <c r="E697" s="29" t="s">
        <v>20</v>
      </c>
      <c r="F697" s="3">
        <v>1207</v>
      </c>
      <c r="G697" s="3">
        <v>1207</v>
      </c>
      <c r="H697" s="29" t="s">
        <v>51</v>
      </c>
      <c r="I697" s="3">
        <v>1</v>
      </c>
      <c r="J697" s="7">
        <v>0.12986111111111112</v>
      </c>
      <c r="K697" s="7">
        <v>0.12986111111111112</v>
      </c>
      <c r="L697" s="3">
        <f t="shared" si="21"/>
        <v>1</v>
      </c>
      <c r="M697" s="3">
        <f t="shared" si="22"/>
        <v>0</v>
      </c>
      <c r="N697" s="29">
        <f>_xlfn.MAXIFS($G$7:G696,$E$7:E696,detalhe_carro1[[#This Row],[Nó]],$B$7:B696,detalhe_carro1[[#This Row],[Numero Voltas]],$L$7:L696,1)</f>
        <v>949</v>
      </c>
      <c r="O697" s="3" t="str">
        <f>IF(OR(detalhe_carro1[[#This Row],[Ultima Chegada]]=0,detalhe_carro1[[#This Row],[Chegada]]=0),"",detalhe_carro1[[#This Row],[Hora Inicio]]-detalhe_carro1[[#This Row],[Ultima Chegada]])</f>
        <v/>
      </c>
      <c r="P697" s="3">
        <f>IF(detalhe_carro1[[#This Row],[Tipo]]="Visitar Nó",((detalhe_carro1[[#This Row],[Hora Fim]]-detalhe_carro1[[#This Row],[Hora Inicio]])/60*velocidade_nos),0)</f>
        <v>0</v>
      </c>
      <c r="Q697" s="29">
        <f>detalhe_carro1[[#This Row],[Kms Nós]]+detalhe_carro1[[#This Row],[kms]]</f>
        <v>1</v>
      </c>
    </row>
    <row r="698" spans="2:17" x14ac:dyDescent="0.25">
      <c r="B698" s="3">
        <v>4</v>
      </c>
      <c r="C698">
        <v>2</v>
      </c>
      <c r="D698">
        <v>1</v>
      </c>
      <c r="E698" s="29" t="s">
        <v>22</v>
      </c>
      <c r="F698" s="3">
        <v>1208</v>
      </c>
      <c r="G698" s="3">
        <v>1213</v>
      </c>
      <c r="H698" s="29" t="s">
        <v>50</v>
      </c>
      <c r="I698" s="3">
        <v>0</v>
      </c>
      <c r="J698" s="7">
        <v>0.13055555555555556</v>
      </c>
      <c r="K698" s="7">
        <v>0.13402777777777777</v>
      </c>
      <c r="L698" s="3">
        <f t="shared" si="21"/>
        <v>0</v>
      </c>
      <c r="M698" s="3">
        <f t="shared" si="22"/>
        <v>1</v>
      </c>
      <c r="N698" s="29">
        <f>_xlfn.MAXIFS($G$7:G697,$E$7:E697,detalhe_carro1[[#This Row],[Nó]],$B$7:B697,detalhe_carro1[[#This Row],[Numero Voltas]],$L$7:L697,1)</f>
        <v>1191</v>
      </c>
      <c r="O698" s="3">
        <f>IF(OR(detalhe_carro1[[#This Row],[Ultima Chegada]]=0,detalhe_carro1[[#This Row],[Chegada]]=0),"",detalhe_carro1[[#This Row],[Hora Inicio]]-detalhe_carro1[[#This Row],[Ultima Chegada]])</f>
        <v>17</v>
      </c>
      <c r="P698" s="3">
        <f>IF(detalhe_carro1[[#This Row],[Tipo]]="Visitar Nó",((detalhe_carro1[[#This Row],[Hora Fim]]-detalhe_carro1[[#This Row],[Hora Inicio]])/60*velocidade_nos),0)</f>
        <v>2.5</v>
      </c>
      <c r="Q698" s="29">
        <f>detalhe_carro1[[#This Row],[Kms Nós]]+detalhe_carro1[[#This Row],[kms]]</f>
        <v>2.5</v>
      </c>
    </row>
    <row r="699" spans="2:17" x14ac:dyDescent="0.25">
      <c r="B699" s="3">
        <v>4</v>
      </c>
      <c r="C699">
        <v>2</v>
      </c>
      <c r="D699">
        <v>1</v>
      </c>
      <c r="E699" s="29" t="s">
        <v>22</v>
      </c>
      <c r="F699" s="3">
        <v>1214</v>
      </c>
      <c r="G699" s="3">
        <v>1214</v>
      </c>
      <c r="H699" s="29" t="s">
        <v>51</v>
      </c>
      <c r="I699" s="3">
        <v>1</v>
      </c>
      <c r="J699" s="7">
        <v>0.13472222222222222</v>
      </c>
      <c r="K699" s="7">
        <v>0.13472222222222222</v>
      </c>
      <c r="L699" s="3">
        <f t="shared" si="21"/>
        <v>1</v>
      </c>
      <c r="M699" s="3">
        <f t="shared" si="22"/>
        <v>0</v>
      </c>
      <c r="N699" s="29">
        <f>_xlfn.MAXIFS($G$7:G698,$E$7:E698,detalhe_carro1[[#This Row],[Nó]],$B$7:B698,detalhe_carro1[[#This Row],[Numero Voltas]],$L$7:L698,1)</f>
        <v>1191</v>
      </c>
      <c r="O699" s="3" t="str">
        <f>IF(OR(detalhe_carro1[[#This Row],[Ultima Chegada]]=0,detalhe_carro1[[#This Row],[Chegada]]=0),"",detalhe_carro1[[#This Row],[Hora Inicio]]-detalhe_carro1[[#This Row],[Ultima Chegada]])</f>
        <v/>
      </c>
      <c r="P699" s="3">
        <f>IF(detalhe_carro1[[#This Row],[Tipo]]="Visitar Nó",((detalhe_carro1[[#This Row],[Hora Fim]]-detalhe_carro1[[#This Row],[Hora Inicio]])/60*velocidade_nos),0)</f>
        <v>0</v>
      </c>
      <c r="Q699" s="29">
        <f>detalhe_carro1[[#This Row],[Kms Nós]]+detalhe_carro1[[#This Row],[kms]]</f>
        <v>1</v>
      </c>
    </row>
    <row r="700" spans="2:17" x14ac:dyDescent="0.25">
      <c r="B700" s="3">
        <v>4</v>
      </c>
      <c r="C700">
        <v>2</v>
      </c>
      <c r="D700">
        <v>2</v>
      </c>
      <c r="E700" s="29" t="s">
        <v>24</v>
      </c>
      <c r="F700" s="3">
        <v>1221</v>
      </c>
      <c r="G700" s="3">
        <v>1235</v>
      </c>
      <c r="H700" s="29" t="s">
        <v>50</v>
      </c>
      <c r="I700" s="3">
        <v>0</v>
      </c>
      <c r="J700" s="7">
        <v>0.13958333333333334</v>
      </c>
      <c r="K700" s="7">
        <v>0.14930555555555555</v>
      </c>
      <c r="L700" s="3">
        <f t="shared" si="21"/>
        <v>0</v>
      </c>
      <c r="M700" s="3">
        <f t="shared" si="22"/>
        <v>1</v>
      </c>
      <c r="N700" s="29">
        <f>_xlfn.MAXIFS($G$7:G699,$E$7:E699,detalhe_carro1[[#This Row],[Nó]],$B$7:B699,detalhe_carro1[[#This Row],[Numero Voltas]],$L$7:L699,1)</f>
        <v>1172</v>
      </c>
      <c r="O700" s="3">
        <f>IF(OR(detalhe_carro1[[#This Row],[Ultima Chegada]]=0,detalhe_carro1[[#This Row],[Chegada]]=0),"",detalhe_carro1[[#This Row],[Hora Inicio]]-detalhe_carro1[[#This Row],[Ultima Chegada]])</f>
        <v>49</v>
      </c>
      <c r="P700" s="3">
        <f>IF(detalhe_carro1[[#This Row],[Tipo]]="Visitar Nó",((detalhe_carro1[[#This Row],[Hora Fim]]-detalhe_carro1[[#This Row],[Hora Inicio]])/60*velocidade_nos),0)</f>
        <v>7</v>
      </c>
      <c r="Q700" s="29">
        <f>detalhe_carro1[[#This Row],[Kms Nós]]+detalhe_carro1[[#This Row],[kms]]</f>
        <v>7</v>
      </c>
    </row>
    <row r="701" spans="2:17" x14ac:dyDescent="0.25">
      <c r="B701" s="3">
        <v>4</v>
      </c>
      <c r="C701">
        <v>2</v>
      </c>
      <c r="D701">
        <v>2</v>
      </c>
      <c r="E701" s="29" t="s">
        <v>24</v>
      </c>
      <c r="F701" s="3">
        <v>1242</v>
      </c>
      <c r="G701" s="3">
        <v>1242</v>
      </c>
      <c r="H701" s="29" t="s">
        <v>51</v>
      </c>
      <c r="I701" s="3">
        <v>7</v>
      </c>
      <c r="J701" s="7">
        <v>0.15416666666666667</v>
      </c>
      <c r="K701" s="7">
        <v>0.15416666666666667</v>
      </c>
      <c r="L701" s="3">
        <f t="shared" si="21"/>
        <v>1</v>
      </c>
      <c r="M701" s="3">
        <f t="shared" si="22"/>
        <v>0</v>
      </c>
      <c r="N701" s="29">
        <f>_xlfn.MAXIFS($G$7:G700,$E$7:E700,detalhe_carro1[[#This Row],[Nó]],$B$7:B700,detalhe_carro1[[#This Row],[Numero Voltas]],$L$7:L700,1)</f>
        <v>1172</v>
      </c>
      <c r="O701" s="3" t="str">
        <f>IF(OR(detalhe_carro1[[#This Row],[Ultima Chegada]]=0,detalhe_carro1[[#This Row],[Chegada]]=0),"",detalhe_carro1[[#This Row],[Hora Inicio]]-detalhe_carro1[[#This Row],[Ultima Chegada]])</f>
        <v/>
      </c>
      <c r="P701" s="3">
        <f>IF(detalhe_carro1[[#This Row],[Tipo]]="Visitar Nó",((detalhe_carro1[[#This Row],[Hora Fim]]-detalhe_carro1[[#This Row],[Hora Inicio]])/60*velocidade_nos),0)</f>
        <v>0</v>
      </c>
      <c r="Q701" s="29">
        <f>detalhe_carro1[[#This Row],[Kms Nós]]+detalhe_carro1[[#This Row],[kms]]</f>
        <v>7</v>
      </c>
    </row>
    <row r="702" spans="2:17" x14ac:dyDescent="0.25">
      <c r="B702" s="3">
        <v>4</v>
      </c>
      <c r="C702">
        <v>2</v>
      </c>
      <c r="D702">
        <v>3</v>
      </c>
      <c r="E702" s="29" t="s">
        <v>26</v>
      </c>
      <c r="F702" s="3">
        <v>1243</v>
      </c>
      <c r="G702" s="3">
        <v>1253</v>
      </c>
      <c r="H702" s="29" t="s">
        <v>50</v>
      </c>
      <c r="I702" s="3">
        <v>0</v>
      </c>
      <c r="J702" s="7">
        <v>0.15486111111111112</v>
      </c>
      <c r="K702" s="7">
        <v>0.16180555555555556</v>
      </c>
      <c r="L702" s="3">
        <f t="shared" si="21"/>
        <v>0</v>
      </c>
      <c r="M702" s="3">
        <f t="shared" si="22"/>
        <v>1</v>
      </c>
      <c r="N702" s="29">
        <f>_xlfn.MAXIFS($G$7:G701,$E$7:E701,detalhe_carro1[[#This Row],[Nó]],$B$7:B701,detalhe_carro1[[#This Row],[Numero Voltas]],$L$7:L701,1)</f>
        <v>1156</v>
      </c>
      <c r="O702" s="3">
        <f>IF(OR(detalhe_carro1[[#This Row],[Ultima Chegada]]=0,detalhe_carro1[[#This Row],[Chegada]]=0),"",detalhe_carro1[[#This Row],[Hora Inicio]]-detalhe_carro1[[#This Row],[Ultima Chegada]])</f>
        <v>87</v>
      </c>
      <c r="P702" s="3">
        <f>IF(detalhe_carro1[[#This Row],[Tipo]]="Visitar Nó",((detalhe_carro1[[#This Row],[Hora Fim]]-detalhe_carro1[[#This Row],[Hora Inicio]])/60*velocidade_nos),0)</f>
        <v>5</v>
      </c>
      <c r="Q702" s="29">
        <f>detalhe_carro1[[#This Row],[Kms Nós]]+detalhe_carro1[[#This Row],[kms]]</f>
        <v>5</v>
      </c>
    </row>
    <row r="703" spans="2:17" x14ac:dyDescent="0.25">
      <c r="B703" s="3">
        <v>4</v>
      </c>
      <c r="C703">
        <v>2</v>
      </c>
      <c r="D703">
        <v>3</v>
      </c>
      <c r="E703" s="29" t="s">
        <v>26</v>
      </c>
      <c r="F703" s="3">
        <v>1254</v>
      </c>
      <c r="G703" s="3">
        <v>1254</v>
      </c>
      <c r="H703" s="29" t="s">
        <v>51</v>
      </c>
      <c r="I703" s="3">
        <v>1</v>
      </c>
      <c r="J703" s="7">
        <v>0.16250000000000001</v>
      </c>
      <c r="K703" s="7">
        <v>0.16250000000000001</v>
      </c>
      <c r="L703" s="3">
        <f t="shared" si="21"/>
        <v>1</v>
      </c>
      <c r="M703" s="3">
        <f t="shared" si="22"/>
        <v>0</v>
      </c>
      <c r="N703" s="29">
        <f>_xlfn.MAXIFS($G$7:G702,$E$7:E702,detalhe_carro1[[#This Row],[Nó]],$B$7:B702,detalhe_carro1[[#This Row],[Numero Voltas]],$L$7:L702,1)</f>
        <v>1156</v>
      </c>
      <c r="O703" s="3" t="str">
        <f>IF(OR(detalhe_carro1[[#This Row],[Ultima Chegada]]=0,detalhe_carro1[[#This Row],[Chegada]]=0),"",detalhe_carro1[[#This Row],[Hora Inicio]]-detalhe_carro1[[#This Row],[Ultima Chegada]])</f>
        <v/>
      </c>
      <c r="P703" s="3">
        <f>IF(detalhe_carro1[[#This Row],[Tipo]]="Visitar Nó",((detalhe_carro1[[#This Row],[Hora Fim]]-detalhe_carro1[[#This Row],[Hora Inicio]])/60*velocidade_nos),0)</f>
        <v>0</v>
      </c>
      <c r="Q703" s="29">
        <f>detalhe_carro1[[#This Row],[Kms Nós]]+detalhe_carro1[[#This Row],[kms]]</f>
        <v>1</v>
      </c>
    </row>
    <row r="704" spans="2:17" x14ac:dyDescent="0.25">
      <c r="B704" s="3">
        <v>4</v>
      </c>
      <c r="C704">
        <v>2</v>
      </c>
      <c r="D704">
        <v>4</v>
      </c>
      <c r="E704" s="29" t="s">
        <v>27</v>
      </c>
      <c r="F704" s="3">
        <v>1255</v>
      </c>
      <c r="G704" s="3">
        <v>1268</v>
      </c>
      <c r="H704" s="29" t="s">
        <v>50</v>
      </c>
      <c r="I704" s="3">
        <v>0</v>
      </c>
      <c r="J704" s="7">
        <v>0.16319444444444445</v>
      </c>
      <c r="K704" s="7">
        <v>0.17222222222222222</v>
      </c>
      <c r="L704" s="3">
        <f t="shared" si="21"/>
        <v>0</v>
      </c>
      <c r="M704" s="3">
        <f t="shared" si="22"/>
        <v>1</v>
      </c>
      <c r="N704" s="29">
        <f>_xlfn.MAXIFS($G$7:G703,$E$7:E703,detalhe_carro1[[#This Row],[Nó]],$B$7:B703,detalhe_carro1[[#This Row],[Numero Voltas]],$L$7:L703,1)</f>
        <v>1144</v>
      </c>
      <c r="O704" s="3">
        <f>IF(OR(detalhe_carro1[[#This Row],[Ultima Chegada]]=0,detalhe_carro1[[#This Row],[Chegada]]=0),"",detalhe_carro1[[#This Row],[Hora Inicio]]-detalhe_carro1[[#This Row],[Ultima Chegada]])</f>
        <v>111</v>
      </c>
      <c r="P704" s="3">
        <f>IF(detalhe_carro1[[#This Row],[Tipo]]="Visitar Nó",((detalhe_carro1[[#This Row],[Hora Fim]]-detalhe_carro1[[#This Row],[Hora Inicio]])/60*velocidade_nos),0)</f>
        <v>6.5</v>
      </c>
      <c r="Q704" s="29">
        <f>detalhe_carro1[[#This Row],[Kms Nós]]+detalhe_carro1[[#This Row],[kms]]</f>
        <v>6.5</v>
      </c>
    </row>
    <row r="705" spans="2:17" x14ac:dyDescent="0.25">
      <c r="B705" s="3">
        <v>4</v>
      </c>
      <c r="C705">
        <v>2</v>
      </c>
      <c r="D705">
        <v>4</v>
      </c>
      <c r="E705" s="29" t="s">
        <v>27</v>
      </c>
      <c r="F705" s="3">
        <v>1269</v>
      </c>
      <c r="G705" s="3">
        <v>1269</v>
      </c>
      <c r="H705" s="29" t="s">
        <v>51</v>
      </c>
      <c r="I705" s="3">
        <v>1</v>
      </c>
      <c r="J705" s="7">
        <v>0.17291666666666666</v>
      </c>
      <c r="K705" s="7">
        <v>0.17291666666666666</v>
      </c>
      <c r="L705" s="3">
        <f t="shared" si="21"/>
        <v>1</v>
      </c>
      <c r="M705" s="3">
        <f t="shared" si="22"/>
        <v>0</v>
      </c>
      <c r="N705" s="29">
        <f>_xlfn.MAXIFS($G$7:G704,$E$7:E704,detalhe_carro1[[#This Row],[Nó]],$B$7:B704,detalhe_carro1[[#This Row],[Numero Voltas]],$L$7:L704,1)</f>
        <v>1144</v>
      </c>
      <c r="O705" s="3" t="str">
        <f>IF(OR(detalhe_carro1[[#This Row],[Ultima Chegada]]=0,detalhe_carro1[[#This Row],[Chegada]]=0),"",detalhe_carro1[[#This Row],[Hora Inicio]]-detalhe_carro1[[#This Row],[Ultima Chegada]])</f>
        <v/>
      </c>
      <c r="P705" s="3">
        <f>IF(detalhe_carro1[[#This Row],[Tipo]]="Visitar Nó",((detalhe_carro1[[#This Row],[Hora Fim]]-detalhe_carro1[[#This Row],[Hora Inicio]])/60*velocidade_nos),0)</f>
        <v>0</v>
      </c>
      <c r="Q705" s="29">
        <f>detalhe_carro1[[#This Row],[Kms Nós]]+detalhe_carro1[[#This Row],[kms]]</f>
        <v>1</v>
      </c>
    </row>
    <row r="706" spans="2:17" x14ac:dyDescent="0.25">
      <c r="B706" s="3">
        <v>4</v>
      </c>
      <c r="C706">
        <v>2</v>
      </c>
      <c r="D706">
        <v>5</v>
      </c>
      <c r="E706" s="29" t="s">
        <v>29</v>
      </c>
      <c r="F706" s="3">
        <v>1272</v>
      </c>
      <c r="G706" s="3">
        <v>1282</v>
      </c>
      <c r="H706" s="29" t="s">
        <v>297</v>
      </c>
      <c r="I706" s="3">
        <v>0</v>
      </c>
      <c r="J706" s="7">
        <v>0.17499999999999999</v>
      </c>
      <c r="K706" s="7">
        <v>0.18194444444444444</v>
      </c>
      <c r="L706" s="3">
        <f t="shared" si="21"/>
        <v>0</v>
      </c>
      <c r="M706" s="3">
        <f t="shared" si="22"/>
        <v>1</v>
      </c>
      <c r="N706" s="29">
        <f>_xlfn.MAXIFS($G$7:G705,$E$7:E705,detalhe_carro1[[#This Row],[Nó]],$B$7:B705,detalhe_carro1[[#This Row],[Numero Voltas]],$L$7:L705,1)</f>
        <v>1125</v>
      </c>
      <c r="O706" s="3">
        <f>IF(OR(detalhe_carro1[[#This Row],[Ultima Chegada]]=0,detalhe_carro1[[#This Row],[Chegada]]=0),"",detalhe_carro1[[#This Row],[Hora Inicio]]-detalhe_carro1[[#This Row],[Ultima Chegada]])</f>
        <v>147</v>
      </c>
      <c r="P706" s="3">
        <f>IF(detalhe_carro1[[#This Row],[Tipo]]="Visitar Nó",((detalhe_carro1[[#This Row],[Hora Fim]]-detalhe_carro1[[#This Row],[Hora Inicio]])/60*velocidade_nos),0)</f>
        <v>0</v>
      </c>
      <c r="Q706" s="29">
        <f>detalhe_carro1[[#This Row],[Kms Nós]]+detalhe_carro1[[#This Row],[kms]]</f>
        <v>0</v>
      </c>
    </row>
    <row r="707" spans="2:17" x14ac:dyDescent="0.25">
      <c r="B707" s="3">
        <v>4</v>
      </c>
      <c r="C707">
        <v>2</v>
      </c>
      <c r="D707">
        <v>5</v>
      </c>
      <c r="E707" s="29" t="s">
        <v>29</v>
      </c>
      <c r="F707" s="3">
        <v>1285</v>
      </c>
      <c r="G707" s="3">
        <v>1313</v>
      </c>
      <c r="H707" s="29" t="s">
        <v>50</v>
      </c>
      <c r="I707" s="3">
        <v>0</v>
      </c>
      <c r="J707" s="7">
        <v>0.18402777777777779</v>
      </c>
      <c r="K707" s="7">
        <v>0.20347222222222222</v>
      </c>
      <c r="L707" s="3">
        <f t="shared" si="21"/>
        <v>0</v>
      </c>
      <c r="M707" s="3">
        <f t="shared" si="22"/>
        <v>0</v>
      </c>
      <c r="N707" s="29">
        <f>_xlfn.MAXIFS($G$7:G706,$E$7:E706,detalhe_carro1[[#This Row],[Nó]],$B$7:B706,detalhe_carro1[[#This Row],[Numero Voltas]],$L$7:L706,1)</f>
        <v>1125</v>
      </c>
      <c r="O707" s="3" t="str">
        <f>IF(OR(detalhe_carro1[[#This Row],[Ultima Chegada]]=0,detalhe_carro1[[#This Row],[Chegada]]=0),"",detalhe_carro1[[#This Row],[Hora Inicio]]-detalhe_carro1[[#This Row],[Ultima Chegada]])</f>
        <v/>
      </c>
      <c r="P707" s="3">
        <f>IF(detalhe_carro1[[#This Row],[Tipo]]="Visitar Nó",((detalhe_carro1[[#This Row],[Hora Fim]]-detalhe_carro1[[#This Row],[Hora Inicio]])/60*velocidade_nos),0)</f>
        <v>14</v>
      </c>
      <c r="Q707" s="29">
        <f>detalhe_carro1[[#This Row],[Kms Nós]]+detalhe_carro1[[#This Row],[kms]]</f>
        <v>14</v>
      </c>
    </row>
    <row r="708" spans="2:17" x14ac:dyDescent="0.25">
      <c r="B708" s="3">
        <v>4</v>
      </c>
      <c r="C708">
        <v>2</v>
      </c>
      <c r="D708">
        <v>5</v>
      </c>
      <c r="E708" s="29" t="s">
        <v>29</v>
      </c>
      <c r="F708" s="3">
        <v>1316</v>
      </c>
      <c r="G708" s="3">
        <v>1316</v>
      </c>
      <c r="H708" s="29" t="s">
        <v>51</v>
      </c>
      <c r="I708" s="3">
        <v>3</v>
      </c>
      <c r="J708" s="7">
        <v>0.20555555555555555</v>
      </c>
      <c r="K708" s="7">
        <v>0.20555555555555555</v>
      </c>
      <c r="L708" s="3">
        <f t="shared" si="21"/>
        <v>1</v>
      </c>
      <c r="M708" s="3">
        <f t="shared" si="22"/>
        <v>0</v>
      </c>
      <c r="N708" s="29">
        <f>_xlfn.MAXIFS($G$7:G707,$E$7:E707,detalhe_carro1[[#This Row],[Nó]],$B$7:B707,detalhe_carro1[[#This Row],[Numero Voltas]],$L$7:L707,1)</f>
        <v>1125</v>
      </c>
      <c r="O708" s="3" t="str">
        <f>IF(OR(detalhe_carro1[[#This Row],[Ultima Chegada]]=0,detalhe_carro1[[#This Row],[Chegada]]=0),"",detalhe_carro1[[#This Row],[Hora Inicio]]-detalhe_carro1[[#This Row],[Ultima Chegada]])</f>
        <v/>
      </c>
      <c r="P708" s="3">
        <f>IF(detalhe_carro1[[#This Row],[Tipo]]="Visitar Nó",((detalhe_carro1[[#This Row],[Hora Fim]]-detalhe_carro1[[#This Row],[Hora Inicio]])/60*velocidade_nos),0)</f>
        <v>0</v>
      </c>
      <c r="Q708" s="29">
        <f>detalhe_carro1[[#This Row],[Kms Nós]]+detalhe_carro1[[#This Row],[kms]]</f>
        <v>3</v>
      </c>
    </row>
    <row r="709" spans="2:17" x14ac:dyDescent="0.25">
      <c r="B709" s="3">
        <v>4</v>
      </c>
      <c r="C709">
        <v>2</v>
      </c>
      <c r="D709">
        <v>6</v>
      </c>
      <c r="E709" s="29" t="s">
        <v>31</v>
      </c>
      <c r="F709" s="3">
        <v>1319</v>
      </c>
      <c r="G709" s="3">
        <v>1328</v>
      </c>
      <c r="H709" s="29" t="s">
        <v>50</v>
      </c>
      <c r="I709" s="3">
        <v>0</v>
      </c>
      <c r="J709" s="7">
        <v>0.2076388888888889</v>
      </c>
      <c r="K709" s="7">
        <v>0.21388888888888888</v>
      </c>
      <c r="L709" s="3">
        <f t="shared" si="21"/>
        <v>0</v>
      </c>
      <c r="M709" s="3">
        <f t="shared" si="22"/>
        <v>1</v>
      </c>
      <c r="N709" s="29">
        <f>_xlfn.MAXIFS($G$7:G708,$E$7:E708,detalhe_carro1[[#This Row],[Nó]],$B$7:B708,detalhe_carro1[[#This Row],[Numero Voltas]],$L$7:L708,1)</f>
        <v>1091</v>
      </c>
      <c r="O709" s="3">
        <f>IF(OR(detalhe_carro1[[#This Row],[Ultima Chegada]]=0,detalhe_carro1[[#This Row],[Chegada]]=0),"",detalhe_carro1[[#This Row],[Hora Inicio]]-detalhe_carro1[[#This Row],[Ultima Chegada]])</f>
        <v>228</v>
      </c>
      <c r="P709" s="3">
        <f>IF(detalhe_carro1[[#This Row],[Tipo]]="Visitar Nó",((detalhe_carro1[[#This Row],[Hora Fim]]-detalhe_carro1[[#This Row],[Hora Inicio]])/60*velocidade_nos),0)</f>
        <v>4.5</v>
      </c>
      <c r="Q709" s="29">
        <f>detalhe_carro1[[#This Row],[Kms Nós]]+detalhe_carro1[[#This Row],[kms]]</f>
        <v>4.5</v>
      </c>
    </row>
    <row r="710" spans="2:17" x14ac:dyDescent="0.25">
      <c r="B710" s="3">
        <v>4</v>
      </c>
      <c r="C710">
        <v>2</v>
      </c>
      <c r="D710">
        <v>6</v>
      </c>
      <c r="E710" s="29" t="s">
        <v>31</v>
      </c>
      <c r="F710" s="3">
        <v>1331</v>
      </c>
      <c r="G710" s="3">
        <v>1331</v>
      </c>
      <c r="H710" s="29" t="s">
        <v>51</v>
      </c>
      <c r="I710" s="3">
        <v>3</v>
      </c>
      <c r="J710" s="7">
        <v>0.21597222222222223</v>
      </c>
      <c r="K710" s="7">
        <v>0.21597222222222223</v>
      </c>
      <c r="L710" s="3">
        <f t="shared" si="21"/>
        <v>1</v>
      </c>
      <c r="M710" s="3">
        <f t="shared" si="22"/>
        <v>0</v>
      </c>
      <c r="N710" s="29">
        <f>_xlfn.MAXIFS($G$7:G709,$E$7:E709,detalhe_carro1[[#This Row],[Nó]],$B$7:B709,detalhe_carro1[[#This Row],[Numero Voltas]],$L$7:L709,1)</f>
        <v>1091</v>
      </c>
      <c r="O710" s="3" t="str">
        <f>IF(OR(detalhe_carro1[[#This Row],[Ultima Chegada]]=0,detalhe_carro1[[#This Row],[Chegada]]=0),"",detalhe_carro1[[#This Row],[Hora Inicio]]-detalhe_carro1[[#This Row],[Ultima Chegada]])</f>
        <v/>
      </c>
      <c r="P710" s="3">
        <f>IF(detalhe_carro1[[#This Row],[Tipo]]="Visitar Nó",((detalhe_carro1[[#This Row],[Hora Fim]]-detalhe_carro1[[#This Row],[Hora Inicio]])/60*velocidade_nos),0)</f>
        <v>0</v>
      </c>
      <c r="Q710" s="29">
        <f>detalhe_carro1[[#This Row],[Kms Nós]]+detalhe_carro1[[#This Row],[kms]]</f>
        <v>3</v>
      </c>
    </row>
    <row r="711" spans="2:17" x14ac:dyDescent="0.25">
      <c r="B711" s="3">
        <v>4</v>
      </c>
      <c r="C711">
        <v>2</v>
      </c>
      <c r="D711">
        <v>7</v>
      </c>
      <c r="E711" s="29" t="s">
        <v>33</v>
      </c>
      <c r="F711" s="3">
        <v>1334</v>
      </c>
      <c r="G711" s="3">
        <v>1334</v>
      </c>
      <c r="H711" s="29" t="s">
        <v>51</v>
      </c>
      <c r="I711" s="3">
        <v>3</v>
      </c>
      <c r="J711" s="7">
        <v>0.21805555555555556</v>
      </c>
      <c r="K711" s="7">
        <v>0.21805555555555556</v>
      </c>
      <c r="L711" s="3">
        <f t="shared" ref="L711:L762" si="23">IF(E711&lt;&gt;E712,1,0)</f>
        <v>0</v>
      </c>
      <c r="M711" s="3">
        <f t="shared" ref="M711:M762" si="24">IF(E711&lt;&gt;E710,1,0)</f>
        <v>1</v>
      </c>
      <c r="N711" s="29">
        <f>_xlfn.MAXIFS($G$7:G710,$E$7:E710,detalhe_carro1[[#This Row],[Nó]],$B$7:B710,detalhe_carro1[[#This Row],[Numero Voltas]],$L$7:L710,1)</f>
        <v>1063</v>
      </c>
      <c r="O711" s="3">
        <f>IF(OR(detalhe_carro1[[#This Row],[Ultima Chegada]]=0,detalhe_carro1[[#This Row],[Chegada]]=0),"",detalhe_carro1[[#This Row],[Hora Inicio]]-detalhe_carro1[[#This Row],[Ultima Chegada]])</f>
        <v>271</v>
      </c>
      <c r="P711" s="3">
        <f>IF(detalhe_carro1[[#This Row],[Tipo]]="Visitar Nó",((detalhe_carro1[[#This Row],[Hora Fim]]-detalhe_carro1[[#This Row],[Hora Inicio]])/60*velocidade_nos),0)</f>
        <v>0</v>
      </c>
      <c r="Q711" s="29">
        <f>detalhe_carro1[[#This Row],[Kms Nós]]+detalhe_carro1[[#This Row],[kms]]</f>
        <v>3</v>
      </c>
    </row>
    <row r="712" spans="2:17" x14ac:dyDescent="0.25">
      <c r="B712" s="3">
        <v>4</v>
      </c>
      <c r="C712">
        <v>2</v>
      </c>
      <c r="D712">
        <v>7</v>
      </c>
      <c r="E712" s="29" t="s">
        <v>33</v>
      </c>
      <c r="F712" s="3">
        <v>1334</v>
      </c>
      <c r="G712" s="3">
        <v>1334</v>
      </c>
      <c r="H712" s="29" t="s">
        <v>51</v>
      </c>
      <c r="I712" s="3">
        <v>3</v>
      </c>
      <c r="J712" s="7">
        <v>0.21805555555555556</v>
      </c>
      <c r="K712" s="7">
        <v>0.21805555555555556</v>
      </c>
      <c r="L712" s="3">
        <f t="shared" si="23"/>
        <v>1</v>
      </c>
      <c r="M712" s="3">
        <f t="shared" si="24"/>
        <v>0</v>
      </c>
      <c r="N712" s="29">
        <f>_xlfn.MAXIFS($G$7:G711,$E$7:E711,detalhe_carro1[[#This Row],[Nó]],$B$7:B711,detalhe_carro1[[#This Row],[Numero Voltas]],$L$7:L711,1)</f>
        <v>1063</v>
      </c>
      <c r="O712" s="3" t="str">
        <f>IF(OR(detalhe_carro1[[#This Row],[Ultima Chegada]]=0,detalhe_carro1[[#This Row],[Chegada]]=0),"",detalhe_carro1[[#This Row],[Hora Inicio]]-detalhe_carro1[[#This Row],[Ultima Chegada]])</f>
        <v/>
      </c>
      <c r="P712" s="3">
        <f>IF(detalhe_carro1[[#This Row],[Tipo]]="Visitar Nó",((detalhe_carro1[[#This Row],[Hora Fim]]-detalhe_carro1[[#This Row],[Hora Inicio]])/60*velocidade_nos),0)</f>
        <v>0</v>
      </c>
      <c r="Q712" s="29">
        <f>detalhe_carro1[[#This Row],[Kms Nós]]+detalhe_carro1[[#This Row],[kms]]</f>
        <v>3</v>
      </c>
    </row>
    <row r="713" spans="2:17" x14ac:dyDescent="0.25">
      <c r="B713" s="3">
        <v>4</v>
      </c>
      <c r="C713">
        <v>2</v>
      </c>
      <c r="D713">
        <v>6</v>
      </c>
      <c r="E713" s="29" t="s">
        <v>31</v>
      </c>
      <c r="F713" s="3">
        <v>1337</v>
      </c>
      <c r="G713" s="3">
        <v>1337</v>
      </c>
      <c r="H713" s="29" t="s">
        <v>51</v>
      </c>
      <c r="I713" s="3">
        <v>3</v>
      </c>
      <c r="J713" s="7">
        <v>0.22013888888888888</v>
      </c>
      <c r="K713" s="7">
        <v>0.22013888888888888</v>
      </c>
      <c r="L713" s="3">
        <f t="shared" si="23"/>
        <v>1</v>
      </c>
      <c r="M713" s="3">
        <f t="shared" si="24"/>
        <v>1</v>
      </c>
      <c r="N713" s="29">
        <f>_xlfn.MAXIFS($G$7:G712,$E$7:E712,detalhe_carro1[[#This Row],[Nó]],$B$7:B712,detalhe_carro1[[#This Row],[Numero Voltas]],$L$7:L712,1)</f>
        <v>1331</v>
      </c>
      <c r="O713" s="3">
        <f>IF(OR(detalhe_carro1[[#This Row],[Ultima Chegada]]=0,detalhe_carro1[[#This Row],[Chegada]]=0),"",detalhe_carro1[[#This Row],[Hora Inicio]]-detalhe_carro1[[#This Row],[Ultima Chegada]])</f>
        <v>6</v>
      </c>
      <c r="P713" s="3">
        <f>IF(detalhe_carro1[[#This Row],[Tipo]]="Visitar Nó",((detalhe_carro1[[#This Row],[Hora Fim]]-detalhe_carro1[[#This Row],[Hora Inicio]])/60*velocidade_nos),0)</f>
        <v>0</v>
      </c>
      <c r="Q713" s="29">
        <f>detalhe_carro1[[#This Row],[Kms Nós]]+detalhe_carro1[[#This Row],[kms]]</f>
        <v>3</v>
      </c>
    </row>
    <row r="714" spans="2:17" x14ac:dyDescent="0.25">
      <c r="B714" s="3">
        <v>4</v>
      </c>
      <c r="C714">
        <v>2</v>
      </c>
      <c r="D714">
        <v>5</v>
      </c>
      <c r="E714" s="29" t="s">
        <v>29</v>
      </c>
      <c r="F714" s="3">
        <v>1340</v>
      </c>
      <c r="G714" s="3">
        <v>1340</v>
      </c>
      <c r="H714" s="29" t="s">
        <v>51</v>
      </c>
      <c r="I714" s="3">
        <v>3</v>
      </c>
      <c r="J714" s="7">
        <v>0.22222222222222221</v>
      </c>
      <c r="K714" s="7">
        <v>0.22222222222222221</v>
      </c>
      <c r="L714" s="3">
        <f t="shared" si="23"/>
        <v>1</v>
      </c>
      <c r="M714" s="3">
        <f t="shared" si="24"/>
        <v>1</v>
      </c>
      <c r="N714" s="29">
        <f>_xlfn.MAXIFS($G$7:G713,$E$7:E713,detalhe_carro1[[#This Row],[Nó]],$B$7:B713,detalhe_carro1[[#This Row],[Numero Voltas]],$L$7:L713,1)</f>
        <v>1316</v>
      </c>
      <c r="O714" s="3">
        <f>IF(OR(detalhe_carro1[[#This Row],[Ultima Chegada]]=0,detalhe_carro1[[#This Row],[Chegada]]=0),"",detalhe_carro1[[#This Row],[Hora Inicio]]-detalhe_carro1[[#This Row],[Ultima Chegada]])</f>
        <v>24</v>
      </c>
      <c r="P714" s="3">
        <f>IF(detalhe_carro1[[#This Row],[Tipo]]="Visitar Nó",((detalhe_carro1[[#This Row],[Hora Fim]]-detalhe_carro1[[#This Row],[Hora Inicio]])/60*velocidade_nos),0)</f>
        <v>0</v>
      </c>
      <c r="Q714" s="29">
        <f>detalhe_carro1[[#This Row],[Kms Nós]]+detalhe_carro1[[#This Row],[kms]]</f>
        <v>3</v>
      </c>
    </row>
    <row r="715" spans="2:17" x14ac:dyDescent="0.25">
      <c r="B715" s="3">
        <v>4</v>
      </c>
      <c r="C715">
        <v>2</v>
      </c>
      <c r="D715">
        <v>4</v>
      </c>
      <c r="E715" s="29" t="s">
        <v>27</v>
      </c>
      <c r="F715" s="3">
        <v>1343</v>
      </c>
      <c r="G715" s="3">
        <v>1343</v>
      </c>
      <c r="H715" s="29" t="s">
        <v>51</v>
      </c>
      <c r="I715" s="3">
        <v>3</v>
      </c>
      <c r="J715" s="7">
        <v>0.22430555555555556</v>
      </c>
      <c r="K715" s="7">
        <v>0.22430555555555556</v>
      </c>
      <c r="L715" s="3">
        <f t="shared" si="23"/>
        <v>1</v>
      </c>
      <c r="M715" s="3">
        <f t="shared" si="24"/>
        <v>1</v>
      </c>
      <c r="N715" s="29">
        <f>_xlfn.MAXIFS($G$7:G714,$E$7:E714,detalhe_carro1[[#This Row],[Nó]],$B$7:B714,detalhe_carro1[[#This Row],[Numero Voltas]],$L$7:L714,1)</f>
        <v>1269</v>
      </c>
      <c r="O715" s="3">
        <f>IF(OR(detalhe_carro1[[#This Row],[Ultima Chegada]]=0,detalhe_carro1[[#This Row],[Chegada]]=0),"",detalhe_carro1[[#This Row],[Hora Inicio]]-detalhe_carro1[[#This Row],[Ultima Chegada]])</f>
        <v>74</v>
      </c>
      <c r="P715" s="3">
        <f>IF(detalhe_carro1[[#This Row],[Tipo]]="Visitar Nó",((detalhe_carro1[[#This Row],[Hora Fim]]-detalhe_carro1[[#This Row],[Hora Inicio]])/60*velocidade_nos),0)</f>
        <v>0</v>
      </c>
      <c r="Q715" s="29">
        <f>detalhe_carro1[[#This Row],[Kms Nós]]+detalhe_carro1[[#This Row],[kms]]</f>
        <v>3</v>
      </c>
    </row>
    <row r="716" spans="2:17" x14ac:dyDescent="0.25">
      <c r="B716" s="3">
        <v>4</v>
      </c>
      <c r="C716">
        <v>2</v>
      </c>
      <c r="D716">
        <v>3</v>
      </c>
      <c r="E716" s="29" t="s">
        <v>26</v>
      </c>
      <c r="F716" s="3">
        <v>1344</v>
      </c>
      <c r="G716" s="3">
        <v>1344</v>
      </c>
      <c r="H716" s="29" t="s">
        <v>51</v>
      </c>
      <c r="I716" s="3">
        <v>1</v>
      </c>
      <c r="J716" s="7">
        <v>0.22500000000000001</v>
      </c>
      <c r="K716" s="7">
        <v>0.22500000000000001</v>
      </c>
      <c r="L716" s="3">
        <f t="shared" si="23"/>
        <v>1</v>
      </c>
      <c r="M716" s="3">
        <f t="shared" si="24"/>
        <v>1</v>
      </c>
      <c r="N716" s="29">
        <f>_xlfn.MAXIFS($G$7:G715,$E$7:E715,detalhe_carro1[[#This Row],[Nó]],$B$7:B715,detalhe_carro1[[#This Row],[Numero Voltas]],$L$7:L715,1)</f>
        <v>1254</v>
      </c>
      <c r="O716" s="3">
        <f>IF(OR(detalhe_carro1[[#This Row],[Ultima Chegada]]=0,detalhe_carro1[[#This Row],[Chegada]]=0),"",detalhe_carro1[[#This Row],[Hora Inicio]]-detalhe_carro1[[#This Row],[Ultima Chegada]])</f>
        <v>90</v>
      </c>
      <c r="P716" s="3">
        <f>IF(detalhe_carro1[[#This Row],[Tipo]]="Visitar Nó",((detalhe_carro1[[#This Row],[Hora Fim]]-detalhe_carro1[[#This Row],[Hora Inicio]])/60*velocidade_nos),0)</f>
        <v>0</v>
      </c>
      <c r="Q716" s="29">
        <f>detalhe_carro1[[#This Row],[Kms Nós]]+detalhe_carro1[[#This Row],[kms]]</f>
        <v>1</v>
      </c>
    </row>
    <row r="717" spans="2:17" x14ac:dyDescent="0.25">
      <c r="B717" s="3">
        <v>4</v>
      </c>
      <c r="C717">
        <v>2</v>
      </c>
      <c r="D717">
        <v>2</v>
      </c>
      <c r="E717" s="29" t="s">
        <v>24</v>
      </c>
      <c r="F717" s="3">
        <v>1345</v>
      </c>
      <c r="G717" s="3">
        <v>1345</v>
      </c>
      <c r="H717" s="29" t="s">
        <v>51</v>
      </c>
      <c r="I717" s="3">
        <v>1</v>
      </c>
      <c r="J717" s="7">
        <v>0.22569444444444445</v>
      </c>
      <c r="K717" s="7">
        <v>0.22569444444444445</v>
      </c>
      <c r="L717" s="3">
        <f t="shared" si="23"/>
        <v>1</v>
      </c>
      <c r="M717" s="3">
        <f t="shared" si="24"/>
        <v>1</v>
      </c>
      <c r="N717" s="29">
        <f>_xlfn.MAXIFS($G$7:G716,$E$7:E716,detalhe_carro1[[#This Row],[Nó]],$B$7:B716,detalhe_carro1[[#This Row],[Numero Voltas]],$L$7:L716,1)</f>
        <v>1242</v>
      </c>
      <c r="O717" s="3">
        <f>IF(OR(detalhe_carro1[[#This Row],[Ultima Chegada]]=0,detalhe_carro1[[#This Row],[Chegada]]=0),"",detalhe_carro1[[#This Row],[Hora Inicio]]-detalhe_carro1[[#This Row],[Ultima Chegada]])</f>
        <v>103</v>
      </c>
      <c r="P717" s="3">
        <f>IF(detalhe_carro1[[#This Row],[Tipo]]="Visitar Nó",((detalhe_carro1[[#This Row],[Hora Fim]]-detalhe_carro1[[#This Row],[Hora Inicio]])/60*velocidade_nos),0)</f>
        <v>0</v>
      </c>
      <c r="Q717" s="29">
        <f>detalhe_carro1[[#This Row],[Kms Nós]]+detalhe_carro1[[#This Row],[kms]]</f>
        <v>1</v>
      </c>
    </row>
    <row r="718" spans="2:17" x14ac:dyDescent="0.25">
      <c r="B718" s="3">
        <v>4</v>
      </c>
      <c r="C718">
        <v>2</v>
      </c>
      <c r="D718">
        <v>1</v>
      </c>
      <c r="E718" s="29" t="s">
        <v>22</v>
      </c>
      <c r="F718" s="3">
        <v>1352</v>
      </c>
      <c r="G718" s="3">
        <v>1352</v>
      </c>
      <c r="H718" s="29" t="s">
        <v>51</v>
      </c>
      <c r="I718" s="3">
        <v>7</v>
      </c>
      <c r="J718" s="7">
        <v>0.23055555555555557</v>
      </c>
      <c r="K718" s="7">
        <v>0.23055555555555557</v>
      </c>
      <c r="L718" s="3">
        <f t="shared" si="23"/>
        <v>1</v>
      </c>
      <c r="M718" s="3">
        <f t="shared" si="24"/>
        <v>1</v>
      </c>
      <c r="N718" s="29">
        <f>_xlfn.MAXIFS($G$7:G717,$E$7:E717,detalhe_carro1[[#This Row],[Nó]],$B$7:B717,detalhe_carro1[[#This Row],[Numero Voltas]],$L$7:L717,1)</f>
        <v>1214</v>
      </c>
      <c r="O718" s="3">
        <f>IF(OR(detalhe_carro1[[#This Row],[Ultima Chegada]]=0,detalhe_carro1[[#This Row],[Chegada]]=0),"",detalhe_carro1[[#This Row],[Hora Inicio]]-detalhe_carro1[[#This Row],[Ultima Chegada]])</f>
        <v>138</v>
      </c>
      <c r="P718" s="3">
        <f>IF(detalhe_carro1[[#This Row],[Tipo]]="Visitar Nó",((detalhe_carro1[[#This Row],[Hora Fim]]-detalhe_carro1[[#This Row],[Hora Inicio]])/60*velocidade_nos),0)</f>
        <v>0</v>
      </c>
      <c r="Q718" s="29">
        <f>detalhe_carro1[[#This Row],[Kms Nós]]+detalhe_carro1[[#This Row],[kms]]</f>
        <v>7</v>
      </c>
    </row>
    <row r="719" spans="2:17" x14ac:dyDescent="0.25">
      <c r="B719" s="3">
        <v>4</v>
      </c>
      <c r="C719">
        <v>2</v>
      </c>
      <c r="D719">
        <v>0</v>
      </c>
      <c r="E719" s="29" t="s">
        <v>20</v>
      </c>
      <c r="F719" s="3">
        <v>1353</v>
      </c>
      <c r="G719" s="3">
        <v>1353</v>
      </c>
      <c r="H719" s="29" t="s">
        <v>51</v>
      </c>
      <c r="I719" s="3">
        <v>1</v>
      </c>
      <c r="J719" s="7">
        <v>0.23125000000000001</v>
      </c>
      <c r="K719" s="7">
        <v>0.23125000000000001</v>
      </c>
      <c r="L719" s="3">
        <f t="shared" si="23"/>
        <v>0</v>
      </c>
      <c r="M719" s="3">
        <f t="shared" si="24"/>
        <v>1</v>
      </c>
      <c r="N719" s="29">
        <f>_xlfn.MAXIFS($G$7:G718,$E$7:E718,detalhe_carro1[[#This Row],[Nó]],$B$7:B718,detalhe_carro1[[#This Row],[Numero Voltas]],$L$7:L718,1)</f>
        <v>1207</v>
      </c>
      <c r="O719" s="3">
        <f>IF(OR(detalhe_carro1[[#This Row],[Ultima Chegada]]=0,detalhe_carro1[[#This Row],[Chegada]]=0),"",detalhe_carro1[[#This Row],[Hora Inicio]]-detalhe_carro1[[#This Row],[Ultima Chegada]])</f>
        <v>146</v>
      </c>
      <c r="P719" s="3">
        <f>IF(detalhe_carro1[[#This Row],[Tipo]]="Visitar Nó",((detalhe_carro1[[#This Row],[Hora Fim]]-detalhe_carro1[[#This Row],[Hora Inicio]])/60*velocidade_nos),0)</f>
        <v>0</v>
      </c>
      <c r="Q719" s="29">
        <f>detalhe_carro1[[#This Row],[Kms Nós]]+detalhe_carro1[[#This Row],[kms]]</f>
        <v>1</v>
      </c>
    </row>
    <row r="720" spans="2:17" x14ac:dyDescent="0.25">
      <c r="B720" s="3">
        <v>4</v>
      </c>
      <c r="C720">
        <v>2</v>
      </c>
      <c r="D720">
        <v>0</v>
      </c>
      <c r="E720" s="29" t="s">
        <v>20</v>
      </c>
      <c r="F720" s="3">
        <v>1353</v>
      </c>
      <c r="G720" s="3">
        <v>1353</v>
      </c>
      <c r="H720" s="29" t="s">
        <v>51</v>
      </c>
      <c r="I720" s="3">
        <v>1</v>
      </c>
      <c r="J720" s="7">
        <v>0.23125000000000001</v>
      </c>
      <c r="K720" s="7">
        <v>0.23125000000000001</v>
      </c>
      <c r="L720" s="3">
        <f t="shared" si="23"/>
        <v>1</v>
      </c>
      <c r="M720" s="3">
        <f t="shared" si="24"/>
        <v>0</v>
      </c>
      <c r="N720" s="29">
        <f>_xlfn.MAXIFS($G$7:G719,$E$7:E719,detalhe_carro1[[#This Row],[Nó]],$B$7:B719,detalhe_carro1[[#This Row],[Numero Voltas]],$L$7:L719,1)</f>
        <v>1207</v>
      </c>
      <c r="O720" s="3" t="str">
        <f>IF(OR(detalhe_carro1[[#This Row],[Ultima Chegada]]=0,detalhe_carro1[[#This Row],[Chegada]]=0),"",detalhe_carro1[[#This Row],[Hora Inicio]]-detalhe_carro1[[#This Row],[Ultima Chegada]])</f>
        <v/>
      </c>
      <c r="P720" s="3">
        <f>IF(detalhe_carro1[[#This Row],[Tipo]]="Visitar Nó",((detalhe_carro1[[#This Row],[Hora Fim]]-detalhe_carro1[[#This Row],[Hora Inicio]])/60*velocidade_nos),0)</f>
        <v>0</v>
      </c>
      <c r="Q720" s="29">
        <f>detalhe_carro1[[#This Row],[Kms Nós]]+detalhe_carro1[[#This Row],[kms]]</f>
        <v>1</v>
      </c>
    </row>
    <row r="721" spans="2:17" x14ac:dyDescent="0.25">
      <c r="B721" s="3">
        <v>4</v>
      </c>
      <c r="C721">
        <v>2</v>
      </c>
      <c r="D721">
        <v>1</v>
      </c>
      <c r="E721" s="29" t="s">
        <v>22</v>
      </c>
      <c r="F721" s="3">
        <v>1354</v>
      </c>
      <c r="G721" s="3">
        <v>1354</v>
      </c>
      <c r="H721" s="29" t="s">
        <v>51</v>
      </c>
      <c r="I721" s="3">
        <v>1</v>
      </c>
      <c r="J721" s="7">
        <v>0.23194444444444445</v>
      </c>
      <c r="K721" s="7">
        <v>0.23194444444444445</v>
      </c>
      <c r="L721" s="3">
        <f t="shared" si="23"/>
        <v>1</v>
      </c>
      <c r="M721" s="3">
        <f t="shared" si="24"/>
        <v>1</v>
      </c>
      <c r="N721" s="29">
        <f>_xlfn.MAXIFS($G$7:G720,$E$7:E720,detalhe_carro1[[#This Row],[Nó]],$B$7:B720,detalhe_carro1[[#This Row],[Numero Voltas]],$L$7:L720,1)</f>
        <v>1352</v>
      </c>
      <c r="O721" s="3">
        <f>IF(OR(detalhe_carro1[[#This Row],[Ultima Chegada]]=0,detalhe_carro1[[#This Row],[Chegada]]=0),"",detalhe_carro1[[#This Row],[Hora Inicio]]-detalhe_carro1[[#This Row],[Ultima Chegada]])</f>
        <v>2</v>
      </c>
      <c r="P721" s="3">
        <f>IF(detalhe_carro1[[#This Row],[Tipo]]="Visitar Nó",((detalhe_carro1[[#This Row],[Hora Fim]]-detalhe_carro1[[#This Row],[Hora Inicio]])/60*velocidade_nos),0)</f>
        <v>0</v>
      </c>
      <c r="Q721" s="29">
        <f>detalhe_carro1[[#This Row],[Kms Nós]]+detalhe_carro1[[#This Row],[kms]]</f>
        <v>1</v>
      </c>
    </row>
    <row r="722" spans="2:17" x14ac:dyDescent="0.25">
      <c r="B722" s="3">
        <v>4</v>
      </c>
      <c r="C722">
        <v>2</v>
      </c>
      <c r="D722">
        <v>2</v>
      </c>
      <c r="E722" s="29" t="s">
        <v>24</v>
      </c>
      <c r="F722" s="3">
        <v>1361</v>
      </c>
      <c r="G722" s="3">
        <v>1361</v>
      </c>
      <c r="H722" s="29" t="s">
        <v>51</v>
      </c>
      <c r="I722" s="3">
        <v>7</v>
      </c>
      <c r="J722" s="7">
        <v>0.23680555555555555</v>
      </c>
      <c r="K722" s="7">
        <v>0.23680555555555555</v>
      </c>
      <c r="L722" s="3">
        <f t="shared" si="23"/>
        <v>1</v>
      </c>
      <c r="M722" s="3">
        <f t="shared" si="24"/>
        <v>1</v>
      </c>
      <c r="N722" s="29">
        <f>_xlfn.MAXIFS($G$7:G721,$E$7:E721,detalhe_carro1[[#This Row],[Nó]],$B$7:B721,detalhe_carro1[[#This Row],[Numero Voltas]],$L$7:L721,1)</f>
        <v>1345</v>
      </c>
      <c r="O722" s="3">
        <f>IF(OR(detalhe_carro1[[#This Row],[Ultima Chegada]]=0,detalhe_carro1[[#This Row],[Chegada]]=0),"",detalhe_carro1[[#This Row],[Hora Inicio]]-detalhe_carro1[[#This Row],[Ultima Chegada]])</f>
        <v>16</v>
      </c>
      <c r="P722" s="3">
        <f>IF(detalhe_carro1[[#This Row],[Tipo]]="Visitar Nó",((detalhe_carro1[[#This Row],[Hora Fim]]-detalhe_carro1[[#This Row],[Hora Inicio]])/60*velocidade_nos),0)</f>
        <v>0</v>
      </c>
      <c r="Q722" s="29">
        <f>detalhe_carro1[[#This Row],[Kms Nós]]+detalhe_carro1[[#This Row],[kms]]</f>
        <v>7</v>
      </c>
    </row>
    <row r="723" spans="2:17" x14ac:dyDescent="0.25">
      <c r="B723" s="3">
        <v>4</v>
      </c>
      <c r="C723">
        <v>2</v>
      </c>
      <c r="D723">
        <v>3</v>
      </c>
      <c r="E723" s="29" t="s">
        <v>26</v>
      </c>
      <c r="F723" s="3">
        <v>1362</v>
      </c>
      <c r="G723" s="3">
        <v>1362</v>
      </c>
      <c r="H723" s="29" t="s">
        <v>51</v>
      </c>
      <c r="I723" s="3">
        <v>1</v>
      </c>
      <c r="J723" s="7">
        <v>0.23749999999999999</v>
      </c>
      <c r="K723" s="7">
        <v>0.23749999999999999</v>
      </c>
      <c r="L723" s="3">
        <f t="shared" si="23"/>
        <v>1</v>
      </c>
      <c r="M723" s="3">
        <f t="shared" si="24"/>
        <v>1</v>
      </c>
      <c r="N723" s="29">
        <f>_xlfn.MAXIFS($G$7:G722,$E$7:E722,detalhe_carro1[[#This Row],[Nó]],$B$7:B722,detalhe_carro1[[#This Row],[Numero Voltas]],$L$7:L722,1)</f>
        <v>1344</v>
      </c>
      <c r="O723" s="3">
        <f>IF(OR(detalhe_carro1[[#This Row],[Ultima Chegada]]=0,detalhe_carro1[[#This Row],[Chegada]]=0),"",detalhe_carro1[[#This Row],[Hora Inicio]]-detalhe_carro1[[#This Row],[Ultima Chegada]])</f>
        <v>18</v>
      </c>
      <c r="P723" s="3">
        <f>IF(detalhe_carro1[[#This Row],[Tipo]]="Visitar Nó",((detalhe_carro1[[#This Row],[Hora Fim]]-detalhe_carro1[[#This Row],[Hora Inicio]])/60*velocidade_nos),0)</f>
        <v>0</v>
      </c>
      <c r="Q723" s="29">
        <f>detalhe_carro1[[#This Row],[Kms Nós]]+detalhe_carro1[[#This Row],[kms]]</f>
        <v>1</v>
      </c>
    </row>
    <row r="724" spans="2:17" x14ac:dyDescent="0.25">
      <c r="B724" s="3">
        <v>4</v>
      </c>
      <c r="C724">
        <v>2</v>
      </c>
      <c r="D724">
        <v>4</v>
      </c>
      <c r="E724" s="29" t="s">
        <v>27</v>
      </c>
      <c r="F724" s="3">
        <v>1363</v>
      </c>
      <c r="G724" s="3">
        <v>1363</v>
      </c>
      <c r="H724" s="29" t="s">
        <v>51</v>
      </c>
      <c r="I724" s="3">
        <v>1</v>
      </c>
      <c r="J724" s="7">
        <v>0.23819444444444443</v>
      </c>
      <c r="K724" s="7">
        <v>0.23819444444444443</v>
      </c>
      <c r="L724" s="3">
        <f t="shared" si="23"/>
        <v>1</v>
      </c>
      <c r="M724" s="3">
        <f t="shared" si="24"/>
        <v>1</v>
      </c>
      <c r="N724" s="29">
        <f>_xlfn.MAXIFS($G$7:G723,$E$7:E723,detalhe_carro1[[#This Row],[Nó]],$B$7:B723,detalhe_carro1[[#This Row],[Numero Voltas]],$L$7:L723,1)</f>
        <v>1343</v>
      </c>
      <c r="O724" s="3">
        <f>IF(OR(detalhe_carro1[[#This Row],[Ultima Chegada]]=0,detalhe_carro1[[#This Row],[Chegada]]=0),"",detalhe_carro1[[#This Row],[Hora Inicio]]-detalhe_carro1[[#This Row],[Ultima Chegada]])</f>
        <v>20</v>
      </c>
      <c r="P724" s="3">
        <f>IF(detalhe_carro1[[#This Row],[Tipo]]="Visitar Nó",((detalhe_carro1[[#This Row],[Hora Fim]]-detalhe_carro1[[#This Row],[Hora Inicio]])/60*velocidade_nos),0)</f>
        <v>0</v>
      </c>
      <c r="Q724" s="29">
        <f>detalhe_carro1[[#This Row],[Kms Nós]]+detalhe_carro1[[#This Row],[kms]]</f>
        <v>1</v>
      </c>
    </row>
    <row r="725" spans="2:17" x14ac:dyDescent="0.25">
      <c r="B725" s="3">
        <v>4</v>
      </c>
      <c r="C725">
        <v>2</v>
      </c>
      <c r="D725">
        <v>5</v>
      </c>
      <c r="E725" s="29" t="s">
        <v>29</v>
      </c>
      <c r="F725" s="3">
        <v>1366</v>
      </c>
      <c r="G725" s="3">
        <v>1366</v>
      </c>
      <c r="H725" s="29" t="s">
        <v>51</v>
      </c>
      <c r="I725" s="3">
        <v>3</v>
      </c>
      <c r="J725" s="7">
        <v>0.24027777777777778</v>
      </c>
      <c r="K725" s="7">
        <v>0.24027777777777778</v>
      </c>
      <c r="L725" s="3">
        <f t="shared" si="23"/>
        <v>1</v>
      </c>
      <c r="M725" s="3">
        <f t="shared" si="24"/>
        <v>1</v>
      </c>
      <c r="N725" s="29">
        <f>_xlfn.MAXIFS($G$7:G724,$E$7:E724,detalhe_carro1[[#This Row],[Nó]],$B$7:B724,detalhe_carro1[[#This Row],[Numero Voltas]],$L$7:L724,1)</f>
        <v>1340</v>
      </c>
      <c r="O725" s="3">
        <f>IF(OR(detalhe_carro1[[#This Row],[Ultima Chegada]]=0,detalhe_carro1[[#This Row],[Chegada]]=0),"",detalhe_carro1[[#This Row],[Hora Inicio]]-detalhe_carro1[[#This Row],[Ultima Chegada]])</f>
        <v>26</v>
      </c>
      <c r="P725" s="3">
        <f>IF(detalhe_carro1[[#This Row],[Tipo]]="Visitar Nó",((detalhe_carro1[[#This Row],[Hora Fim]]-detalhe_carro1[[#This Row],[Hora Inicio]])/60*velocidade_nos),0)</f>
        <v>0</v>
      </c>
      <c r="Q725" s="29">
        <f>detalhe_carro1[[#This Row],[Kms Nós]]+detalhe_carro1[[#This Row],[kms]]</f>
        <v>3</v>
      </c>
    </row>
    <row r="726" spans="2:17" x14ac:dyDescent="0.25">
      <c r="B726" s="3">
        <v>4</v>
      </c>
      <c r="C726">
        <v>2</v>
      </c>
      <c r="D726">
        <v>6</v>
      </c>
      <c r="E726" s="29" t="s">
        <v>31</v>
      </c>
      <c r="F726" s="3">
        <v>1369</v>
      </c>
      <c r="G726" s="3">
        <v>1369</v>
      </c>
      <c r="H726" s="29" t="s">
        <v>51</v>
      </c>
      <c r="I726" s="3">
        <v>3</v>
      </c>
      <c r="J726" s="7">
        <v>0.24236111111111111</v>
      </c>
      <c r="K726" s="7">
        <v>0.24236111111111111</v>
      </c>
      <c r="L726" s="3">
        <f t="shared" si="23"/>
        <v>1</v>
      </c>
      <c r="M726" s="3">
        <f t="shared" si="24"/>
        <v>1</v>
      </c>
      <c r="N726" s="29">
        <f>_xlfn.MAXIFS($G$7:G725,$E$7:E725,detalhe_carro1[[#This Row],[Nó]],$B$7:B725,detalhe_carro1[[#This Row],[Numero Voltas]],$L$7:L725,1)</f>
        <v>1337</v>
      </c>
      <c r="O726" s="3">
        <f>IF(OR(detalhe_carro1[[#This Row],[Ultima Chegada]]=0,detalhe_carro1[[#This Row],[Chegada]]=0),"",detalhe_carro1[[#This Row],[Hora Inicio]]-detalhe_carro1[[#This Row],[Ultima Chegada]])</f>
        <v>32</v>
      </c>
      <c r="P726" s="3">
        <f>IF(detalhe_carro1[[#This Row],[Tipo]]="Visitar Nó",((detalhe_carro1[[#This Row],[Hora Fim]]-detalhe_carro1[[#This Row],[Hora Inicio]])/60*velocidade_nos),0)</f>
        <v>0</v>
      </c>
      <c r="Q726" s="29">
        <f>detalhe_carro1[[#This Row],[Kms Nós]]+detalhe_carro1[[#This Row],[kms]]</f>
        <v>3</v>
      </c>
    </row>
    <row r="727" spans="2:17" x14ac:dyDescent="0.25">
      <c r="B727" s="3">
        <v>4</v>
      </c>
      <c r="C727">
        <v>2</v>
      </c>
      <c r="D727">
        <v>7</v>
      </c>
      <c r="E727" s="29" t="s">
        <v>33</v>
      </c>
      <c r="F727" s="3">
        <v>1372</v>
      </c>
      <c r="G727" s="3">
        <v>1372</v>
      </c>
      <c r="H727" s="29" t="s">
        <v>51</v>
      </c>
      <c r="I727" s="3">
        <v>3</v>
      </c>
      <c r="J727" s="7">
        <v>0.24444444444444444</v>
      </c>
      <c r="K727" s="7">
        <v>0.24444444444444444</v>
      </c>
      <c r="L727" s="3">
        <f t="shared" si="23"/>
        <v>0</v>
      </c>
      <c r="M727" s="3">
        <f t="shared" si="24"/>
        <v>1</v>
      </c>
      <c r="N727" s="29">
        <f>_xlfn.MAXIFS($G$7:G726,$E$7:E726,detalhe_carro1[[#This Row],[Nó]],$B$7:B726,detalhe_carro1[[#This Row],[Numero Voltas]],$L$7:L726,1)</f>
        <v>1334</v>
      </c>
      <c r="O727" s="3">
        <f>IF(OR(detalhe_carro1[[#This Row],[Ultima Chegada]]=0,detalhe_carro1[[#This Row],[Chegada]]=0),"",detalhe_carro1[[#This Row],[Hora Inicio]]-detalhe_carro1[[#This Row],[Ultima Chegada]])</f>
        <v>38</v>
      </c>
      <c r="P727" s="3">
        <f>IF(detalhe_carro1[[#This Row],[Tipo]]="Visitar Nó",((detalhe_carro1[[#This Row],[Hora Fim]]-detalhe_carro1[[#This Row],[Hora Inicio]])/60*velocidade_nos),0)</f>
        <v>0</v>
      </c>
      <c r="Q727" s="29">
        <f>detalhe_carro1[[#This Row],[Kms Nós]]+detalhe_carro1[[#This Row],[kms]]</f>
        <v>3</v>
      </c>
    </row>
    <row r="728" spans="2:17" x14ac:dyDescent="0.25">
      <c r="B728" s="3">
        <v>4</v>
      </c>
      <c r="C728">
        <v>2</v>
      </c>
      <c r="D728">
        <v>7</v>
      </c>
      <c r="E728" s="29" t="s">
        <v>33</v>
      </c>
      <c r="F728" s="3">
        <v>1372</v>
      </c>
      <c r="G728" s="3">
        <v>1372</v>
      </c>
      <c r="H728" s="29" t="s">
        <v>51</v>
      </c>
      <c r="I728" s="3">
        <v>3</v>
      </c>
      <c r="J728" s="7">
        <v>0.24444444444444444</v>
      </c>
      <c r="K728" s="7">
        <v>0.24444444444444444</v>
      </c>
      <c r="L728" s="3">
        <f t="shared" si="23"/>
        <v>1</v>
      </c>
      <c r="M728" s="3">
        <f t="shared" si="24"/>
        <v>0</v>
      </c>
      <c r="N728" s="29">
        <f>_xlfn.MAXIFS($G$7:G727,$E$7:E727,detalhe_carro1[[#This Row],[Nó]],$B$7:B727,detalhe_carro1[[#This Row],[Numero Voltas]],$L$7:L727,1)</f>
        <v>1334</v>
      </c>
      <c r="O728" s="3" t="str">
        <f>IF(OR(detalhe_carro1[[#This Row],[Ultima Chegada]]=0,detalhe_carro1[[#This Row],[Chegada]]=0),"",detalhe_carro1[[#This Row],[Hora Inicio]]-detalhe_carro1[[#This Row],[Ultima Chegada]])</f>
        <v/>
      </c>
      <c r="P728" s="3">
        <f>IF(detalhe_carro1[[#This Row],[Tipo]]="Visitar Nó",((detalhe_carro1[[#This Row],[Hora Fim]]-detalhe_carro1[[#This Row],[Hora Inicio]])/60*velocidade_nos),0)</f>
        <v>0</v>
      </c>
      <c r="Q728" s="29">
        <f>detalhe_carro1[[#This Row],[Kms Nós]]+detalhe_carro1[[#This Row],[kms]]</f>
        <v>3</v>
      </c>
    </row>
    <row r="729" spans="2:17" x14ac:dyDescent="0.25">
      <c r="B729" s="3">
        <v>4</v>
      </c>
      <c r="C729">
        <v>2</v>
      </c>
      <c r="D729">
        <v>6</v>
      </c>
      <c r="E729" s="29" t="s">
        <v>31</v>
      </c>
      <c r="F729" s="3">
        <v>1375</v>
      </c>
      <c r="G729" s="3">
        <v>1375</v>
      </c>
      <c r="H729" s="29" t="s">
        <v>51</v>
      </c>
      <c r="I729" s="3">
        <v>3</v>
      </c>
      <c r="J729" s="7">
        <v>0.24652777777777779</v>
      </c>
      <c r="K729" s="7">
        <v>0.24652777777777779</v>
      </c>
      <c r="L729" s="3">
        <f t="shared" si="23"/>
        <v>1</v>
      </c>
      <c r="M729" s="3">
        <f t="shared" si="24"/>
        <v>1</v>
      </c>
      <c r="N729" s="29">
        <f>_xlfn.MAXIFS($G$7:G728,$E$7:E728,detalhe_carro1[[#This Row],[Nó]],$B$7:B728,detalhe_carro1[[#This Row],[Numero Voltas]],$L$7:L728,1)</f>
        <v>1369</v>
      </c>
      <c r="O729" s="3">
        <f>IF(OR(detalhe_carro1[[#This Row],[Ultima Chegada]]=0,detalhe_carro1[[#This Row],[Chegada]]=0),"",detalhe_carro1[[#This Row],[Hora Inicio]]-detalhe_carro1[[#This Row],[Ultima Chegada]])</f>
        <v>6</v>
      </c>
      <c r="P729" s="3">
        <f>IF(detalhe_carro1[[#This Row],[Tipo]]="Visitar Nó",((detalhe_carro1[[#This Row],[Hora Fim]]-detalhe_carro1[[#This Row],[Hora Inicio]])/60*velocidade_nos),0)</f>
        <v>0</v>
      </c>
      <c r="Q729" s="29">
        <f>detalhe_carro1[[#This Row],[Kms Nós]]+detalhe_carro1[[#This Row],[kms]]</f>
        <v>3</v>
      </c>
    </row>
    <row r="730" spans="2:17" x14ac:dyDescent="0.25">
      <c r="B730" s="3">
        <v>4</v>
      </c>
      <c r="C730">
        <v>2</v>
      </c>
      <c r="D730">
        <v>5</v>
      </c>
      <c r="E730" s="29" t="s">
        <v>29</v>
      </c>
      <c r="F730" s="3">
        <v>1378</v>
      </c>
      <c r="G730" s="3">
        <v>1378</v>
      </c>
      <c r="H730" s="29" t="s">
        <v>51</v>
      </c>
      <c r="I730" s="3">
        <v>3</v>
      </c>
      <c r="J730" s="7">
        <v>0.24861111111111112</v>
      </c>
      <c r="K730" s="7">
        <v>0.24861111111111112</v>
      </c>
      <c r="L730" s="3">
        <f t="shared" si="23"/>
        <v>1</v>
      </c>
      <c r="M730" s="3">
        <f t="shared" si="24"/>
        <v>1</v>
      </c>
      <c r="N730" s="29">
        <f>_xlfn.MAXIFS($G$7:G729,$E$7:E729,detalhe_carro1[[#This Row],[Nó]],$B$7:B729,detalhe_carro1[[#This Row],[Numero Voltas]],$L$7:L729,1)</f>
        <v>1366</v>
      </c>
      <c r="O730" s="3">
        <f>IF(OR(detalhe_carro1[[#This Row],[Ultima Chegada]]=0,detalhe_carro1[[#This Row],[Chegada]]=0),"",detalhe_carro1[[#This Row],[Hora Inicio]]-detalhe_carro1[[#This Row],[Ultima Chegada]])</f>
        <v>12</v>
      </c>
      <c r="P730" s="3">
        <f>IF(detalhe_carro1[[#This Row],[Tipo]]="Visitar Nó",((detalhe_carro1[[#This Row],[Hora Fim]]-detalhe_carro1[[#This Row],[Hora Inicio]])/60*velocidade_nos),0)</f>
        <v>0</v>
      </c>
      <c r="Q730" s="29">
        <f>detalhe_carro1[[#This Row],[Kms Nós]]+detalhe_carro1[[#This Row],[kms]]</f>
        <v>3</v>
      </c>
    </row>
    <row r="731" spans="2:17" x14ac:dyDescent="0.25">
      <c r="B731" s="3">
        <v>4</v>
      </c>
      <c r="C731">
        <v>2</v>
      </c>
      <c r="D731">
        <v>4</v>
      </c>
      <c r="E731" s="29" t="s">
        <v>27</v>
      </c>
      <c r="F731" s="3">
        <v>1381</v>
      </c>
      <c r="G731" s="3">
        <v>1381</v>
      </c>
      <c r="H731" s="29" t="s">
        <v>51</v>
      </c>
      <c r="I731" s="3">
        <v>3</v>
      </c>
      <c r="J731" s="7">
        <v>0.25069444444444444</v>
      </c>
      <c r="K731" s="7">
        <v>0.25069444444444444</v>
      </c>
      <c r="L731" s="3">
        <f t="shared" si="23"/>
        <v>1</v>
      </c>
      <c r="M731" s="3">
        <f t="shared" si="24"/>
        <v>1</v>
      </c>
      <c r="N731" s="29">
        <f>_xlfn.MAXIFS($G$7:G730,$E$7:E730,detalhe_carro1[[#This Row],[Nó]],$B$7:B730,detalhe_carro1[[#This Row],[Numero Voltas]],$L$7:L730,1)</f>
        <v>1363</v>
      </c>
      <c r="O731" s="3">
        <f>IF(OR(detalhe_carro1[[#This Row],[Ultima Chegada]]=0,detalhe_carro1[[#This Row],[Chegada]]=0),"",detalhe_carro1[[#This Row],[Hora Inicio]]-detalhe_carro1[[#This Row],[Ultima Chegada]])</f>
        <v>18</v>
      </c>
      <c r="P731" s="3">
        <f>IF(detalhe_carro1[[#This Row],[Tipo]]="Visitar Nó",((detalhe_carro1[[#This Row],[Hora Fim]]-detalhe_carro1[[#This Row],[Hora Inicio]])/60*velocidade_nos),0)</f>
        <v>0</v>
      </c>
      <c r="Q731" s="29">
        <f>detalhe_carro1[[#This Row],[Kms Nós]]+detalhe_carro1[[#This Row],[kms]]</f>
        <v>3</v>
      </c>
    </row>
    <row r="732" spans="2:17" x14ac:dyDescent="0.25">
      <c r="B732" s="3">
        <v>4</v>
      </c>
      <c r="C732">
        <v>2</v>
      </c>
      <c r="D732">
        <v>3</v>
      </c>
      <c r="E732" s="29" t="s">
        <v>26</v>
      </c>
      <c r="F732" s="3">
        <v>1382</v>
      </c>
      <c r="G732" s="3">
        <v>1382</v>
      </c>
      <c r="H732" s="29" t="s">
        <v>51</v>
      </c>
      <c r="I732" s="3">
        <v>1</v>
      </c>
      <c r="J732" s="7">
        <v>0.25138888888888888</v>
      </c>
      <c r="K732" s="7">
        <v>0.25138888888888888</v>
      </c>
      <c r="L732" s="3">
        <f t="shared" si="23"/>
        <v>1</v>
      </c>
      <c r="M732" s="3">
        <f t="shared" si="24"/>
        <v>1</v>
      </c>
      <c r="N732" s="29">
        <f>_xlfn.MAXIFS($G$7:G731,$E$7:E731,detalhe_carro1[[#This Row],[Nó]],$B$7:B731,detalhe_carro1[[#This Row],[Numero Voltas]],$L$7:L731,1)</f>
        <v>1362</v>
      </c>
      <c r="O732" s="3">
        <f>IF(OR(detalhe_carro1[[#This Row],[Ultima Chegada]]=0,detalhe_carro1[[#This Row],[Chegada]]=0),"",detalhe_carro1[[#This Row],[Hora Inicio]]-detalhe_carro1[[#This Row],[Ultima Chegada]])</f>
        <v>20</v>
      </c>
      <c r="P732" s="3">
        <f>IF(detalhe_carro1[[#This Row],[Tipo]]="Visitar Nó",((detalhe_carro1[[#This Row],[Hora Fim]]-detalhe_carro1[[#This Row],[Hora Inicio]])/60*velocidade_nos),0)</f>
        <v>0</v>
      </c>
      <c r="Q732" s="29">
        <f>detalhe_carro1[[#This Row],[Kms Nós]]+detalhe_carro1[[#This Row],[kms]]</f>
        <v>1</v>
      </c>
    </row>
    <row r="733" spans="2:17" x14ac:dyDescent="0.25">
      <c r="B733" s="3">
        <v>4</v>
      </c>
      <c r="C733">
        <v>2</v>
      </c>
      <c r="D733">
        <v>2</v>
      </c>
      <c r="E733" s="29" t="s">
        <v>24</v>
      </c>
      <c r="F733" s="3">
        <v>1383</v>
      </c>
      <c r="G733" s="3">
        <v>1383</v>
      </c>
      <c r="H733" s="29" t="s">
        <v>51</v>
      </c>
      <c r="I733" s="3">
        <v>1</v>
      </c>
      <c r="J733" s="7">
        <v>0.25208333333333333</v>
      </c>
      <c r="K733" s="7">
        <v>0.25208333333333333</v>
      </c>
      <c r="L733" s="3">
        <f t="shared" si="23"/>
        <v>1</v>
      </c>
      <c r="M733" s="3">
        <f t="shared" si="24"/>
        <v>1</v>
      </c>
      <c r="N733" s="29">
        <f>_xlfn.MAXIFS($G$7:G732,$E$7:E732,detalhe_carro1[[#This Row],[Nó]],$B$7:B732,detalhe_carro1[[#This Row],[Numero Voltas]],$L$7:L732,1)</f>
        <v>1361</v>
      </c>
      <c r="O733" s="3">
        <f>IF(OR(detalhe_carro1[[#This Row],[Ultima Chegada]]=0,detalhe_carro1[[#This Row],[Chegada]]=0),"",detalhe_carro1[[#This Row],[Hora Inicio]]-detalhe_carro1[[#This Row],[Ultima Chegada]])</f>
        <v>22</v>
      </c>
      <c r="P733" s="3">
        <f>IF(detalhe_carro1[[#This Row],[Tipo]]="Visitar Nó",((detalhe_carro1[[#This Row],[Hora Fim]]-detalhe_carro1[[#This Row],[Hora Inicio]])/60*velocidade_nos),0)</f>
        <v>0</v>
      </c>
      <c r="Q733" s="29">
        <f>detalhe_carro1[[#This Row],[Kms Nós]]+detalhe_carro1[[#This Row],[kms]]</f>
        <v>1</v>
      </c>
    </row>
    <row r="734" spans="2:17" x14ac:dyDescent="0.25">
      <c r="B734" s="3">
        <v>4</v>
      </c>
      <c r="C734">
        <v>2</v>
      </c>
      <c r="D734">
        <v>1</v>
      </c>
      <c r="E734" s="29" t="s">
        <v>22</v>
      </c>
      <c r="F734" s="3">
        <v>1390</v>
      </c>
      <c r="G734" s="3">
        <v>1390</v>
      </c>
      <c r="H734" s="29" t="s">
        <v>51</v>
      </c>
      <c r="I734" s="3">
        <v>7</v>
      </c>
      <c r="J734" s="7">
        <v>0.25694444444444442</v>
      </c>
      <c r="K734" s="7">
        <v>0.25694444444444442</v>
      </c>
      <c r="L734" s="3">
        <f t="shared" si="23"/>
        <v>1</v>
      </c>
      <c r="M734" s="3">
        <f t="shared" si="24"/>
        <v>1</v>
      </c>
      <c r="N734" s="29">
        <f>_xlfn.MAXIFS($G$7:G733,$E$7:E733,detalhe_carro1[[#This Row],[Nó]],$B$7:B733,detalhe_carro1[[#This Row],[Numero Voltas]],$L$7:L733,1)</f>
        <v>1354</v>
      </c>
      <c r="O734" s="3">
        <f>IF(OR(detalhe_carro1[[#This Row],[Ultima Chegada]]=0,detalhe_carro1[[#This Row],[Chegada]]=0),"",detalhe_carro1[[#This Row],[Hora Inicio]]-detalhe_carro1[[#This Row],[Ultima Chegada]])</f>
        <v>36</v>
      </c>
      <c r="P734" s="3">
        <f>IF(detalhe_carro1[[#This Row],[Tipo]]="Visitar Nó",((detalhe_carro1[[#This Row],[Hora Fim]]-detalhe_carro1[[#This Row],[Hora Inicio]])/60*velocidade_nos),0)</f>
        <v>0</v>
      </c>
      <c r="Q734" s="29">
        <f>detalhe_carro1[[#This Row],[Kms Nós]]+detalhe_carro1[[#This Row],[kms]]</f>
        <v>7</v>
      </c>
    </row>
    <row r="735" spans="2:17" x14ac:dyDescent="0.25">
      <c r="B735" s="3">
        <v>4</v>
      </c>
      <c r="C735">
        <v>2</v>
      </c>
      <c r="D735">
        <v>0</v>
      </c>
      <c r="E735" s="29" t="s">
        <v>20</v>
      </c>
      <c r="F735" s="3">
        <v>1391</v>
      </c>
      <c r="G735" s="3">
        <v>1391</v>
      </c>
      <c r="H735" s="29" t="s">
        <v>51</v>
      </c>
      <c r="I735" s="3">
        <v>1</v>
      </c>
      <c r="J735" s="7">
        <v>0.25763888888888886</v>
      </c>
      <c r="K735" s="7">
        <v>0.25763888888888886</v>
      </c>
      <c r="L735" s="3">
        <f t="shared" si="23"/>
        <v>0</v>
      </c>
      <c r="M735" s="3">
        <f t="shared" si="24"/>
        <v>1</v>
      </c>
      <c r="N735" s="29">
        <f>_xlfn.MAXIFS($G$7:G734,$E$7:E734,detalhe_carro1[[#This Row],[Nó]],$B$7:B734,detalhe_carro1[[#This Row],[Numero Voltas]],$L$7:L734,1)</f>
        <v>1353</v>
      </c>
      <c r="O735" s="3">
        <f>IF(OR(detalhe_carro1[[#This Row],[Ultima Chegada]]=0,detalhe_carro1[[#This Row],[Chegada]]=0),"",detalhe_carro1[[#This Row],[Hora Inicio]]-detalhe_carro1[[#This Row],[Ultima Chegada]])</f>
        <v>38</v>
      </c>
      <c r="P735" s="3">
        <f>IF(detalhe_carro1[[#This Row],[Tipo]]="Visitar Nó",((detalhe_carro1[[#This Row],[Hora Fim]]-detalhe_carro1[[#This Row],[Hora Inicio]])/60*velocidade_nos),0)</f>
        <v>0</v>
      </c>
      <c r="Q735" s="29">
        <f>detalhe_carro1[[#This Row],[Kms Nós]]+detalhe_carro1[[#This Row],[kms]]</f>
        <v>1</v>
      </c>
    </row>
    <row r="736" spans="2:17" x14ac:dyDescent="0.25">
      <c r="B736" s="3">
        <v>4</v>
      </c>
      <c r="C736">
        <v>2</v>
      </c>
      <c r="D736">
        <v>0</v>
      </c>
      <c r="E736" s="29" t="s">
        <v>20</v>
      </c>
      <c r="F736" s="3">
        <v>1391</v>
      </c>
      <c r="G736" s="3">
        <v>1391</v>
      </c>
      <c r="H736" s="29" t="s">
        <v>51</v>
      </c>
      <c r="I736" s="3">
        <v>1</v>
      </c>
      <c r="J736" s="7">
        <v>0.25763888888888886</v>
      </c>
      <c r="K736" s="7">
        <v>0.25763888888888886</v>
      </c>
      <c r="L736" s="3">
        <f t="shared" si="23"/>
        <v>1</v>
      </c>
      <c r="M736" s="3">
        <f t="shared" si="24"/>
        <v>0</v>
      </c>
      <c r="N736" s="29">
        <f>_xlfn.MAXIFS($G$7:G735,$E$7:E735,detalhe_carro1[[#This Row],[Nó]],$B$7:B735,detalhe_carro1[[#This Row],[Numero Voltas]],$L$7:L735,1)</f>
        <v>1353</v>
      </c>
      <c r="O736" s="3" t="str">
        <f>IF(OR(detalhe_carro1[[#This Row],[Ultima Chegada]]=0,detalhe_carro1[[#This Row],[Chegada]]=0),"",detalhe_carro1[[#This Row],[Hora Inicio]]-detalhe_carro1[[#This Row],[Ultima Chegada]])</f>
        <v/>
      </c>
      <c r="P736" s="3">
        <f>IF(detalhe_carro1[[#This Row],[Tipo]]="Visitar Nó",((detalhe_carro1[[#This Row],[Hora Fim]]-detalhe_carro1[[#This Row],[Hora Inicio]])/60*velocidade_nos),0)</f>
        <v>0</v>
      </c>
      <c r="Q736" s="29">
        <f>detalhe_carro1[[#This Row],[Kms Nós]]+detalhe_carro1[[#This Row],[kms]]</f>
        <v>1</v>
      </c>
    </row>
    <row r="737" spans="2:17" x14ac:dyDescent="0.25">
      <c r="B737" s="3">
        <v>4</v>
      </c>
      <c r="C737">
        <v>2</v>
      </c>
      <c r="D737">
        <v>1</v>
      </c>
      <c r="E737" s="29" t="s">
        <v>22</v>
      </c>
      <c r="F737" s="3">
        <v>1392</v>
      </c>
      <c r="G737" s="3">
        <v>1392</v>
      </c>
      <c r="H737" s="29" t="s">
        <v>51</v>
      </c>
      <c r="I737" s="3">
        <v>1</v>
      </c>
      <c r="J737" s="7">
        <v>0.25833333333333336</v>
      </c>
      <c r="K737" s="7">
        <v>0.25833333333333336</v>
      </c>
      <c r="L737" s="3">
        <f t="shared" si="23"/>
        <v>1</v>
      </c>
      <c r="M737" s="3">
        <f t="shared" si="24"/>
        <v>1</v>
      </c>
      <c r="N737" s="29">
        <f>_xlfn.MAXIFS($G$7:G736,$E$7:E736,detalhe_carro1[[#This Row],[Nó]],$B$7:B736,detalhe_carro1[[#This Row],[Numero Voltas]],$L$7:L736,1)</f>
        <v>1390</v>
      </c>
      <c r="O737" s="3">
        <f>IF(OR(detalhe_carro1[[#This Row],[Ultima Chegada]]=0,detalhe_carro1[[#This Row],[Chegada]]=0),"",detalhe_carro1[[#This Row],[Hora Inicio]]-detalhe_carro1[[#This Row],[Ultima Chegada]])</f>
        <v>2</v>
      </c>
      <c r="P737" s="3">
        <f>IF(detalhe_carro1[[#This Row],[Tipo]]="Visitar Nó",((detalhe_carro1[[#This Row],[Hora Fim]]-detalhe_carro1[[#This Row],[Hora Inicio]])/60*velocidade_nos),0)</f>
        <v>0</v>
      </c>
      <c r="Q737" s="29">
        <f>detalhe_carro1[[#This Row],[Kms Nós]]+detalhe_carro1[[#This Row],[kms]]</f>
        <v>1</v>
      </c>
    </row>
    <row r="738" spans="2:17" x14ac:dyDescent="0.25">
      <c r="B738" s="3">
        <v>4</v>
      </c>
      <c r="C738">
        <v>2</v>
      </c>
      <c r="D738">
        <v>2</v>
      </c>
      <c r="E738" s="29" t="s">
        <v>24</v>
      </c>
      <c r="F738" s="3">
        <v>1399</v>
      </c>
      <c r="G738" s="3">
        <v>1399</v>
      </c>
      <c r="H738" s="29" t="s">
        <v>51</v>
      </c>
      <c r="I738" s="3">
        <v>7</v>
      </c>
      <c r="J738" s="7">
        <v>0.26319444444444445</v>
      </c>
      <c r="K738" s="7">
        <v>0.26319444444444445</v>
      </c>
      <c r="L738" s="3">
        <f t="shared" si="23"/>
        <v>1</v>
      </c>
      <c r="M738" s="3">
        <f t="shared" si="24"/>
        <v>1</v>
      </c>
      <c r="N738" s="29">
        <f>_xlfn.MAXIFS($G$7:G737,$E$7:E737,detalhe_carro1[[#This Row],[Nó]],$B$7:B737,detalhe_carro1[[#This Row],[Numero Voltas]],$L$7:L737,1)</f>
        <v>1383</v>
      </c>
      <c r="O738" s="3">
        <f>IF(OR(detalhe_carro1[[#This Row],[Ultima Chegada]]=0,detalhe_carro1[[#This Row],[Chegada]]=0),"",detalhe_carro1[[#This Row],[Hora Inicio]]-detalhe_carro1[[#This Row],[Ultima Chegada]])</f>
        <v>16</v>
      </c>
      <c r="P738" s="3">
        <f>IF(detalhe_carro1[[#This Row],[Tipo]]="Visitar Nó",((detalhe_carro1[[#This Row],[Hora Fim]]-detalhe_carro1[[#This Row],[Hora Inicio]])/60*velocidade_nos),0)</f>
        <v>0</v>
      </c>
      <c r="Q738" s="29">
        <f>detalhe_carro1[[#This Row],[Kms Nós]]+detalhe_carro1[[#This Row],[kms]]</f>
        <v>7</v>
      </c>
    </row>
    <row r="739" spans="2:17" x14ac:dyDescent="0.25">
      <c r="B739" s="3">
        <v>4</v>
      </c>
      <c r="C739">
        <v>2</v>
      </c>
      <c r="D739">
        <v>3</v>
      </c>
      <c r="E739" s="29" t="s">
        <v>26</v>
      </c>
      <c r="F739" s="3">
        <v>1400</v>
      </c>
      <c r="G739" s="3">
        <v>1400</v>
      </c>
      <c r="H739" s="29" t="s">
        <v>51</v>
      </c>
      <c r="I739" s="3">
        <v>1</v>
      </c>
      <c r="J739" s="7">
        <v>0.2638888888888889</v>
      </c>
      <c r="K739" s="7">
        <v>0.2638888888888889</v>
      </c>
      <c r="L739" s="3">
        <f t="shared" si="23"/>
        <v>1</v>
      </c>
      <c r="M739" s="3">
        <f t="shared" si="24"/>
        <v>1</v>
      </c>
      <c r="N739" s="29">
        <f>_xlfn.MAXIFS($G$7:G738,$E$7:E738,detalhe_carro1[[#This Row],[Nó]],$B$7:B738,detalhe_carro1[[#This Row],[Numero Voltas]],$L$7:L738,1)</f>
        <v>1382</v>
      </c>
      <c r="O739" s="3">
        <f>IF(OR(detalhe_carro1[[#This Row],[Ultima Chegada]]=0,detalhe_carro1[[#This Row],[Chegada]]=0),"",detalhe_carro1[[#This Row],[Hora Inicio]]-detalhe_carro1[[#This Row],[Ultima Chegada]])</f>
        <v>18</v>
      </c>
      <c r="P739" s="3">
        <f>IF(detalhe_carro1[[#This Row],[Tipo]]="Visitar Nó",((detalhe_carro1[[#This Row],[Hora Fim]]-detalhe_carro1[[#This Row],[Hora Inicio]])/60*velocidade_nos),0)</f>
        <v>0</v>
      </c>
      <c r="Q739" s="29">
        <f>detalhe_carro1[[#This Row],[Kms Nós]]+detalhe_carro1[[#This Row],[kms]]</f>
        <v>1</v>
      </c>
    </row>
    <row r="740" spans="2:17" x14ac:dyDescent="0.25">
      <c r="B740" s="3">
        <v>4</v>
      </c>
      <c r="C740">
        <v>2</v>
      </c>
      <c r="D740">
        <v>4</v>
      </c>
      <c r="E740" s="29" t="s">
        <v>27</v>
      </c>
      <c r="F740" s="3">
        <v>1401</v>
      </c>
      <c r="G740" s="3">
        <v>1401</v>
      </c>
      <c r="H740" s="29" t="s">
        <v>51</v>
      </c>
      <c r="I740" s="3">
        <v>1</v>
      </c>
      <c r="J740" s="7">
        <v>0.26458333333333334</v>
      </c>
      <c r="K740" s="7">
        <v>0.26458333333333334</v>
      </c>
      <c r="L740" s="3">
        <f t="shared" si="23"/>
        <v>1</v>
      </c>
      <c r="M740" s="3">
        <f t="shared" si="24"/>
        <v>1</v>
      </c>
      <c r="N740" s="29">
        <f>_xlfn.MAXIFS($G$7:G739,$E$7:E739,detalhe_carro1[[#This Row],[Nó]],$B$7:B739,detalhe_carro1[[#This Row],[Numero Voltas]],$L$7:L739,1)</f>
        <v>1381</v>
      </c>
      <c r="O740" s="3">
        <f>IF(OR(detalhe_carro1[[#This Row],[Ultima Chegada]]=0,detalhe_carro1[[#This Row],[Chegada]]=0),"",detalhe_carro1[[#This Row],[Hora Inicio]]-detalhe_carro1[[#This Row],[Ultima Chegada]])</f>
        <v>20</v>
      </c>
      <c r="P740" s="3">
        <f>IF(detalhe_carro1[[#This Row],[Tipo]]="Visitar Nó",((detalhe_carro1[[#This Row],[Hora Fim]]-detalhe_carro1[[#This Row],[Hora Inicio]])/60*velocidade_nos),0)</f>
        <v>0</v>
      </c>
      <c r="Q740" s="29">
        <f>detalhe_carro1[[#This Row],[Kms Nós]]+detalhe_carro1[[#This Row],[kms]]</f>
        <v>1</v>
      </c>
    </row>
    <row r="741" spans="2:17" x14ac:dyDescent="0.25">
      <c r="B741" s="3">
        <v>4</v>
      </c>
      <c r="C741">
        <v>2</v>
      </c>
      <c r="D741">
        <v>5</v>
      </c>
      <c r="E741" s="29" t="s">
        <v>29</v>
      </c>
      <c r="F741" s="3">
        <v>1404</v>
      </c>
      <c r="G741" s="3">
        <v>1404</v>
      </c>
      <c r="H741" s="29" t="s">
        <v>51</v>
      </c>
      <c r="I741" s="3">
        <v>3</v>
      </c>
      <c r="J741" s="7">
        <v>0.26666666666666666</v>
      </c>
      <c r="K741" s="7">
        <v>0.26666666666666666</v>
      </c>
      <c r="L741" s="3">
        <f t="shared" si="23"/>
        <v>1</v>
      </c>
      <c r="M741" s="3">
        <f t="shared" si="24"/>
        <v>1</v>
      </c>
      <c r="N741" s="29">
        <f>_xlfn.MAXIFS($G$7:G740,$E$7:E740,detalhe_carro1[[#This Row],[Nó]],$B$7:B740,detalhe_carro1[[#This Row],[Numero Voltas]],$L$7:L740,1)</f>
        <v>1378</v>
      </c>
      <c r="O741" s="3">
        <f>IF(OR(detalhe_carro1[[#This Row],[Ultima Chegada]]=0,detalhe_carro1[[#This Row],[Chegada]]=0),"",detalhe_carro1[[#This Row],[Hora Inicio]]-detalhe_carro1[[#This Row],[Ultima Chegada]])</f>
        <v>26</v>
      </c>
      <c r="P741" s="3">
        <f>IF(detalhe_carro1[[#This Row],[Tipo]]="Visitar Nó",((detalhe_carro1[[#This Row],[Hora Fim]]-detalhe_carro1[[#This Row],[Hora Inicio]])/60*velocidade_nos),0)</f>
        <v>0</v>
      </c>
      <c r="Q741" s="29">
        <f>detalhe_carro1[[#This Row],[Kms Nós]]+detalhe_carro1[[#This Row],[kms]]</f>
        <v>3</v>
      </c>
    </row>
    <row r="742" spans="2:17" x14ac:dyDescent="0.25">
      <c r="B742" s="3">
        <v>4</v>
      </c>
      <c r="C742">
        <v>2</v>
      </c>
      <c r="D742">
        <v>6</v>
      </c>
      <c r="E742" s="29" t="s">
        <v>31</v>
      </c>
      <c r="F742" s="3">
        <v>1407</v>
      </c>
      <c r="G742" s="3">
        <v>1407</v>
      </c>
      <c r="H742" s="29" t="s">
        <v>51</v>
      </c>
      <c r="I742" s="3">
        <v>3</v>
      </c>
      <c r="J742" s="7">
        <v>0.26874999999999999</v>
      </c>
      <c r="K742" s="7">
        <v>0.26874999999999999</v>
      </c>
      <c r="L742" s="3">
        <f t="shared" si="23"/>
        <v>1</v>
      </c>
      <c r="M742" s="3">
        <f t="shared" si="24"/>
        <v>1</v>
      </c>
      <c r="N742" s="29">
        <f>_xlfn.MAXIFS($G$7:G741,$E$7:E741,detalhe_carro1[[#This Row],[Nó]],$B$7:B741,detalhe_carro1[[#This Row],[Numero Voltas]],$L$7:L741,1)</f>
        <v>1375</v>
      </c>
      <c r="O742" s="3">
        <f>IF(OR(detalhe_carro1[[#This Row],[Ultima Chegada]]=0,detalhe_carro1[[#This Row],[Chegada]]=0),"",detalhe_carro1[[#This Row],[Hora Inicio]]-detalhe_carro1[[#This Row],[Ultima Chegada]])</f>
        <v>32</v>
      </c>
      <c r="P742" s="3">
        <f>IF(detalhe_carro1[[#This Row],[Tipo]]="Visitar Nó",((detalhe_carro1[[#This Row],[Hora Fim]]-detalhe_carro1[[#This Row],[Hora Inicio]])/60*velocidade_nos),0)</f>
        <v>0</v>
      </c>
      <c r="Q742" s="29">
        <f>detalhe_carro1[[#This Row],[Kms Nós]]+detalhe_carro1[[#This Row],[kms]]</f>
        <v>3</v>
      </c>
    </row>
    <row r="743" spans="2:17" x14ac:dyDescent="0.25">
      <c r="B743" s="3">
        <v>4</v>
      </c>
      <c r="C743">
        <v>2</v>
      </c>
      <c r="D743">
        <v>7</v>
      </c>
      <c r="E743" s="29" t="s">
        <v>33</v>
      </c>
      <c r="F743" s="3">
        <v>1410</v>
      </c>
      <c r="G743" s="3">
        <v>1410</v>
      </c>
      <c r="H743" s="29" t="s">
        <v>51</v>
      </c>
      <c r="I743" s="3">
        <v>3</v>
      </c>
      <c r="J743" s="7">
        <v>0.27083333333333331</v>
      </c>
      <c r="K743" s="7">
        <v>0.27083333333333331</v>
      </c>
      <c r="L743" s="3">
        <f t="shared" si="23"/>
        <v>0</v>
      </c>
      <c r="M743" s="3">
        <f t="shared" si="24"/>
        <v>1</v>
      </c>
      <c r="N743" s="29">
        <f>_xlfn.MAXIFS($G$7:G742,$E$7:E742,detalhe_carro1[[#This Row],[Nó]],$B$7:B742,detalhe_carro1[[#This Row],[Numero Voltas]],$L$7:L742,1)</f>
        <v>1372</v>
      </c>
      <c r="O743" s="3">
        <f>IF(OR(detalhe_carro1[[#This Row],[Ultima Chegada]]=0,detalhe_carro1[[#This Row],[Chegada]]=0),"",detalhe_carro1[[#This Row],[Hora Inicio]]-detalhe_carro1[[#This Row],[Ultima Chegada]])</f>
        <v>38</v>
      </c>
      <c r="P743" s="3">
        <f>IF(detalhe_carro1[[#This Row],[Tipo]]="Visitar Nó",((detalhe_carro1[[#This Row],[Hora Fim]]-detalhe_carro1[[#This Row],[Hora Inicio]])/60*velocidade_nos),0)</f>
        <v>0</v>
      </c>
      <c r="Q743" s="29">
        <f>detalhe_carro1[[#This Row],[Kms Nós]]+detalhe_carro1[[#This Row],[kms]]</f>
        <v>3</v>
      </c>
    </row>
    <row r="744" spans="2:17" x14ac:dyDescent="0.25">
      <c r="B744" s="3">
        <v>4</v>
      </c>
      <c r="C744">
        <v>2</v>
      </c>
      <c r="D744">
        <v>7</v>
      </c>
      <c r="E744" s="29" t="s">
        <v>33</v>
      </c>
      <c r="F744" s="3">
        <v>1410</v>
      </c>
      <c r="G744" s="3">
        <v>1410</v>
      </c>
      <c r="H744" s="29" t="s">
        <v>51</v>
      </c>
      <c r="I744" s="3">
        <v>3</v>
      </c>
      <c r="J744" s="7">
        <v>0.27083333333333331</v>
      </c>
      <c r="K744" s="7">
        <v>0.27083333333333331</v>
      </c>
      <c r="L744" s="3">
        <f t="shared" si="23"/>
        <v>1</v>
      </c>
      <c r="M744" s="3">
        <f t="shared" si="24"/>
        <v>0</v>
      </c>
      <c r="N744" s="29">
        <f>_xlfn.MAXIFS($G$7:G743,$E$7:E743,detalhe_carro1[[#This Row],[Nó]],$B$7:B743,detalhe_carro1[[#This Row],[Numero Voltas]],$L$7:L743,1)</f>
        <v>1372</v>
      </c>
      <c r="O744" s="3" t="str">
        <f>IF(OR(detalhe_carro1[[#This Row],[Ultima Chegada]]=0,detalhe_carro1[[#This Row],[Chegada]]=0),"",detalhe_carro1[[#This Row],[Hora Inicio]]-detalhe_carro1[[#This Row],[Ultima Chegada]])</f>
        <v/>
      </c>
      <c r="P744" s="3">
        <f>IF(detalhe_carro1[[#This Row],[Tipo]]="Visitar Nó",((detalhe_carro1[[#This Row],[Hora Fim]]-detalhe_carro1[[#This Row],[Hora Inicio]])/60*velocidade_nos),0)</f>
        <v>0</v>
      </c>
      <c r="Q744" s="29">
        <f>detalhe_carro1[[#This Row],[Kms Nós]]+detalhe_carro1[[#This Row],[kms]]</f>
        <v>3</v>
      </c>
    </row>
    <row r="745" spans="2:17" x14ac:dyDescent="0.25">
      <c r="B745" s="3">
        <v>4</v>
      </c>
      <c r="C745">
        <v>2</v>
      </c>
      <c r="D745">
        <v>6</v>
      </c>
      <c r="E745" s="29" t="s">
        <v>31</v>
      </c>
      <c r="F745" s="3">
        <v>1413</v>
      </c>
      <c r="G745" s="3">
        <v>1413</v>
      </c>
      <c r="H745" s="29" t="s">
        <v>51</v>
      </c>
      <c r="I745" s="3">
        <v>3</v>
      </c>
      <c r="J745" s="7">
        <v>0.27291666666666664</v>
      </c>
      <c r="K745" s="7">
        <v>0.27291666666666664</v>
      </c>
      <c r="L745" s="3">
        <f t="shared" si="23"/>
        <v>1</v>
      </c>
      <c r="M745" s="3">
        <f t="shared" si="24"/>
        <v>1</v>
      </c>
      <c r="N745" s="29">
        <f>_xlfn.MAXIFS($G$7:G744,$E$7:E744,detalhe_carro1[[#This Row],[Nó]],$B$7:B744,detalhe_carro1[[#This Row],[Numero Voltas]],$L$7:L744,1)</f>
        <v>1407</v>
      </c>
      <c r="O745" s="3">
        <f>IF(OR(detalhe_carro1[[#This Row],[Ultima Chegada]]=0,detalhe_carro1[[#This Row],[Chegada]]=0),"",detalhe_carro1[[#This Row],[Hora Inicio]]-detalhe_carro1[[#This Row],[Ultima Chegada]])</f>
        <v>6</v>
      </c>
      <c r="P745" s="3">
        <f>IF(detalhe_carro1[[#This Row],[Tipo]]="Visitar Nó",((detalhe_carro1[[#This Row],[Hora Fim]]-detalhe_carro1[[#This Row],[Hora Inicio]])/60*velocidade_nos),0)</f>
        <v>0</v>
      </c>
      <c r="Q745" s="29">
        <f>detalhe_carro1[[#This Row],[Kms Nós]]+detalhe_carro1[[#This Row],[kms]]</f>
        <v>3</v>
      </c>
    </row>
    <row r="746" spans="2:17" x14ac:dyDescent="0.25">
      <c r="B746" s="3">
        <v>4</v>
      </c>
      <c r="C746">
        <v>2</v>
      </c>
      <c r="D746">
        <v>5</v>
      </c>
      <c r="E746" s="29" t="s">
        <v>29</v>
      </c>
      <c r="F746" s="3">
        <v>1416</v>
      </c>
      <c r="G746" s="3">
        <v>1416</v>
      </c>
      <c r="H746" s="29" t="s">
        <v>51</v>
      </c>
      <c r="I746" s="3">
        <v>3</v>
      </c>
      <c r="J746" s="7">
        <v>0.27500000000000002</v>
      </c>
      <c r="K746" s="7">
        <v>0.27500000000000002</v>
      </c>
      <c r="L746" s="3">
        <f t="shared" si="23"/>
        <v>1</v>
      </c>
      <c r="M746" s="3">
        <f t="shared" si="24"/>
        <v>1</v>
      </c>
      <c r="N746" s="29">
        <f>_xlfn.MAXIFS($G$7:G745,$E$7:E745,detalhe_carro1[[#This Row],[Nó]],$B$7:B745,detalhe_carro1[[#This Row],[Numero Voltas]],$L$7:L745,1)</f>
        <v>1404</v>
      </c>
      <c r="O746" s="3">
        <f>IF(OR(detalhe_carro1[[#This Row],[Ultima Chegada]]=0,detalhe_carro1[[#This Row],[Chegada]]=0),"",detalhe_carro1[[#This Row],[Hora Inicio]]-detalhe_carro1[[#This Row],[Ultima Chegada]])</f>
        <v>12</v>
      </c>
      <c r="P746" s="3">
        <f>IF(detalhe_carro1[[#This Row],[Tipo]]="Visitar Nó",((detalhe_carro1[[#This Row],[Hora Fim]]-detalhe_carro1[[#This Row],[Hora Inicio]])/60*velocidade_nos),0)</f>
        <v>0</v>
      </c>
      <c r="Q746" s="29">
        <f>detalhe_carro1[[#This Row],[Kms Nós]]+detalhe_carro1[[#This Row],[kms]]</f>
        <v>3</v>
      </c>
    </row>
    <row r="747" spans="2:17" x14ac:dyDescent="0.25">
      <c r="B747" s="3">
        <v>4</v>
      </c>
      <c r="C747">
        <v>2</v>
      </c>
      <c r="D747">
        <v>4</v>
      </c>
      <c r="E747" s="29" t="s">
        <v>27</v>
      </c>
      <c r="F747" s="3">
        <v>1419</v>
      </c>
      <c r="G747" s="3">
        <v>1419</v>
      </c>
      <c r="H747" s="29" t="s">
        <v>51</v>
      </c>
      <c r="I747" s="3">
        <v>3</v>
      </c>
      <c r="J747" s="7">
        <v>0.27708333333333335</v>
      </c>
      <c r="K747" s="7">
        <v>0.27708333333333335</v>
      </c>
      <c r="L747" s="3">
        <f t="shared" si="23"/>
        <v>1</v>
      </c>
      <c r="M747" s="3">
        <f t="shared" si="24"/>
        <v>1</v>
      </c>
      <c r="N747" s="29">
        <f>_xlfn.MAXIFS($G$7:G746,$E$7:E746,detalhe_carro1[[#This Row],[Nó]],$B$7:B746,detalhe_carro1[[#This Row],[Numero Voltas]],$L$7:L746,1)</f>
        <v>1401</v>
      </c>
      <c r="O747" s="3">
        <f>IF(OR(detalhe_carro1[[#This Row],[Ultima Chegada]]=0,detalhe_carro1[[#This Row],[Chegada]]=0),"",detalhe_carro1[[#This Row],[Hora Inicio]]-detalhe_carro1[[#This Row],[Ultima Chegada]])</f>
        <v>18</v>
      </c>
      <c r="P747" s="3">
        <f>IF(detalhe_carro1[[#This Row],[Tipo]]="Visitar Nó",((detalhe_carro1[[#This Row],[Hora Fim]]-detalhe_carro1[[#This Row],[Hora Inicio]])/60*velocidade_nos),0)</f>
        <v>0</v>
      </c>
      <c r="Q747" s="29">
        <f>detalhe_carro1[[#This Row],[Kms Nós]]+detalhe_carro1[[#This Row],[kms]]</f>
        <v>3</v>
      </c>
    </row>
    <row r="748" spans="2:17" x14ac:dyDescent="0.25">
      <c r="B748" s="3">
        <v>4</v>
      </c>
      <c r="C748">
        <v>2</v>
      </c>
      <c r="D748">
        <v>3</v>
      </c>
      <c r="E748" s="29" t="s">
        <v>26</v>
      </c>
      <c r="F748" s="3">
        <v>1420</v>
      </c>
      <c r="G748" s="3">
        <v>1420</v>
      </c>
      <c r="H748" s="29" t="s">
        <v>51</v>
      </c>
      <c r="I748" s="3">
        <v>1</v>
      </c>
      <c r="J748" s="7">
        <v>0.27777777777777779</v>
      </c>
      <c r="K748" s="7">
        <v>0.27777777777777779</v>
      </c>
      <c r="L748" s="3">
        <f t="shared" si="23"/>
        <v>1</v>
      </c>
      <c r="M748" s="3">
        <f t="shared" si="24"/>
        <v>1</v>
      </c>
      <c r="N748" s="29">
        <f>_xlfn.MAXIFS($G$7:G747,$E$7:E747,detalhe_carro1[[#This Row],[Nó]],$B$7:B747,detalhe_carro1[[#This Row],[Numero Voltas]],$L$7:L747,1)</f>
        <v>1400</v>
      </c>
      <c r="O748" s="3">
        <f>IF(OR(detalhe_carro1[[#This Row],[Ultima Chegada]]=0,detalhe_carro1[[#This Row],[Chegada]]=0),"",detalhe_carro1[[#This Row],[Hora Inicio]]-detalhe_carro1[[#This Row],[Ultima Chegada]])</f>
        <v>20</v>
      </c>
      <c r="P748" s="3">
        <f>IF(detalhe_carro1[[#This Row],[Tipo]]="Visitar Nó",((detalhe_carro1[[#This Row],[Hora Fim]]-detalhe_carro1[[#This Row],[Hora Inicio]])/60*velocidade_nos),0)</f>
        <v>0</v>
      </c>
      <c r="Q748" s="29">
        <f>detalhe_carro1[[#This Row],[Kms Nós]]+detalhe_carro1[[#This Row],[kms]]</f>
        <v>1</v>
      </c>
    </row>
    <row r="749" spans="2:17" x14ac:dyDescent="0.25">
      <c r="B749" s="3">
        <v>4</v>
      </c>
      <c r="C749">
        <v>2</v>
      </c>
      <c r="D749">
        <v>2</v>
      </c>
      <c r="E749" s="29" t="s">
        <v>24</v>
      </c>
      <c r="F749" s="3">
        <v>1421</v>
      </c>
      <c r="G749" s="3">
        <v>1421</v>
      </c>
      <c r="H749" s="29" t="s">
        <v>51</v>
      </c>
      <c r="I749" s="3">
        <v>1</v>
      </c>
      <c r="J749" s="7">
        <v>0.27847222222222223</v>
      </c>
      <c r="K749" s="7">
        <v>0.27847222222222223</v>
      </c>
      <c r="L749" s="3">
        <f t="shared" si="23"/>
        <v>1</v>
      </c>
      <c r="M749" s="3">
        <f t="shared" si="24"/>
        <v>1</v>
      </c>
      <c r="N749" s="29">
        <f>_xlfn.MAXIFS($G$7:G748,$E$7:E748,detalhe_carro1[[#This Row],[Nó]],$B$7:B748,detalhe_carro1[[#This Row],[Numero Voltas]],$L$7:L748,1)</f>
        <v>1399</v>
      </c>
      <c r="O749" s="3">
        <f>IF(OR(detalhe_carro1[[#This Row],[Ultima Chegada]]=0,detalhe_carro1[[#This Row],[Chegada]]=0),"",detalhe_carro1[[#This Row],[Hora Inicio]]-detalhe_carro1[[#This Row],[Ultima Chegada]])</f>
        <v>22</v>
      </c>
      <c r="P749" s="3">
        <f>IF(detalhe_carro1[[#This Row],[Tipo]]="Visitar Nó",((detalhe_carro1[[#This Row],[Hora Fim]]-detalhe_carro1[[#This Row],[Hora Inicio]])/60*velocidade_nos),0)</f>
        <v>0</v>
      </c>
      <c r="Q749" s="29">
        <f>detalhe_carro1[[#This Row],[Kms Nós]]+detalhe_carro1[[#This Row],[kms]]</f>
        <v>1</v>
      </c>
    </row>
    <row r="750" spans="2:17" x14ac:dyDescent="0.25">
      <c r="B750" s="3">
        <v>4</v>
      </c>
      <c r="C750">
        <v>2</v>
      </c>
      <c r="D750">
        <v>1</v>
      </c>
      <c r="E750" s="29" t="s">
        <v>22</v>
      </c>
      <c r="F750" s="3">
        <v>1428</v>
      </c>
      <c r="G750" s="3">
        <v>1428</v>
      </c>
      <c r="H750" s="29" t="s">
        <v>51</v>
      </c>
      <c r="I750" s="3">
        <v>7</v>
      </c>
      <c r="J750" s="7">
        <v>0.28333333333333333</v>
      </c>
      <c r="K750" s="7">
        <v>0.28333333333333333</v>
      </c>
      <c r="L750" s="3">
        <f t="shared" si="23"/>
        <v>1</v>
      </c>
      <c r="M750" s="3">
        <f t="shared" si="24"/>
        <v>1</v>
      </c>
      <c r="N750" s="29">
        <f>_xlfn.MAXIFS($G$7:G749,$E$7:E749,detalhe_carro1[[#This Row],[Nó]],$B$7:B749,detalhe_carro1[[#This Row],[Numero Voltas]],$L$7:L749,1)</f>
        <v>1392</v>
      </c>
      <c r="O750" s="3">
        <f>IF(OR(detalhe_carro1[[#This Row],[Ultima Chegada]]=0,detalhe_carro1[[#This Row],[Chegada]]=0),"",detalhe_carro1[[#This Row],[Hora Inicio]]-detalhe_carro1[[#This Row],[Ultima Chegada]])</f>
        <v>36</v>
      </c>
      <c r="P750" s="3">
        <f>IF(detalhe_carro1[[#This Row],[Tipo]]="Visitar Nó",((detalhe_carro1[[#This Row],[Hora Fim]]-detalhe_carro1[[#This Row],[Hora Inicio]])/60*velocidade_nos),0)</f>
        <v>0</v>
      </c>
      <c r="Q750" s="29">
        <f>detalhe_carro1[[#This Row],[Kms Nós]]+detalhe_carro1[[#This Row],[kms]]</f>
        <v>7</v>
      </c>
    </row>
    <row r="751" spans="2:17" x14ac:dyDescent="0.25">
      <c r="B751" s="3">
        <v>4</v>
      </c>
      <c r="C751">
        <v>2</v>
      </c>
      <c r="D751">
        <v>0</v>
      </c>
      <c r="E751" s="29" t="s">
        <v>20</v>
      </c>
      <c r="F751" s="3">
        <v>1429</v>
      </c>
      <c r="G751" s="3">
        <v>1429</v>
      </c>
      <c r="H751" s="29" t="s">
        <v>51</v>
      </c>
      <c r="I751" s="3">
        <v>1</v>
      </c>
      <c r="J751" s="7">
        <v>0.28402777777777777</v>
      </c>
      <c r="K751" s="7">
        <v>0.28402777777777777</v>
      </c>
      <c r="L751" s="3">
        <f t="shared" si="23"/>
        <v>0</v>
      </c>
      <c r="M751" s="3">
        <f t="shared" si="24"/>
        <v>1</v>
      </c>
      <c r="N751" s="29">
        <f>_xlfn.MAXIFS($G$7:G750,$E$7:E750,detalhe_carro1[[#This Row],[Nó]],$B$7:B750,detalhe_carro1[[#This Row],[Numero Voltas]],$L$7:L750,1)</f>
        <v>1391</v>
      </c>
      <c r="O751" s="3">
        <f>IF(OR(detalhe_carro1[[#This Row],[Ultima Chegada]]=0,detalhe_carro1[[#This Row],[Chegada]]=0),"",detalhe_carro1[[#This Row],[Hora Inicio]]-detalhe_carro1[[#This Row],[Ultima Chegada]])</f>
        <v>38</v>
      </c>
      <c r="P751" s="3">
        <f>IF(detalhe_carro1[[#This Row],[Tipo]]="Visitar Nó",((detalhe_carro1[[#This Row],[Hora Fim]]-detalhe_carro1[[#This Row],[Hora Inicio]])/60*velocidade_nos),0)</f>
        <v>0</v>
      </c>
      <c r="Q751" s="29">
        <f>detalhe_carro1[[#This Row],[Kms Nós]]+detalhe_carro1[[#This Row],[kms]]</f>
        <v>1</v>
      </c>
    </row>
    <row r="752" spans="2:17" x14ac:dyDescent="0.25">
      <c r="B752" s="3">
        <v>4</v>
      </c>
      <c r="C752">
        <v>2</v>
      </c>
      <c r="D752">
        <v>0</v>
      </c>
      <c r="E752" s="29" t="s">
        <v>20</v>
      </c>
      <c r="F752" s="3">
        <v>1429</v>
      </c>
      <c r="G752" s="3">
        <v>1429</v>
      </c>
      <c r="H752" s="29" t="s">
        <v>51</v>
      </c>
      <c r="I752" s="3">
        <v>1</v>
      </c>
      <c r="J752" s="7">
        <v>0.28402777777777777</v>
      </c>
      <c r="K752" s="7">
        <v>0.28402777777777777</v>
      </c>
      <c r="L752" s="3">
        <f t="shared" si="23"/>
        <v>1</v>
      </c>
      <c r="M752" s="3">
        <f t="shared" si="24"/>
        <v>0</v>
      </c>
      <c r="N752" s="29">
        <f>_xlfn.MAXIFS($G$7:G751,$E$7:E751,detalhe_carro1[[#This Row],[Nó]],$B$7:B751,detalhe_carro1[[#This Row],[Numero Voltas]],$L$7:L751,1)</f>
        <v>1391</v>
      </c>
      <c r="O752" s="3" t="str">
        <f>IF(OR(detalhe_carro1[[#This Row],[Ultima Chegada]]=0,detalhe_carro1[[#This Row],[Chegada]]=0),"",detalhe_carro1[[#This Row],[Hora Inicio]]-detalhe_carro1[[#This Row],[Ultima Chegada]])</f>
        <v/>
      </c>
      <c r="P752" s="3">
        <f>IF(detalhe_carro1[[#This Row],[Tipo]]="Visitar Nó",((detalhe_carro1[[#This Row],[Hora Fim]]-detalhe_carro1[[#This Row],[Hora Inicio]])/60*velocidade_nos),0)</f>
        <v>0</v>
      </c>
      <c r="Q752" s="29">
        <f>detalhe_carro1[[#This Row],[Kms Nós]]+detalhe_carro1[[#This Row],[kms]]</f>
        <v>1</v>
      </c>
    </row>
    <row r="753" spans="2:17" x14ac:dyDescent="0.25">
      <c r="B753" s="3">
        <v>4</v>
      </c>
      <c r="C753">
        <v>2</v>
      </c>
      <c r="D753">
        <v>1</v>
      </c>
      <c r="E753" s="29" t="s">
        <v>22</v>
      </c>
      <c r="F753" s="3">
        <v>1430</v>
      </c>
      <c r="G753" s="3">
        <v>1512</v>
      </c>
      <c r="H753" s="29" t="s">
        <v>52</v>
      </c>
      <c r="I753" s="3">
        <v>0</v>
      </c>
      <c r="J753" s="7">
        <v>0.28472222222222221</v>
      </c>
      <c r="K753" s="7">
        <v>0.34166666666666667</v>
      </c>
      <c r="L753" s="3">
        <f t="shared" si="23"/>
        <v>0</v>
      </c>
      <c r="M753" s="3">
        <f t="shared" si="24"/>
        <v>1</v>
      </c>
      <c r="N753" s="29">
        <f>_xlfn.MAXIFS($G$7:G752,$E$7:E752,detalhe_carro1[[#This Row],[Nó]],$B$7:B752,detalhe_carro1[[#This Row],[Numero Voltas]],$L$7:L752,1)</f>
        <v>1428</v>
      </c>
      <c r="O753" s="3">
        <f>IF(OR(detalhe_carro1[[#This Row],[Ultima Chegada]]=0,detalhe_carro1[[#This Row],[Chegada]]=0),"",detalhe_carro1[[#This Row],[Hora Inicio]]-detalhe_carro1[[#This Row],[Ultima Chegada]])</f>
        <v>2</v>
      </c>
      <c r="P753" s="3">
        <f>IF(detalhe_carro1[[#This Row],[Tipo]]="Visitar Nó",((detalhe_carro1[[#This Row],[Hora Fim]]-detalhe_carro1[[#This Row],[Hora Inicio]])/60*velocidade_nos),0)</f>
        <v>0</v>
      </c>
      <c r="Q753" s="29">
        <f>detalhe_carro1[[#This Row],[Kms Nós]]+detalhe_carro1[[#This Row],[kms]]</f>
        <v>0</v>
      </c>
    </row>
    <row r="754" spans="2:17" x14ac:dyDescent="0.25">
      <c r="B754" s="3">
        <v>4</v>
      </c>
      <c r="C754">
        <v>2</v>
      </c>
      <c r="D754">
        <v>1</v>
      </c>
      <c r="E754" s="29" t="s">
        <v>22</v>
      </c>
      <c r="F754" s="3">
        <v>1513</v>
      </c>
      <c r="G754" s="3">
        <v>1513</v>
      </c>
      <c r="H754" s="29" t="s">
        <v>51</v>
      </c>
      <c r="I754" s="3">
        <v>1</v>
      </c>
      <c r="J754" s="7">
        <v>0.34236111111111112</v>
      </c>
      <c r="K754" s="7">
        <v>0.34236111111111112</v>
      </c>
      <c r="L754" s="3">
        <f t="shared" si="23"/>
        <v>1</v>
      </c>
      <c r="M754" s="3">
        <f t="shared" si="24"/>
        <v>0</v>
      </c>
      <c r="N754" s="29">
        <f>_xlfn.MAXIFS($G$7:G753,$E$7:E753,detalhe_carro1[[#This Row],[Nó]],$B$7:B753,detalhe_carro1[[#This Row],[Numero Voltas]],$L$7:L753,1)</f>
        <v>1428</v>
      </c>
      <c r="O754" s="3" t="str">
        <f>IF(OR(detalhe_carro1[[#This Row],[Ultima Chegada]]=0,detalhe_carro1[[#This Row],[Chegada]]=0),"",detalhe_carro1[[#This Row],[Hora Inicio]]-detalhe_carro1[[#This Row],[Ultima Chegada]])</f>
        <v/>
      </c>
      <c r="P754" s="3">
        <f>IF(detalhe_carro1[[#This Row],[Tipo]]="Visitar Nó",((detalhe_carro1[[#This Row],[Hora Fim]]-detalhe_carro1[[#This Row],[Hora Inicio]])/60*velocidade_nos),0)</f>
        <v>0</v>
      </c>
      <c r="Q754" s="29">
        <f>detalhe_carro1[[#This Row],[Kms Nós]]+detalhe_carro1[[#This Row],[kms]]</f>
        <v>1</v>
      </c>
    </row>
    <row r="755" spans="2:17" x14ac:dyDescent="0.25">
      <c r="B755" s="3">
        <v>4</v>
      </c>
      <c r="C755">
        <v>2</v>
      </c>
      <c r="D755">
        <v>2</v>
      </c>
      <c r="E755" s="29" t="s">
        <v>24</v>
      </c>
      <c r="F755" s="3">
        <v>1520</v>
      </c>
      <c r="G755" s="3">
        <v>1520</v>
      </c>
      <c r="H755" s="29" t="s">
        <v>51</v>
      </c>
      <c r="I755" s="3">
        <v>7</v>
      </c>
      <c r="J755" s="7">
        <v>0.34722222222222221</v>
      </c>
      <c r="K755" s="7">
        <v>0.34722222222222221</v>
      </c>
      <c r="L755" s="3">
        <f t="shared" si="23"/>
        <v>1</v>
      </c>
      <c r="M755" s="3">
        <f t="shared" si="24"/>
        <v>1</v>
      </c>
      <c r="N755" s="29">
        <f>_xlfn.MAXIFS($G$7:G754,$E$7:E754,detalhe_carro1[[#This Row],[Nó]],$B$7:B754,detalhe_carro1[[#This Row],[Numero Voltas]],$L$7:L754,1)</f>
        <v>1421</v>
      </c>
      <c r="O755" s="3">
        <f>IF(OR(detalhe_carro1[[#This Row],[Ultima Chegada]]=0,detalhe_carro1[[#This Row],[Chegada]]=0),"",detalhe_carro1[[#This Row],[Hora Inicio]]-detalhe_carro1[[#This Row],[Ultima Chegada]])</f>
        <v>99</v>
      </c>
      <c r="P755" s="3">
        <f>IF(detalhe_carro1[[#This Row],[Tipo]]="Visitar Nó",((detalhe_carro1[[#This Row],[Hora Fim]]-detalhe_carro1[[#This Row],[Hora Inicio]])/60*velocidade_nos),0)</f>
        <v>0</v>
      </c>
      <c r="Q755" s="29">
        <f>detalhe_carro1[[#This Row],[Kms Nós]]+detalhe_carro1[[#This Row],[kms]]</f>
        <v>7</v>
      </c>
    </row>
    <row r="756" spans="2:17" x14ac:dyDescent="0.25">
      <c r="B756" s="3">
        <v>4</v>
      </c>
      <c r="C756">
        <v>2</v>
      </c>
      <c r="D756">
        <v>3</v>
      </c>
      <c r="E756" s="29" t="s">
        <v>26</v>
      </c>
      <c r="F756" s="3">
        <v>1521</v>
      </c>
      <c r="G756" s="3">
        <v>1521</v>
      </c>
      <c r="H756" s="29" t="s">
        <v>51</v>
      </c>
      <c r="I756" s="3">
        <v>1</v>
      </c>
      <c r="J756" s="7">
        <v>0.34791666666666665</v>
      </c>
      <c r="K756" s="7">
        <v>0.34791666666666665</v>
      </c>
      <c r="L756" s="3">
        <f t="shared" si="23"/>
        <v>1</v>
      </c>
      <c r="M756" s="3">
        <f t="shared" si="24"/>
        <v>1</v>
      </c>
      <c r="N756" s="29">
        <f>_xlfn.MAXIFS($G$7:G755,$E$7:E755,detalhe_carro1[[#This Row],[Nó]],$B$7:B755,detalhe_carro1[[#This Row],[Numero Voltas]],$L$7:L755,1)</f>
        <v>1420</v>
      </c>
      <c r="O756" s="3">
        <f>IF(OR(detalhe_carro1[[#This Row],[Ultima Chegada]]=0,detalhe_carro1[[#This Row],[Chegada]]=0),"",detalhe_carro1[[#This Row],[Hora Inicio]]-detalhe_carro1[[#This Row],[Ultima Chegada]])</f>
        <v>101</v>
      </c>
      <c r="P756" s="3">
        <f>IF(detalhe_carro1[[#This Row],[Tipo]]="Visitar Nó",((detalhe_carro1[[#This Row],[Hora Fim]]-detalhe_carro1[[#This Row],[Hora Inicio]])/60*velocidade_nos),0)</f>
        <v>0</v>
      </c>
      <c r="Q756" s="29">
        <f>detalhe_carro1[[#This Row],[Kms Nós]]+detalhe_carro1[[#This Row],[kms]]</f>
        <v>1</v>
      </c>
    </row>
    <row r="757" spans="2:17" x14ac:dyDescent="0.25">
      <c r="B757" s="3">
        <v>4</v>
      </c>
      <c r="C757">
        <v>2</v>
      </c>
      <c r="D757">
        <v>4</v>
      </c>
      <c r="E757" s="29" t="s">
        <v>27</v>
      </c>
      <c r="F757" s="3">
        <v>1522</v>
      </c>
      <c r="G757" s="3">
        <v>1522</v>
      </c>
      <c r="H757" s="29" t="s">
        <v>51</v>
      </c>
      <c r="I757" s="3">
        <v>1</v>
      </c>
      <c r="J757" s="7">
        <v>0.34861111111111109</v>
      </c>
      <c r="K757" s="7">
        <v>0.34861111111111109</v>
      </c>
      <c r="L757" s="3">
        <f t="shared" si="23"/>
        <v>1</v>
      </c>
      <c r="M757" s="3">
        <f t="shared" si="24"/>
        <v>1</v>
      </c>
      <c r="N757" s="29">
        <f>_xlfn.MAXIFS($G$7:G756,$E$7:E756,detalhe_carro1[[#This Row],[Nó]],$B$7:B756,detalhe_carro1[[#This Row],[Numero Voltas]],$L$7:L756,1)</f>
        <v>1419</v>
      </c>
      <c r="O757" s="3">
        <f>IF(OR(detalhe_carro1[[#This Row],[Ultima Chegada]]=0,detalhe_carro1[[#This Row],[Chegada]]=0),"",detalhe_carro1[[#This Row],[Hora Inicio]]-detalhe_carro1[[#This Row],[Ultima Chegada]])</f>
        <v>103</v>
      </c>
      <c r="P757" s="3">
        <f>IF(detalhe_carro1[[#This Row],[Tipo]]="Visitar Nó",((detalhe_carro1[[#This Row],[Hora Fim]]-detalhe_carro1[[#This Row],[Hora Inicio]])/60*velocidade_nos),0)</f>
        <v>0</v>
      </c>
      <c r="Q757" s="29">
        <f>detalhe_carro1[[#This Row],[Kms Nós]]+detalhe_carro1[[#This Row],[kms]]</f>
        <v>1</v>
      </c>
    </row>
    <row r="758" spans="2:17" x14ac:dyDescent="0.25">
      <c r="B758" s="3">
        <v>4</v>
      </c>
      <c r="C758">
        <v>2</v>
      </c>
      <c r="D758">
        <v>5</v>
      </c>
      <c r="E758" s="29" t="s">
        <v>29</v>
      </c>
      <c r="F758" s="3">
        <v>1525</v>
      </c>
      <c r="G758" s="3">
        <v>1525</v>
      </c>
      <c r="H758" s="29" t="s">
        <v>51</v>
      </c>
      <c r="I758" s="3">
        <v>3</v>
      </c>
      <c r="J758" s="7">
        <v>0.35069444444444442</v>
      </c>
      <c r="K758" s="7">
        <v>0.35069444444444442</v>
      </c>
      <c r="L758" s="3">
        <f t="shared" si="23"/>
        <v>1</v>
      </c>
      <c r="M758" s="3">
        <f t="shared" si="24"/>
        <v>1</v>
      </c>
      <c r="N758" s="29">
        <f>_xlfn.MAXIFS($G$7:G757,$E$7:E757,detalhe_carro1[[#This Row],[Nó]],$B$7:B757,detalhe_carro1[[#This Row],[Numero Voltas]],$L$7:L757,1)</f>
        <v>1416</v>
      </c>
      <c r="O758" s="3">
        <f>IF(OR(detalhe_carro1[[#This Row],[Ultima Chegada]]=0,detalhe_carro1[[#This Row],[Chegada]]=0),"",detalhe_carro1[[#This Row],[Hora Inicio]]-detalhe_carro1[[#This Row],[Ultima Chegada]])</f>
        <v>109</v>
      </c>
      <c r="P758" s="3">
        <f>IF(detalhe_carro1[[#This Row],[Tipo]]="Visitar Nó",((detalhe_carro1[[#This Row],[Hora Fim]]-detalhe_carro1[[#This Row],[Hora Inicio]])/60*velocidade_nos),0)</f>
        <v>0</v>
      </c>
      <c r="Q758" s="29">
        <f>detalhe_carro1[[#This Row],[Kms Nós]]+detalhe_carro1[[#This Row],[kms]]</f>
        <v>3</v>
      </c>
    </row>
    <row r="759" spans="2:17" x14ac:dyDescent="0.25">
      <c r="B759" s="3">
        <v>4</v>
      </c>
      <c r="C759">
        <v>2</v>
      </c>
      <c r="D759">
        <v>6</v>
      </c>
      <c r="E759" s="29" t="s">
        <v>31</v>
      </c>
      <c r="F759" s="3">
        <v>1528</v>
      </c>
      <c r="G759" s="3">
        <v>1528</v>
      </c>
      <c r="H759" s="29" t="s">
        <v>51</v>
      </c>
      <c r="I759" s="3">
        <v>3</v>
      </c>
      <c r="J759" s="7">
        <v>0.3527777777777778</v>
      </c>
      <c r="K759" s="7">
        <v>0.3527777777777778</v>
      </c>
      <c r="L759" s="3">
        <f t="shared" si="23"/>
        <v>1</v>
      </c>
      <c r="M759" s="3">
        <f t="shared" si="24"/>
        <v>1</v>
      </c>
      <c r="N759" s="29">
        <f>_xlfn.MAXIFS($G$7:G758,$E$7:E758,detalhe_carro1[[#This Row],[Nó]],$B$7:B758,detalhe_carro1[[#This Row],[Numero Voltas]],$L$7:L758,1)</f>
        <v>1413</v>
      </c>
      <c r="O759" s="3">
        <f>IF(OR(detalhe_carro1[[#This Row],[Ultima Chegada]]=0,detalhe_carro1[[#This Row],[Chegada]]=0),"",detalhe_carro1[[#This Row],[Hora Inicio]]-detalhe_carro1[[#This Row],[Ultima Chegada]])</f>
        <v>115</v>
      </c>
      <c r="P759" s="3">
        <f>IF(detalhe_carro1[[#This Row],[Tipo]]="Visitar Nó",((detalhe_carro1[[#This Row],[Hora Fim]]-detalhe_carro1[[#This Row],[Hora Inicio]])/60*velocidade_nos),0)</f>
        <v>0</v>
      </c>
      <c r="Q759" s="29">
        <f>detalhe_carro1[[#This Row],[Kms Nós]]+detalhe_carro1[[#This Row],[kms]]</f>
        <v>3</v>
      </c>
    </row>
    <row r="760" spans="2:17" x14ac:dyDescent="0.25">
      <c r="B760" s="3">
        <v>4</v>
      </c>
      <c r="C760">
        <v>2</v>
      </c>
      <c r="D760">
        <v>7</v>
      </c>
      <c r="E760" s="29" t="s">
        <v>33</v>
      </c>
      <c r="F760" s="3">
        <v>1531</v>
      </c>
      <c r="G760" s="3">
        <v>1531</v>
      </c>
      <c r="H760" s="29" t="s">
        <v>51</v>
      </c>
      <c r="I760" s="3">
        <v>3</v>
      </c>
      <c r="J760" s="7">
        <v>0.35486111111111113</v>
      </c>
      <c r="K760" s="7">
        <v>0.35486111111111113</v>
      </c>
      <c r="L760" s="3">
        <f t="shared" si="23"/>
        <v>0</v>
      </c>
      <c r="M760" s="3">
        <f t="shared" si="24"/>
        <v>1</v>
      </c>
      <c r="N760" s="29">
        <f>_xlfn.MAXIFS($G$7:G759,$E$7:E759,detalhe_carro1[[#This Row],[Nó]],$B$7:B759,detalhe_carro1[[#This Row],[Numero Voltas]],$L$7:L759,1)</f>
        <v>1410</v>
      </c>
      <c r="O760" s="3">
        <f>IF(OR(detalhe_carro1[[#This Row],[Ultima Chegada]]=0,detalhe_carro1[[#This Row],[Chegada]]=0),"",detalhe_carro1[[#This Row],[Hora Inicio]]-detalhe_carro1[[#This Row],[Ultima Chegada]])</f>
        <v>121</v>
      </c>
      <c r="P760" s="3">
        <f>IF(detalhe_carro1[[#This Row],[Tipo]]="Visitar Nó",((detalhe_carro1[[#This Row],[Hora Fim]]-detalhe_carro1[[#This Row],[Hora Inicio]])/60*velocidade_nos),0)</f>
        <v>0</v>
      </c>
      <c r="Q760" s="29">
        <f>detalhe_carro1[[#This Row],[Kms Nós]]+detalhe_carro1[[#This Row],[kms]]</f>
        <v>3</v>
      </c>
    </row>
    <row r="761" spans="2:17" x14ac:dyDescent="0.25">
      <c r="B761" s="3">
        <v>4</v>
      </c>
      <c r="C761">
        <v>2</v>
      </c>
      <c r="D761">
        <v>7</v>
      </c>
      <c r="E761" s="29" t="s">
        <v>33</v>
      </c>
      <c r="F761" s="3">
        <v>1531</v>
      </c>
      <c r="G761" s="3">
        <v>1531</v>
      </c>
      <c r="H761" s="29" t="s">
        <v>51</v>
      </c>
      <c r="I761" s="3">
        <v>3</v>
      </c>
      <c r="J761" s="7">
        <v>0.35486111111111113</v>
      </c>
      <c r="K761" s="7">
        <v>0.35486111111111113</v>
      </c>
      <c r="L761" s="3">
        <f t="shared" si="23"/>
        <v>0</v>
      </c>
      <c r="M761" s="3">
        <f t="shared" si="24"/>
        <v>0</v>
      </c>
      <c r="N761" s="29">
        <f>_xlfn.MAXIFS($G$7:G760,$E$7:E760,detalhe_carro1[[#This Row],[Nó]],$B$7:B760,detalhe_carro1[[#This Row],[Numero Voltas]],$L$7:L760,1)</f>
        <v>1410</v>
      </c>
      <c r="O761" s="3" t="str">
        <f>IF(OR(detalhe_carro1[[#This Row],[Ultima Chegada]]=0,detalhe_carro1[[#This Row],[Chegada]]=0),"",detalhe_carro1[[#This Row],[Hora Inicio]]-detalhe_carro1[[#This Row],[Ultima Chegada]])</f>
        <v/>
      </c>
      <c r="P761" s="3">
        <f>IF(detalhe_carro1[[#This Row],[Tipo]]="Visitar Nó",((detalhe_carro1[[#This Row],[Hora Fim]]-detalhe_carro1[[#This Row],[Hora Inicio]])/60*velocidade_nos),0)</f>
        <v>0</v>
      </c>
      <c r="Q761" s="29">
        <f>detalhe_carro1[[#This Row],[Kms Nós]]+detalhe_carro1[[#This Row],[kms]]</f>
        <v>3</v>
      </c>
    </row>
    <row r="762" spans="2:17" x14ac:dyDescent="0.25">
      <c r="B762" s="3">
        <v>4</v>
      </c>
      <c r="C762">
        <v>2</v>
      </c>
      <c r="D762">
        <v>7</v>
      </c>
      <c r="E762" s="29" t="s">
        <v>33</v>
      </c>
      <c r="F762" s="3">
        <v>1531</v>
      </c>
      <c r="G762" s="3">
        <v>1531</v>
      </c>
      <c r="H762" s="29" t="s">
        <v>51</v>
      </c>
      <c r="I762" s="3">
        <v>3</v>
      </c>
      <c r="J762" s="7">
        <v>0.35486111111111113</v>
      </c>
      <c r="K762" s="7">
        <v>0.35486111111111113</v>
      </c>
      <c r="L762" s="3">
        <f t="shared" si="23"/>
        <v>1</v>
      </c>
      <c r="M762" s="3">
        <f t="shared" si="24"/>
        <v>0</v>
      </c>
      <c r="N762" s="29">
        <f>_xlfn.MAXIFS($G$7:G761,$E$7:E761,detalhe_carro1[[#This Row],[Nó]],$B$7:B761,detalhe_carro1[[#This Row],[Numero Voltas]],$L$7:L761,1)</f>
        <v>1410</v>
      </c>
      <c r="O762" s="3" t="str">
        <f>IF(OR(detalhe_carro1[[#This Row],[Ultima Chegada]]=0,detalhe_carro1[[#This Row],[Chegada]]=0),"",detalhe_carro1[[#This Row],[Hora Inicio]]-detalhe_carro1[[#This Row],[Ultima Chegada]])</f>
        <v/>
      </c>
      <c r="P762" s="3">
        <f>IF(detalhe_carro1[[#This Row],[Tipo]]="Visitar Nó",((detalhe_carro1[[#This Row],[Hora Fim]]-detalhe_carro1[[#This Row],[Hora Inicio]])/60*velocidade_nos),0)</f>
        <v>0</v>
      </c>
      <c r="Q762" s="29">
        <f>detalhe_carro1[[#This Row],[Kms Nós]]+detalhe_carro1[[#This Row],[kms]]</f>
        <v>3</v>
      </c>
    </row>
  </sheetData>
  <mergeCells count="6">
    <mergeCell ref="A1:BE3"/>
    <mergeCell ref="B5:Q5"/>
    <mergeCell ref="S5:AC5"/>
    <mergeCell ref="AF5:AH5"/>
    <mergeCell ref="AJ5:AL5"/>
    <mergeCell ref="AN5:AR5"/>
  </mergeCells>
  <phoneticPr fontId="8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D023D-A7D5-49A8-9024-CC1D6F147920}">
  <sheetPr codeName="Sheet3">
    <tabColor theme="9" tint="0.59999389629810485"/>
  </sheetPr>
  <dimension ref="B1:BA166"/>
  <sheetViews>
    <sheetView showGridLines="0" topLeftCell="T1" zoomScale="80" zoomScaleNormal="80" workbookViewId="0">
      <selection activeCell="AG1" sqref="AG1:AU166"/>
    </sheetView>
  </sheetViews>
  <sheetFormatPr defaultRowHeight="15" x14ac:dyDescent="0.25"/>
  <cols>
    <col min="1" max="1" width="6.85546875" customWidth="1"/>
    <col min="2" max="2" width="12.140625" customWidth="1"/>
    <col min="3" max="3" width="6.85546875" customWidth="1"/>
    <col min="5" max="5" width="12.7109375" bestFit="1" customWidth="1"/>
    <col min="6" max="6" width="4.85546875" bestFit="1" customWidth="1"/>
    <col min="7" max="7" width="12.7109375" bestFit="1" customWidth="1"/>
    <col min="8" max="8" width="4.85546875" style="17" bestFit="1" customWidth="1"/>
    <col min="9" max="9" width="12.7109375" style="17" bestFit="1" customWidth="1"/>
    <col min="10" max="10" width="4.85546875" style="17" bestFit="1" customWidth="1"/>
    <col min="11" max="11" width="12.7109375" style="17" bestFit="1" customWidth="1"/>
    <col min="12" max="12" width="4.85546875" style="17" bestFit="1" customWidth="1"/>
    <col min="13" max="13" width="12.7109375" style="17" bestFit="1" customWidth="1"/>
    <col min="14" max="14" width="4.85546875" style="17" bestFit="1" customWidth="1"/>
    <col min="15" max="15" width="12.7109375" style="17" bestFit="1" customWidth="1"/>
    <col min="16" max="16" width="4.85546875" style="17" bestFit="1" customWidth="1"/>
    <col min="17" max="17" width="12.7109375" style="17" bestFit="1" customWidth="1"/>
    <col min="18" max="18" width="4.85546875" style="17" bestFit="1" customWidth="1"/>
    <col min="19" max="19" width="13.42578125" style="17" bestFit="1" customWidth="1"/>
    <col min="20" max="20" width="4.85546875" style="17" bestFit="1" customWidth="1"/>
    <col min="21" max="21" width="13.85546875" style="17" bestFit="1" customWidth="1"/>
    <col min="22" max="22" width="4.85546875" style="17" customWidth="1"/>
    <col min="23" max="23" width="13.85546875" style="17" bestFit="1" customWidth="1"/>
    <col min="24" max="24" width="4.85546875" style="17" customWidth="1"/>
    <col min="25" max="25" width="13.85546875" style="17" bestFit="1" customWidth="1"/>
    <col min="26" max="26" width="2" style="17" bestFit="1" customWidth="1"/>
    <col min="27" max="27" width="13" style="17" bestFit="1" customWidth="1"/>
    <col min="29" max="29" width="25.85546875" bestFit="1" customWidth="1"/>
    <col min="30" max="30" width="10.7109375" bestFit="1" customWidth="1"/>
    <col min="33" max="33" width="9.5703125" bestFit="1" customWidth="1"/>
    <col min="34" max="34" width="14.28515625" bestFit="1" customWidth="1"/>
    <col min="35" max="35" width="28.5703125" bestFit="1" customWidth="1"/>
    <col min="36" max="36" width="14.5703125" bestFit="1" customWidth="1"/>
    <col min="37" max="37" width="12.85546875" bestFit="1" customWidth="1"/>
    <col min="38" max="38" width="12.5703125" bestFit="1" customWidth="1"/>
    <col min="39" max="39" width="13.140625" bestFit="1" customWidth="1"/>
    <col min="40" max="40" width="6.28515625" bestFit="1" customWidth="1"/>
    <col min="41" max="41" width="12.42578125" style="7" bestFit="1" customWidth="1"/>
    <col min="42" max="42" width="20" bestFit="1" customWidth="1"/>
    <col min="43" max="43" width="9.5703125" bestFit="1" customWidth="1"/>
    <col min="44" max="44" width="10" bestFit="1" customWidth="1"/>
    <col min="45" max="45" width="7.28515625" bestFit="1" customWidth="1"/>
    <col min="46" max="46" width="19.42578125" bestFit="1" customWidth="1"/>
    <col min="47" max="47" width="9.5703125" bestFit="1" customWidth="1"/>
    <col min="52" max="52" width="13" bestFit="1" customWidth="1"/>
    <col min="53" max="53" width="28.5703125" bestFit="1" customWidth="1"/>
  </cols>
  <sheetData>
    <row r="1" spans="2:53" ht="135" x14ac:dyDescent="0.25">
      <c r="B1" t="s">
        <v>318</v>
      </c>
      <c r="D1" s="8" t="str" cm="1">
        <f t="array" aca="1" ref="D1" ca="1">LEFT(CELL("filename",AI1),FIND("[",CELL("filename",AI1),1)-1)</f>
        <v>C:\Users\Liliana Ramalho\PycharmProjects\Rotas Brisa\</v>
      </c>
      <c r="E1" s="6" t="str">
        <f>INDEX(aux_visual_1[Nó],MATCH(E3,aux_visual_1[Sequência],0))</f>
        <v>Nó Viaduto Duarte Pacheco</v>
      </c>
      <c r="F1" s="6" t="s">
        <v>255</v>
      </c>
      <c r="G1" s="6" t="str">
        <f>INDEX(aux_visual_1[Nó],MATCH(G3,aux_visual_1[Sequência],0))</f>
        <v>Nó Cruz das Oliveiras</v>
      </c>
      <c r="H1" s="6" t="s">
        <v>255</v>
      </c>
      <c r="I1" s="6" t="str">
        <f>INDEX(aux_visual_1[Nó],MATCH(I3,aux_visual_1[Sequência],0))</f>
        <v>Nó de Monsanto</v>
      </c>
      <c r="J1" s="6" t="s">
        <v>255</v>
      </c>
      <c r="K1" s="6" t="str">
        <f>INDEX(aux_visual_1[Nó],MATCH(K3,aux_visual_1[Sequência],0))</f>
        <v>Nó de Miraflores (A5/IC17)</v>
      </c>
      <c r="L1" s="6" t="s">
        <v>255</v>
      </c>
      <c r="M1" s="6" t="str">
        <f>INDEX(aux_visual_1[Nó],MATCH(M3,aux_visual_1[Sequência],0))</f>
        <v>Nó de Linda-a-Velha</v>
      </c>
      <c r="N1" s="6" t="s">
        <v>255</v>
      </c>
      <c r="O1" s="6" t="str">
        <f>INDEX(aux_visual_1[Nó],MATCH(O3,aux_visual_1[Sequência],0))</f>
        <v>Nó Estádio Nacional</v>
      </c>
      <c r="P1" s="6" t="s">
        <v>255</v>
      </c>
      <c r="Q1" s="6" t="str">
        <f>INDEX(aux_visual_1[Nó],MATCH(Q3,aux_visual_1[Sequência],0))</f>
        <v>Nó de Oeiras</v>
      </c>
      <c r="R1" s="6" t="s">
        <v>255</v>
      </c>
      <c r="S1" s="6" t="str">
        <f>INDEX(aux_visual_1[Nó],MATCH(S3,aux_visual_1[Sequência],0))</f>
        <v>Nó de Carcavelos</v>
      </c>
      <c r="T1" s="6" t="s">
        <v>255</v>
      </c>
      <c r="U1" s="6" t="e">
        <f>INDEX(aux_visual_1[Nó],MATCH(U3,aux_visual_1[Sequência],0))</f>
        <v>#N/A</v>
      </c>
      <c r="V1" s="6" t="s">
        <v>255</v>
      </c>
      <c r="W1" s="6" t="e">
        <f>INDEX(aux_visual_1[Nó],MATCH(W3,aux_visual_1[Sequência],0))</f>
        <v>#N/A</v>
      </c>
      <c r="X1" s="6" t="s">
        <v>255</v>
      </c>
      <c r="Y1" s="6" t="e">
        <f>INDEX(aux_visual_1[Nó],MATCH(Y3,aux_visual_1[Sequência],0))</f>
        <v>#N/A</v>
      </c>
      <c r="Z1" s="6" t="s">
        <v>255</v>
      </c>
      <c r="AA1" s="6" t="e">
        <f>INDEX(aux_visual_1[Nó],MATCH(AA3,aux_visual_1[Sequência],0))</f>
        <v>#N/A</v>
      </c>
      <c r="AG1" t="s">
        <v>295</v>
      </c>
      <c r="AH1" t="s">
        <v>13</v>
      </c>
      <c r="AI1" t="s">
        <v>11</v>
      </c>
      <c r="AJ1" t="s">
        <v>247</v>
      </c>
      <c r="AK1" t="s">
        <v>48</v>
      </c>
      <c r="AL1" t="s">
        <v>7</v>
      </c>
      <c r="AM1" t="s">
        <v>248</v>
      </c>
      <c r="AN1" t="s">
        <v>249</v>
      </c>
      <c r="AO1" s="7" t="s">
        <v>250</v>
      </c>
      <c r="AP1" t="s">
        <v>251</v>
      </c>
      <c r="AQ1" t="s">
        <v>252</v>
      </c>
      <c r="AR1" t="s">
        <v>253</v>
      </c>
      <c r="AS1" t="s">
        <v>254</v>
      </c>
      <c r="AT1" t="s">
        <v>317</v>
      </c>
      <c r="AU1" t="s">
        <v>313</v>
      </c>
      <c r="AZ1" t="s">
        <v>13</v>
      </c>
      <c r="BA1" t="s">
        <v>11</v>
      </c>
    </row>
    <row r="2" spans="2:53" x14ac:dyDescent="0.25">
      <c r="B2" s="36">
        <v>2</v>
      </c>
      <c r="E2" s="8"/>
      <c r="F2" s="8">
        <v>0</v>
      </c>
      <c r="G2" s="8">
        <v>1</v>
      </c>
      <c r="H2" s="8">
        <v>0</v>
      </c>
      <c r="I2" s="8">
        <v>1</v>
      </c>
      <c r="J2" s="8">
        <v>0</v>
      </c>
      <c r="K2" s="8">
        <v>1</v>
      </c>
      <c r="L2" s="8">
        <v>0</v>
      </c>
      <c r="M2" s="8">
        <v>1</v>
      </c>
      <c r="N2" s="8">
        <v>0</v>
      </c>
      <c r="O2" s="8">
        <v>1</v>
      </c>
      <c r="P2" s="8">
        <v>0</v>
      </c>
      <c r="Q2" s="8">
        <v>1</v>
      </c>
      <c r="R2" s="8">
        <v>0</v>
      </c>
      <c r="S2" s="8">
        <v>1</v>
      </c>
      <c r="T2" s="8">
        <v>0</v>
      </c>
      <c r="U2" s="8">
        <v>1</v>
      </c>
      <c r="V2" s="8">
        <v>0</v>
      </c>
      <c r="W2" s="8">
        <v>1</v>
      </c>
      <c r="X2" s="8">
        <v>0</v>
      </c>
      <c r="Y2" s="8">
        <v>1</v>
      </c>
      <c r="Z2" s="8">
        <v>0</v>
      </c>
      <c r="AA2" s="8">
        <v>1</v>
      </c>
      <c r="AG2" s="20" t="s">
        <v>296</v>
      </c>
      <c r="AH2" s="20" t="s">
        <v>310</v>
      </c>
      <c r="AI2" s="20" t="s">
        <v>33</v>
      </c>
      <c r="AJ2" s="7">
        <v>0.3125</v>
      </c>
      <c r="AK2" s="7">
        <v>0.35416666666666669</v>
      </c>
      <c r="AL2" s="20" t="s">
        <v>54</v>
      </c>
      <c r="AM2" s="20" t="str">
        <f>+TEXT(Carro1[[#This Row],[Column1]],"hh:mm")&amp;" | " &amp;TEXT(Carro1[[#This Row],[Hora Fim]],"hh:mm")</f>
        <v>07:30 | 08:30</v>
      </c>
      <c r="AN2" s="20">
        <f>INDEX($E$3:$AA$3,MATCH(Carro1[[#This Row],[Nó]],$E$1:$AA$1,0))</f>
        <v>7</v>
      </c>
      <c r="AO2" s="7">
        <f>+IF(AND(Carro1[[#This Row],[Nó]]=AI1,Carro1[[#This Row],[Nó]]=AI3),AO1,Carro1[[#This Row],[Hora Início]])</f>
        <v>0.3125</v>
      </c>
      <c r="AP2" s="20">
        <f t="shared" ref="AP2:AP33" si="0">IF(AN2=AN1,IF(AN2&lt;&gt;AN3,IF(AN3&gt;=AN1,1,2),AP1),IF(AN2&gt;=AN1,1,2))</f>
        <v>2</v>
      </c>
      <c r="AQ2" s="20" cm="1">
        <f t="array" ref="AQ2">IFERROR(_xlfn.IFS(AP2=AP1,AQ1,AQ1="Ramo",1),AQ1+1)</f>
        <v>1</v>
      </c>
      <c r="AR2" s="20">
        <f t="shared" ref="AR2:AR33" si="1">IF(AQ2&lt;&gt;AQ1,1,0)</f>
        <v>1</v>
      </c>
      <c r="AS2" s="20" t="str">
        <f>IF(AND(Carro1[[#This Row],[Nó]]=AI3,Carro1[[#This Row],[Nó]]=AI4),"",AQ2&amp;"|"&amp;AN2)</f>
        <v/>
      </c>
      <c r="AT2" s="20" t="str">
        <f t="shared" ref="AT2:AT33" si="2">AQ2&amp;"|"&amp;AN2</f>
        <v>1|7</v>
      </c>
      <c r="AU2" s="20" t="str">
        <f>IF(Carro1[[#This Row],[Tipo]]="Início",AQ2&amp;"|"&amp;AN2,"")</f>
        <v/>
      </c>
      <c r="AZ2" s="20">
        <v>7</v>
      </c>
      <c r="BA2" s="20" t="s">
        <v>33</v>
      </c>
    </row>
    <row r="3" spans="2:53" ht="15.75" thickBot="1" x14ac:dyDescent="0.3">
      <c r="D3" s="9" t="s">
        <v>252</v>
      </c>
      <c r="E3" s="47">
        <v>0</v>
      </c>
      <c r="F3" s="47"/>
      <c r="G3" s="47">
        <v>1</v>
      </c>
      <c r="H3" s="47"/>
      <c r="I3" s="47">
        <v>2</v>
      </c>
      <c r="J3" s="47"/>
      <c r="K3" s="47">
        <v>3</v>
      </c>
      <c r="L3" s="47"/>
      <c r="M3" s="47">
        <v>4</v>
      </c>
      <c r="N3" s="47"/>
      <c r="O3" s="47">
        <v>5</v>
      </c>
      <c r="P3" s="47"/>
      <c r="Q3" s="47">
        <v>6</v>
      </c>
      <c r="R3" s="47"/>
      <c r="S3" s="47">
        <v>7</v>
      </c>
      <c r="T3" s="10"/>
      <c r="U3" s="10">
        <v>8</v>
      </c>
      <c r="V3" s="10"/>
      <c r="W3" s="10">
        <v>9</v>
      </c>
      <c r="X3" s="10"/>
      <c r="Y3" s="10">
        <v>10</v>
      </c>
      <c r="Z3" s="10"/>
      <c r="AA3" s="10">
        <v>11</v>
      </c>
      <c r="AG3" s="20" t="s">
        <v>296</v>
      </c>
      <c r="AH3" s="20" t="s">
        <v>310</v>
      </c>
      <c r="AI3" s="20" t="s">
        <v>33</v>
      </c>
      <c r="AJ3" s="7">
        <v>0.33333333333333331</v>
      </c>
      <c r="AK3" s="7">
        <v>0.35416666666666669</v>
      </c>
      <c r="AL3" s="20" t="s">
        <v>54</v>
      </c>
      <c r="AM3" s="20" t="str">
        <f>+TEXT(Carro1[[#This Row],[Column1]],"hh:mm")&amp;" | " &amp;TEXT(Carro1[[#This Row],[Hora Fim]],"hh:mm")</f>
        <v>07:30 | 08:30</v>
      </c>
      <c r="AN3" s="20">
        <f>INDEX($E$3:$AA$3,MATCH(Carro1[[#This Row],[Nó]],$E$1:$AA$1,0))</f>
        <v>7</v>
      </c>
      <c r="AO3" s="7">
        <f>+IF(AND(Carro1[[#This Row],[Nó]]=AI2,Carro1[[#This Row],[Nó]]=AI4),AO2,Carro1[[#This Row],[Hora Início]])</f>
        <v>0.3125</v>
      </c>
      <c r="AP3" s="20">
        <f t="shared" si="0"/>
        <v>2</v>
      </c>
      <c r="AQ3" s="20" cm="1">
        <f t="array" ref="AQ3">IFERROR(_xlfn.IFS(AP3=AP2,AQ2,AQ2="Ramo",1),AQ2+1)</f>
        <v>1</v>
      </c>
      <c r="AR3" s="20">
        <f t="shared" si="1"/>
        <v>0</v>
      </c>
      <c r="AS3" s="20" t="str">
        <f>IF(AND(Carro1[[#This Row],[Nó]]=AI4,Carro1[[#This Row],[Nó]]=AI5),"",AQ3&amp;"|"&amp;AN3)</f>
        <v/>
      </c>
      <c r="AT3" s="20" t="str">
        <f t="shared" si="2"/>
        <v>1|7</v>
      </c>
      <c r="AU3" s="20" t="str">
        <f>IF(Carro1[[#This Row],[Tipo]]="Início",AQ3&amp;"|"&amp;AN3,"")</f>
        <v/>
      </c>
      <c r="AZ3" s="20">
        <v>6</v>
      </c>
      <c r="BA3" s="20" t="s">
        <v>31</v>
      </c>
    </row>
    <row r="4" spans="2:53" x14ac:dyDescent="0.25">
      <c r="D4" s="45">
        <v>1</v>
      </c>
      <c r="E4" s="49" t="str">
        <f>IF(F$2=0,IFERROR(INDEX($AM:$AM,MATCH($D4&amp;"|"&amp;E$3,$AS:$AS,0)),""),IFERROR(INDEX($AR:$AR,MATCH($D4&amp;"|"&amp;E$3,$AS:$AS,0)),""))</f>
        <v>13:55 | 14:10</v>
      </c>
      <c r="F4" s="50" t="str">
        <f>IF(G$2=0,IFERROR(INDEX($AM:$AM,MATCH($D4&amp;"|"&amp;F$3,$AS:$AS,0)),""),IFERROR(INDEX($AR:$AR,MATCH($D4&amp;"|"&amp;F$3,$AS:$AS,0)),""))</f>
        <v/>
      </c>
      <c r="G4" s="50" t="str">
        <f>IF(H$2=0,IFERROR(INDEX($AM:$AM,MATCH($D4&amp;"|"&amp;G$3,$AS:$AS,0)),""),IFERROR(INDEX($AR:$AR,MATCH($D4&amp;"|"&amp;G$3,$AS:$AS,0)),""))</f>
        <v>12:16 | 13:47</v>
      </c>
      <c r="H4" s="50" t="str">
        <f>IF(I$2=0,IFERROR(INDEX($AM:$AM,MATCH($D4&amp;"|"&amp;H$3,$AS:$AS,0)),""),IFERROR(INDEX($AR:$AR,MATCH($D4&amp;"|"&amp;H$3,$AS:$AS,0)),""))</f>
        <v/>
      </c>
      <c r="I4" s="50" t="str">
        <f>IF(J$2=0,IFERROR(INDEX($AM:$AM,MATCH($D4&amp;"|"&amp;I$3,$AS:$AS,0)),""),IFERROR(INDEX($AR:$AR,MATCH($D4&amp;"|"&amp;I$3,$AS:$AS,0)),""))</f>
        <v>11:49 | 12:03</v>
      </c>
      <c r="J4" s="50" t="str">
        <f>IF(K$2=0,IFERROR(INDEX($AM:$AM,MATCH($D4&amp;"|"&amp;J$3,$AS:$AS,0)),""),IFERROR(INDEX($AR:$AR,MATCH($D4&amp;"|"&amp;J$3,$AS:$AS,0)),""))</f>
        <v/>
      </c>
      <c r="K4" s="50" t="str">
        <f>IF(L$2=0,IFERROR(INDEX($AM:$AM,MATCH($D4&amp;"|"&amp;K$3,$AS:$AS,0)),""),IFERROR(INDEX($AR:$AR,MATCH($D4&amp;"|"&amp;K$3,$AS:$AS,0)),""))</f>
        <v>11:37 | 11:47</v>
      </c>
      <c r="L4" s="50" t="str">
        <f>IF(M$2=0,IFERROR(INDEX($AM:$AM,MATCH($D4&amp;"|"&amp;L$3,$AS:$AS,0)),""),IFERROR(INDEX($AR:$AR,MATCH($D4&amp;"|"&amp;L$3,$AS:$AS,0)),""))</f>
        <v/>
      </c>
      <c r="M4" s="50" t="str">
        <f>IF(N$2=0,IFERROR(INDEX($AM:$AM,MATCH($D4&amp;"|"&amp;M$3,$AS:$AS,0)),""),IFERROR(INDEX($AR:$AR,MATCH($D4&amp;"|"&amp;M$3,$AS:$AS,0)),""))</f>
        <v>11:20 | 11:33</v>
      </c>
      <c r="N4" s="50" t="str">
        <f>IF(O$2=0,IFERROR(INDEX($AM:$AM,MATCH($D4&amp;"|"&amp;N$3,$AS:$AS,0)),""),IFERROR(INDEX($AR:$AR,MATCH($D4&amp;"|"&amp;N$3,$AS:$AS,0)),""))</f>
        <v/>
      </c>
      <c r="O4" s="50" t="str">
        <f>IF(P$2=0,IFERROR(INDEX($AM:$AM,MATCH($D4&amp;"|"&amp;O$3,$AS:$AS,0)),""),IFERROR(INDEX($AR:$AR,MATCH($D4&amp;"|"&amp;O$3,$AS:$AS,0)),""))</f>
        <v>10:46 | 11:14</v>
      </c>
      <c r="P4" s="50" t="str">
        <f>IF(Q$2=0,IFERROR(INDEX($AM:$AM,MATCH($D4&amp;"|"&amp;P$3,$AS:$AS,0)),""),IFERROR(INDEX($AR:$AR,MATCH($D4&amp;"|"&amp;P$3,$AS:$AS,0)),""))</f>
        <v/>
      </c>
      <c r="Q4" s="50" t="str">
        <f>IF(R$2=0,IFERROR(INDEX($AM:$AM,MATCH($D4&amp;"|"&amp;Q$3,$AS:$AS,0)),""),IFERROR(INDEX($AR:$AR,MATCH($D4&amp;"|"&amp;Q$3,$AS:$AS,0)),""))</f>
        <v>08:56 | 10:40</v>
      </c>
      <c r="R4" s="50" t="str">
        <f>IF(S$2=0,IFERROR(INDEX($AM:$AM,MATCH($D4&amp;"|"&amp;R$3,$AS:$AS,0)),""),IFERROR(INDEX($AR:$AR,MATCH($D4&amp;"|"&amp;R$3,$AS:$AS,0)),""))</f>
        <v/>
      </c>
      <c r="S4" s="51" t="str">
        <f>IF(T$2=0,IFERROR(INDEX($AM:$AM,MATCH($D4&amp;"|"&amp;S$3,$AS:$AS,0)),""),IFERROR(INDEX($AR:$AR,MATCH($D4&amp;"|"&amp;S$3,$AS:$AS,0)),""))</f>
        <v>07:30 | 08:43</v>
      </c>
      <c r="T4" s="46" t="str">
        <f>IF(U$2=0,IFERROR(INDEX($AM:$AM,MATCH($D4&amp;"|"&amp;T$3,$AS:$AS,0)),""),IFERROR(INDEX($AR:$AR,MATCH($D4&amp;"|"&amp;T$3,$AS:$AS,0)),""))</f>
        <v/>
      </c>
      <c r="U4" s="12" t="str">
        <f>IF(V$2=0,IFERROR(INDEX($AM:$AM,MATCH($D4&amp;"|"&amp;U$3,$AS:$AS,0)),""),IFERROR(INDEX($AR:$AR,MATCH($D4&amp;"|"&amp;U$3,$AS:$AS,0)),""))</f>
        <v/>
      </c>
      <c r="V4" s="12" t="str">
        <f>IF(W$2=0,IFERROR(INDEX($AM:$AM,MATCH($D4&amp;"|"&amp;V$3,$AS:$AS,0)),""),IFERROR(INDEX($AR:$AR,MATCH($D4&amp;"|"&amp;V$3,$AS:$AS,0)),""))</f>
        <v/>
      </c>
      <c r="W4" s="12" t="str">
        <f>IF(X$2=0,IFERROR(INDEX($AM:$AM,MATCH($D4&amp;"|"&amp;W$3,$AS:$AS,0)),""),IFERROR(INDEX($AR:$AR,MATCH($D4&amp;"|"&amp;W$3,$AS:$AS,0)),""))</f>
        <v/>
      </c>
      <c r="X4" s="12" t="str">
        <f>IF(Y$2=0,IFERROR(INDEX($AM:$AM,MATCH($D4&amp;"|"&amp;X$3,$AS:$AS,0)),""),IFERROR(INDEX($AR:$AR,MATCH($D4&amp;"|"&amp;X$3,$AS:$AS,0)),""))</f>
        <v/>
      </c>
      <c r="Y4" s="12" t="str">
        <f>IF(Z$2=0,IFERROR(INDEX($AM:$AM,MATCH($D4&amp;"|"&amp;Y$3,$AS:$AS,0)),""),IFERROR(INDEX($AR:$AR,MATCH($D4&amp;"|"&amp;Y$3,$AS:$AS,0)),""))</f>
        <v/>
      </c>
      <c r="Z4" s="12" t="str">
        <f>IF(AA$2=0,IFERROR(INDEX($AM:$AM,MATCH($D4&amp;"|"&amp;Z$3,$AS:$AS,0)),""),IFERROR(INDEX($AR:$AR,MATCH($D4&amp;"|"&amp;Z$3,$AS:$AS,0)),""))</f>
        <v/>
      </c>
      <c r="AA4" s="12" t="str">
        <f>IF(AB$2=0,IFERROR(INDEX($AM:$AM,MATCH($D4&amp;"|"&amp;AA$3,$AS:$AS,0)),""),IFERROR(INDEX($AR:$AR,MATCH($D4&amp;"|"&amp;AA$3,$AS:$AS,0)),""))</f>
        <v/>
      </c>
      <c r="AC4" s="13" t="s">
        <v>50</v>
      </c>
      <c r="AG4" s="20" t="s">
        <v>296</v>
      </c>
      <c r="AH4" s="20" t="s">
        <v>310</v>
      </c>
      <c r="AI4" s="20" t="s">
        <v>33</v>
      </c>
      <c r="AJ4" s="7">
        <v>0.35416666666666669</v>
      </c>
      <c r="AK4" s="7">
        <v>0.35416666666666669</v>
      </c>
      <c r="AL4" s="20" t="s">
        <v>49</v>
      </c>
      <c r="AM4" s="20" t="str">
        <f>+TEXT(Carro1[[#This Row],[Column1]],"hh:mm")&amp;" | " &amp;TEXT(Carro1[[#This Row],[Hora Fim]],"hh:mm")</f>
        <v>07:30 | 08:30</v>
      </c>
      <c r="AN4" s="20">
        <f>INDEX($E$3:$AA$3,MATCH(Carro1[[#This Row],[Nó]],$E$1:$AA$1,0))</f>
        <v>7</v>
      </c>
      <c r="AO4" s="7">
        <f>+IF(AND(Carro1[[#This Row],[Nó]]=AI3,Carro1[[#This Row],[Nó]]=AI5),AO3,Carro1[[#This Row],[Hora Início]])</f>
        <v>0.3125</v>
      </c>
      <c r="AP4" s="20">
        <f t="shared" si="0"/>
        <v>2</v>
      </c>
      <c r="AQ4" s="20" cm="1">
        <f t="array" ref="AQ4">IFERROR(_xlfn.IFS(AP4=AP3,AQ3,AQ3="Ramo",1),AQ3+1)</f>
        <v>1</v>
      </c>
      <c r="AR4" s="20">
        <f t="shared" si="1"/>
        <v>0</v>
      </c>
      <c r="AS4" s="20" t="str">
        <f>IF(AND(Carro1[[#This Row],[Nó]]=AI5,Carro1[[#This Row],[Nó]]=AI6),"",AQ4&amp;"|"&amp;AN4)</f>
        <v/>
      </c>
      <c r="AT4" s="20" t="str">
        <f t="shared" si="2"/>
        <v>1|7</v>
      </c>
      <c r="AU4" s="20" t="str">
        <f>IF(Carro1[[#This Row],[Tipo]]="Início",AQ4&amp;"|"&amp;AN4,"")</f>
        <v>1|7</v>
      </c>
      <c r="AZ4" s="20">
        <v>5</v>
      </c>
      <c r="BA4" s="20" t="s">
        <v>29</v>
      </c>
    </row>
    <row r="5" spans="2:53" x14ac:dyDescent="0.25">
      <c r="D5" s="45">
        <v>2</v>
      </c>
      <c r="E5" s="52" t="str">
        <f>IF(F$2=0,IFERROR(INDEX($AM:$AM,MATCH($D5&amp;"|"&amp;E$3,$AS:$AS,0)),""),IFERROR(INDEX($AR:$AR,MATCH($D5&amp;"|"&amp;E$3,$AS:$AS,0)),""))</f>
        <v>14:10 | 14:10</v>
      </c>
      <c r="F5" s="12" t="str">
        <f>IF(G$2=0,IFERROR(INDEX($AM:$AM,MATCH($D5&amp;"|"&amp;F$3,$AS:$AS,0)),""),IFERROR(INDEX($AR:$AR,MATCH($D5&amp;"|"&amp;F$3,$AS:$AS,0)),""))</f>
        <v/>
      </c>
      <c r="G5" s="12" t="str">
        <f>IF(H$2=0,IFERROR(INDEX($AM:$AM,MATCH($D5&amp;"|"&amp;G$3,$AS:$AS,0)),""),IFERROR(INDEX($AR:$AR,MATCH($D5&amp;"|"&amp;G$3,$AS:$AS,0)),""))</f>
        <v>14:11 | 14:16</v>
      </c>
      <c r="H5" s="12" t="str">
        <f>IF(I$2=0,IFERROR(INDEX($AM:$AM,MATCH($D5&amp;"|"&amp;H$3,$AS:$AS,0)),""),IFERROR(INDEX($AR:$AR,MATCH($D5&amp;"|"&amp;H$3,$AS:$AS,0)),""))</f>
        <v/>
      </c>
      <c r="I5" s="12" t="str">
        <f>IF(J$2=0,IFERROR(INDEX($AM:$AM,MATCH($D5&amp;"|"&amp;I$3,$AS:$AS,0)),""),IFERROR(INDEX($AR:$AR,MATCH($D5&amp;"|"&amp;I$3,$AS:$AS,0)),""))</f>
        <v>14:24 | 14:38</v>
      </c>
      <c r="J5" s="12" t="str">
        <f>IF(K$2=0,IFERROR(INDEX($AM:$AM,MATCH($D5&amp;"|"&amp;J$3,$AS:$AS,0)),""),IFERROR(INDEX($AR:$AR,MATCH($D5&amp;"|"&amp;J$3,$AS:$AS,0)),""))</f>
        <v/>
      </c>
      <c r="K5" s="12" t="str">
        <f>IF(L$2=0,IFERROR(INDEX($AM:$AM,MATCH($D5&amp;"|"&amp;K$3,$AS:$AS,0)),""),IFERROR(INDEX($AR:$AR,MATCH($D5&amp;"|"&amp;K$3,$AS:$AS,0)),""))</f>
        <v>14:46 | 14:56</v>
      </c>
      <c r="L5" s="12" t="str">
        <f>IF(M$2=0,IFERROR(INDEX($AM:$AM,MATCH($D5&amp;"|"&amp;L$3,$AS:$AS,0)),""),IFERROR(INDEX($AR:$AR,MATCH($D5&amp;"|"&amp;L$3,$AS:$AS,0)),""))</f>
        <v/>
      </c>
      <c r="M5" s="12" t="str">
        <f>IF(N$2=0,IFERROR(INDEX($AM:$AM,MATCH($D5&amp;"|"&amp;M$3,$AS:$AS,0)),""),IFERROR(INDEX($AR:$AR,MATCH($D5&amp;"|"&amp;M$3,$AS:$AS,0)),""))</f>
        <v>14:58 | 15:11</v>
      </c>
      <c r="N5" s="12" t="str">
        <f>IF(O$2=0,IFERROR(INDEX($AM:$AM,MATCH($D5&amp;"|"&amp;N$3,$AS:$AS,0)),""),IFERROR(INDEX($AR:$AR,MATCH($D5&amp;"|"&amp;N$3,$AS:$AS,0)),""))</f>
        <v/>
      </c>
      <c r="O5" s="12" t="str">
        <f>IF(P$2=0,IFERROR(INDEX($AM:$AM,MATCH($D5&amp;"|"&amp;O$3,$AS:$AS,0)),""),IFERROR(INDEX($AR:$AR,MATCH($D5&amp;"|"&amp;O$3,$AS:$AS,0)),""))</f>
        <v>15:15 | 15:56</v>
      </c>
      <c r="P5" s="12" t="str">
        <f>IF(Q$2=0,IFERROR(INDEX($AM:$AM,MATCH($D5&amp;"|"&amp;P$3,$AS:$AS,0)),""),IFERROR(INDEX($AR:$AR,MATCH($D5&amp;"|"&amp;P$3,$AS:$AS,0)),""))</f>
        <v/>
      </c>
      <c r="Q5" s="12" t="str">
        <f>IF(R$2=0,IFERROR(INDEX($AM:$AM,MATCH($D5&amp;"|"&amp;Q$3,$AS:$AS,0)),""),IFERROR(INDEX($AR:$AR,MATCH($D5&amp;"|"&amp;Q$3,$AS:$AS,0)),""))</f>
        <v>16:02 | 16:11</v>
      </c>
      <c r="R5" s="12" t="str">
        <f>IF(S$2=0,IFERROR(INDEX($AM:$AM,MATCH($D5&amp;"|"&amp;R$3,$AS:$AS,0)),""),IFERROR(INDEX($AR:$AR,MATCH($D5&amp;"|"&amp;R$3,$AS:$AS,0)),""))</f>
        <v/>
      </c>
      <c r="S5" s="53" t="str">
        <f>IF(T$2=0,IFERROR(INDEX($AM:$AM,MATCH($D5&amp;"|"&amp;S$3,$AS:$AS,0)),""),IFERROR(INDEX($AR:$AR,MATCH($D5&amp;"|"&amp;S$3,$AS:$AS,0)),""))</f>
        <v>16:17 | 16:17</v>
      </c>
      <c r="T5" s="46" t="str">
        <f>IF(U$2=0,IFERROR(INDEX($AM:$AM,MATCH($D5&amp;"|"&amp;T$3,$AS:$AS,0)),""),IFERROR(INDEX($AR:$AR,MATCH($D5&amp;"|"&amp;T$3,$AS:$AS,0)),""))</f>
        <v/>
      </c>
      <c r="U5" s="12" t="str">
        <f>IF(V$2=0,IFERROR(INDEX($AM:$AM,MATCH($D5&amp;"|"&amp;U$3,$AS:$AS,0)),""),IFERROR(INDEX($AR:$AR,MATCH($D5&amp;"|"&amp;U$3,$AS:$AS,0)),""))</f>
        <v/>
      </c>
      <c r="V5" s="12" t="str">
        <f>IF(W$2=0,IFERROR(INDEX($AM:$AM,MATCH($D5&amp;"|"&amp;V$3,$AS:$AS,0)),""),IFERROR(INDEX($AR:$AR,MATCH($D5&amp;"|"&amp;V$3,$AS:$AS,0)),""))</f>
        <v/>
      </c>
      <c r="W5" s="12" t="str">
        <f>IF(X$2=0,IFERROR(INDEX($AM:$AM,MATCH($D5&amp;"|"&amp;W$3,$AS:$AS,0)),""),IFERROR(INDEX($AR:$AR,MATCH($D5&amp;"|"&amp;W$3,$AS:$AS,0)),""))</f>
        <v/>
      </c>
      <c r="X5" s="12" t="str">
        <f>IF(Y$2=0,IFERROR(INDEX($AM:$AM,MATCH($D5&amp;"|"&amp;X$3,$AS:$AS,0)),""),IFERROR(INDEX($AR:$AR,MATCH($D5&amp;"|"&amp;X$3,$AS:$AS,0)),""))</f>
        <v/>
      </c>
      <c r="Y5" s="12" t="str">
        <f>IF(Z$2=0,IFERROR(INDEX($AM:$AM,MATCH($D5&amp;"|"&amp;Y$3,$AS:$AS,0)),""),IFERROR(INDEX($AR:$AR,MATCH($D5&amp;"|"&amp;Y$3,$AS:$AS,0)),""))</f>
        <v/>
      </c>
      <c r="Z5" s="12" t="str">
        <f>IF(AA$2=0,IFERROR(INDEX($AM:$AM,MATCH($D5&amp;"|"&amp;Z$3,$AS:$AS,0)),""),IFERROR(INDEX($AR:$AR,MATCH($D5&amp;"|"&amp;Z$3,$AS:$AS,0)),""))</f>
        <v/>
      </c>
      <c r="AA5" s="12" t="str">
        <f>IF(AB$2=0,IFERROR(INDEX($AM:$AM,MATCH($D5&amp;"|"&amp;AA$3,$AS:$AS,0)),""),IFERROR(INDEX($AR:$AR,MATCH($D5&amp;"|"&amp;AA$3,$AS:$AS,0)),""))</f>
        <v/>
      </c>
      <c r="AC5" s="14" t="s">
        <v>54</v>
      </c>
      <c r="AG5" s="20" t="s">
        <v>296</v>
      </c>
      <c r="AH5" s="20" t="s">
        <v>310</v>
      </c>
      <c r="AI5" s="20" t="s">
        <v>33</v>
      </c>
      <c r="AJ5" s="7">
        <v>0.35416666666666669</v>
      </c>
      <c r="AK5" s="7">
        <v>0.36319444444444443</v>
      </c>
      <c r="AL5" s="20" t="s">
        <v>50</v>
      </c>
      <c r="AM5" s="20" t="str">
        <f>+TEXT(Carro1[[#This Row],[Column1]],"hh:mm")&amp;" | " &amp;TEXT(Carro1[[#This Row],[Hora Fim]],"hh:mm")</f>
        <v>07:30 | 08:43</v>
      </c>
      <c r="AN5" s="20">
        <f>INDEX($E$3:$AA$3,MATCH(Carro1[[#This Row],[Nó]],$E$1:$AA$1,0))</f>
        <v>7</v>
      </c>
      <c r="AO5" s="7">
        <f>+IF(AND(Carro1[[#This Row],[Nó]]=AI4,Carro1[[#This Row],[Nó]]=AI6),AO4,Carro1[[#This Row],[Hora Início]])</f>
        <v>0.3125</v>
      </c>
      <c r="AP5" s="20">
        <f t="shared" si="0"/>
        <v>2</v>
      </c>
      <c r="AQ5" s="20" cm="1">
        <f t="array" ref="AQ5">IFERROR(_xlfn.IFS(AP5=AP4,AQ4,AQ4="Ramo",1),AQ4+1)</f>
        <v>1</v>
      </c>
      <c r="AR5" s="20">
        <f t="shared" si="1"/>
        <v>0</v>
      </c>
      <c r="AS5" s="20" t="str">
        <f>IF(AND(Carro1[[#This Row],[Nó]]=AI6,Carro1[[#This Row],[Nó]]=AI7),"",AQ5&amp;"|"&amp;AN5)</f>
        <v>1|7</v>
      </c>
      <c r="AT5" s="20" t="str">
        <f t="shared" si="2"/>
        <v>1|7</v>
      </c>
      <c r="AU5" s="20" t="str">
        <f>IF(Carro1[[#This Row],[Tipo]]="Início",AQ5&amp;"|"&amp;AN5,"")</f>
        <v/>
      </c>
      <c r="AZ5" s="20">
        <v>4</v>
      </c>
      <c r="BA5" s="20" t="s">
        <v>27</v>
      </c>
    </row>
    <row r="6" spans="2:53" x14ac:dyDescent="0.25">
      <c r="D6" s="45">
        <v>3</v>
      </c>
      <c r="E6" s="52" t="str">
        <f>IF(F$2=0,IFERROR(INDEX($AM:$AM,MATCH($D6&amp;"|"&amp;E$3,$AS:$AS,0)),""),IFERROR(INDEX($AR:$AR,MATCH($D6&amp;"|"&amp;E$3,$AS:$AS,0)),""))</f>
        <v>16:36 | 16:36</v>
      </c>
      <c r="F6" s="12" t="str">
        <f>IF(G$2=0,IFERROR(INDEX($AM:$AM,MATCH($D6&amp;"|"&amp;F$3,$AS:$AS,0)),""),IFERROR(INDEX($AR:$AR,MATCH($D6&amp;"|"&amp;F$3,$AS:$AS,0)),""))</f>
        <v/>
      </c>
      <c r="G6" s="12" t="str">
        <f>IF(H$2=0,IFERROR(INDEX($AM:$AM,MATCH($D6&amp;"|"&amp;G$3,$AS:$AS,0)),""),IFERROR(INDEX($AR:$AR,MATCH($D6&amp;"|"&amp;G$3,$AS:$AS,0)),""))</f>
        <v>16:35 | 16:35</v>
      </c>
      <c r="H6" s="12" t="str">
        <f>IF(I$2=0,IFERROR(INDEX($AM:$AM,MATCH($D6&amp;"|"&amp;H$3,$AS:$AS,0)),""),IFERROR(INDEX($AR:$AR,MATCH($D6&amp;"|"&amp;H$3,$AS:$AS,0)),""))</f>
        <v/>
      </c>
      <c r="I6" s="12" t="str">
        <f>IF(J$2=0,IFERROR(INDEX($AM:$AM,MATCH($D6&amp;"|"&amp;I$3,$AS:$AS,0)),""),IFERROR(INDEX($AR:$AR,MATCH($D6&amp;"|"&amp;I$3,$AS:$AS,0)),""))</f>
        <v>16:28 | 16:28</v>
      </c>
      <c r="J6" s="12" t="str">
        <f>IF(K$2=0,IFERROR(INDEX($AM:$AM,MATCH($D6&amp;"|"&amp;J$3,$AS:$AS,0)),""),IFERROR(INDEX($AR:$AR,MATCH($D6&amp;"|"&amp;J$3,$AS:$AS,0)),""))</f>
        <v/>
      </c>
      <c r="K6" s="12" t="str">
        <f>IF(L$2=0,IFERROR(INDEX($AM:$AM,MATCH($D6&amp;"|"&amp;K$3,$AS:$AS,0)),""),IFERROR(INDEX($AR:$AR,MATCH($D6&amp;"|"&amp;K$3,$AS:$AS,0)),""))</f>
        <v>16:27 | 16:27</v>
      </c>
      <c r="L6" s="12" t="str">
        <f>IF(M$2=0,IFERROR(INDEX($AM:$AM,MATCH($D6&amp;"|"&amp;L$3,$AS:$AS,0)),""),IFERROR(INDEX($AR:$AR,MATCH($D6&amp;"|"&amp;L$3,$AS:$AS,0)),""))</f>
        <v/>
      </c>
      <c r="M6" s="12" t="str">
        <f>IF(N$2=0,IFERROR(INDEX($AM:$AM,MATCH($D6&amp;"|"&amp;M$3,$AS:$AS,0)),""),IFERROR(INDEX($AR:$AR,MATCH($D6&amp;"|"&amp;M$3,$AS:$AS,0)),""))</f>
        <v>16:26 | 16:26</v>
      </c>
      <c r="N6" s="12" t="str">
        <f>IF(O$2=0,IFERROR(INDEX($AM:$AM,MATCH($D6&amp;"|"&amp;N$3,$AS:$AS,0)),""),IFERROR(INDEX($AR:$AR,MATCH($D6&amp;"|"&amp;N$3,$AS:$AS,0)),""))</f>
        <v/>
      </c>
      <c r="O6" s="12" t="str">
        <f>IF(P$2=0,IFERROR(INDEX($AM:$AM,MATCH($D6&amp;"|"&amp;O$3,$AS:$AS,0)),""),IFERROR(INDEX($AR:$AR,MATCH($D6&amp;"|"&amp;O$3,$AS:$AS,0)),""))</f>
        <v>16:23 | 16:23</v>
      </c>
      <c r="P6" s="12" t="str">
        <f>IF(Q$2=0,IFERROR(INDEX($AM:$AM,MATCH($D6&amp;"|"&amp;P$3,$AS:$AS,0)),""),IFERROR(INDEX($AR:$AR,MATCH($D6&amp;"|"&amp;P$3,$AS:$AS,0)),""))</f>
        <v/>
      </c>
      <c r="Q6" s="12" t="str">
        <f>IF(R$2=0,IFERROR(INDEX($AM:$AM,MATCH($D6&amp;"|"&amp;Q$3,$AS:$AS,0)),""),IFERROR(INDEX($AR:$AR,MATCH($D6&amp;"|"&amp;Q$3,$AS:$AS,0)),""))</f>
        <v>16:20 | 16:20</v>
      </c>
      <c r="R6" s="12" t="str">
        <f>IF(S$2=0,IFERROR(INDEX($AM:$AM,MATCH($D6&amp;"|"&amp;R$3,$AS:$AS,0)),""),IFERROR(INDEX($AR:$AR,MATCH($D6&amp;"|"&amp;R$3,$AS:$AS,0)),""))</f>
        <v/>
      </c>
      <c r="S6" s="53" t="str">
        <f>IF(T$2=0,IFERROR(INDEX($AM:$AM,MATCH($D6&amp;"|"&amp;S$3,$AS:$AS,0)),""),IFERROR(INDEX($AR:$AR,MATCH($D6&amp;"|"&amp;S$3,$AS:$AS,0)),""))</f>
        <v>16:17 | 16:17</v>
      </c>
      <c r="T6" s="46" t="str">
        <f>IF(U$2=0,IFERROR(INDEX($AM:$AM,MATCH($D6&amp;"|"&amp;T$3,$AS:$AS,0)),""),IFERROR(INDEX($AR:$AR,MATCH($D6&amp;"|"&amp;T$3,$AS:$AS,0)),""))</f>
        <v/>
      </c>
      <c r="U6" s="12" t="str">
        <f>IF(V$2=0,IFERROR(INDEX($AM:$AM,MATCH($D6&amp;"|"&amp;U$3,$AS:$AS,0)),""),IFERROR(INDEX($AR:$AR,MATCH($D6&amp;"|"&amp;U$3,$AS:$AS,0)),""))</f>
        <v/>
      </c>
      <c r="V6" s="12" t="str">
        <f>IF(W$2=0,IFERROR(INDEX($AM:$AM,MATCH($D6&amp;"|"&amp;V$3,$AS:$AS,0)),""),IFERROR(INDEX($AR:$AR,MATCH($D6&amp;"|"&amp;V$3,$AS:$AS,0)),""))</f>
        <v/>
      </c>
      <c r="W6" s="12" t="str">
        <f>IF(X$2=0,IFERROR(INDEX($AM:$AM,MATCH($D6&amp;"|"&amp;W$3,$AS:$AS,0)),""),IFERROR(INDEX($AR:$AR,MATCH($D6&amp;"|"&amp;W$3,$AS:$AS,0)),""))</f>
        <v/>
      </c>
      <c r="X6" s="12" t="str">
        <f>IF(Y$2=0,IFERROR(INDEX($AM:$AM,MATCH($D6&amp;"|"&amp;X$3,$AS:$AS,0)),""),IFERROR(INDEX($AR:$AR,MATCH($D6&amp;"|"&amp;X$3,$AS:$AS,0)),""))</f>
        <v/>
      </c>
      <c r="Y6" s="12" t="str">
        <f>IF(Z$2=0,IFERROR(INDEX($AM:$AM,MATCH($D6&amp;"|"&amp;Y$3,$AS:$AS,0)),""),IFERROR(INDEX($AR:$AR,MATCH($D6&amp;"|"&amp;Y$3,$AS:$AS,0)),""))</f>
        <v/>
      </c>
      <c r="Z6" s="12" t="str">
        <f>IF(AA$2=0,IFERROR(INDEX($AM:$AM,MATCH($D6&amp;"|"&amp;Z$3,$AS:$AS,0)),""),IFERROR(INDEX($AR:$AR,MATCH($D6&amp;"|"&amp;Z$3,$AS:$AS,0)),""))</f>
        <v/>
      </c>
      <c r="AA6" s="12" t="str">
        <f>IF(AB$2=0,IFERROR(INDEX($AM:$AM,MATCH($D6&amp;"|"&amp;AA$3,$AS:$AS,0)),""),IFERROR(INDEX($AR:$AR,MATCH($D6&amp;"|"&amp;AA$3,$AS:$AS,0)),""))</f>
        <v/>
      </c>
      <c r="AC6" s="14" t="s">
        <v>55</v>
      </c>
      <c r="AG6" s="20" t="s">
        <v>296</v>
      </c>
      <c r="AH6" s="20" t="s">
        <v>310</v>
      </c>
      <c r="AI6" s="20" t="s">
        <v>33</v>
      </c>
      <c r="AJ6" s="7">
        <v>0.36319444444444443</v>
      </c>
      <c r="AK6" s="7">
        <v>0.36319444444444443</v>
      </c>
      <c r="AL6" s="20" t="s">
        <v>51</v>
      </c>
      <c r="AM6" s="20" t="str">
        <f>+TEXT(Carro1[[#This Row],[Column1]],"hh:mm")&amp;" | " &amp;TEXT(Carro1[[#This Row],[Hora Fim]],"hh:mm")</f>
        <v>08:43 | 08:43</v>
      </c>
      <c r="AN6" s="20">
        <f>INDEX($E$3:$AA$3,MATCH(Carro1[[#This Row],[Nó]],$E$1:$AA$1,0))</f>
        <v>7</v>
      </c>
      <c r="AO6" s="7">
        <f>+IF(AND(Carro1[[#This Row],[Nó]]=AI5,Carro1[[#This Row],[Nó]]=AI7),AO5,Carro1[[#This Row],[Hora Início]])</f>
        <v>0.36319444444444443</v>
      </c>
      <c r="AP6" s="20">
        <f t="shared" si="0"/>
        <v>2</v>
      </c>
      <c r="AQ6" s="20" cm="1">
        <f t="array" ref="AQ6">IFERROR(_xlfn.IFS(AP6=AP5,AQ5,AQ5="Ramo",1),AQ5+1)</f>
        <v>1</v>
      </c>
      <c r="AR6" s="20">
        <f t="shared" si="1"/>
        <v>0</v>
      </c>
      <c r="AS6" s="20" t="str">
        <f>IF(AND(Carro1[[#This Row],[Nó]]=AI7,Carro1[[#This Row],[Nó]]=AI8),"",AQ6&amp;"|"&amp;AN6)</f>
        <v>1|7</v>
      </c>
      <c r="AT6" s="20" t="str">
        <f t="shared" si="2"/>
        <v>1|7</v>
      </c>
      <c r="AU6" s="20" t="str">
        <f>IF(Carro1[[#This Row],[Tipo]]="Início",AQ6&amp;"|"&amp;AN6,"")</f>
        <v/>
      </c>
      <c r="AZ6" s="20">
        <v>3</v>
      </c>
      <c r="BA6" s="20" t="s">
        <v>26</v>
      </c>
    </row>
    <row r="7" spans="2:53" ht="15.75" thickBot="1" x14ac:dyDescent="0.3">
      <c r="D7" s="45">
        <f>D6+1</f>
        <v>4</v>
      </c>
      <c r="E7" s="54" t="str">
        <f>IF(F$2=0,IFERROR(INDEX($AM:$AM,MATCH($D7&amp;"|"&amp;E$3,$AS:$AS,0)),""),IFERROR(INDEX($AR:$AR,MATCH($D7&amp;"|"&amp;E$3,$AS:$AS,0)),""))</f>
        <v>16:36 | 16:36</v>
      </c>
      <c r="F7" s="55" t="str">
        <f>IF(G$2=0,IFERROR(INDEX($AM:$AM,MATCH($D7&amp;"|"&amp;F$3,$AS:$AS,0)),""),IFERROR(INDEX($AR:$AR,MATCH($D7&amp;"|"&amp;F$3,$AS:$AS,0)),""))</f>
        <v/>
      </c>
      <c r="G7" s="55" t="str">
        <f>IF(H$2=0,IFERROR(INDEX($AM:$AM,MATCH($D7&amp;"|"&amp;G$3,$AS:$AS,0)),""),IFERROR(INDEX($AR:$AR,MATCH($D7&amp;"|"&amp;G$3,$AS:$AS,0)),""))</f>
        <v>16:37 | 16:37</v>
      </c>
      <c r="H7" s="55" t="str">
        <f>IF(I$2=0,IFERROR(INDEX($AM:$AM,MATCH($D7&amp;"|"&amp;H$3,$AS:$AS,0)),""),IFERROR(INDEX($AR:$AR,MATCH($D7&amp;"|"&amp;H$3,$AS:$AS,0)),""))</f>
        <v/>
      </c>
      <c r="I7" s="55" t="str">
        <f>IF(J$2=0,IFERROR(INDEX($AM:$AM,MATCH($D7&amp;"|"&amp;I$3,$AS:$AS,0)),""),IFERROR(INDEX($AR:$AR,MATCH($D7&amp;"|"&amp;I$3,$AS:$AS,0)),""))</f>
        <v>16:44 | 16:44</v>
      </c>
      <c r="J7" s="55" t="str">
        <f>IF(K$2=0,IFERROR(INDEX($AM:$AM,MATCH($D7&amp;"|"&amp;J$3,$AS:$AS,0)),""),IFERROR(INDEX($AR:$AR,MATCH($D7&amp;"|"&amp;J$3,$AS:$AS,0)),""))</f>
        <v/>
      </c>
      <c r="K7" s="55" t="str">
        <f>IF(L$2=0,IFERROR(INDEX($AM:$AM,MATCH($D7&amp;"|"&amp;K$3,$AS:$AS,0)),""),IFERROR(INDEX($AR:$AR,MATCH($D7&amp;"|"&amp;K$3,$AS:$AS,0)),""))</f>
        <v>16:45 | 16:45</v>
      </c>
      <c r="L7" s="55" t="str">
        <f>IF(M$2=0,IFERROR(INDEX($AM:$AM,MATCH($D7&amp;"|"&amp;L$3,$AS:$AS,0)),""),IFERROR(INDEX($AR:$AR,MATCH($D7&amp;"|"&amp;L$3,$AS:$AS,0)),""))</f>
        <v/>
      </c>
      <c r="M7" s="55" t="str">
        <f>IF(N$2=0,IFERROR(INDEX($AM:$AM,MATCH($D7&amp;"|"&amp;M$3,$AS:$AS,0)),""),IFERROR(INDEX($AR:$AR,MATCH($D7&amp;"|"&amp;M$3,$AS:$AS,0)),""))</f>
        <v>16:46 | 16:46</v>
      </c>
      <c r="N7" s="55" t="str">
        <f>IF(O$2=0,IFERROR(INDEX($AM:$AM,MATCH($D7&amp;"|"&amp;N$3,$AS:$AS,0)),""),IFERROR(INDEX($AR:$AR,MATCH($D7&amp;"|"&amp;N$3,$AS:$AS,0)),""))</f>
        <v/>
      </c>
      <c r="O7" s="55" t="str">
        <f>IF(P$2=0,IFERROR(INDEX($AM:$AM,MATCH($D7&amp;"|"&amp;O$3,$AS:$AS,0)),""),IFERROR(INDEX($AR:$AR,MATCH($D7&amp;"|"&amp;O$3,$AS:$AS,0)),""))</f>
        <v>16:49 | 16:49</v>
      </c>
      <c r="P7" s="55" t="str">
        <f>IF(Q$2=0,IFERROR(INDEX($AM:$AM,MATCH($D7&amp;"|"&amp;P$3,$AS:$AS,0)),""),IFERROR(INDEX($AR:$AR,MATCH($D7&amp;"|"&amp;P$3,$AS:$AS,0)),""))</f>
        <v/>
      </c>
      <c r="Q7" s="55" t="str">
        <f>IF(R$2=0,IFERROR(INDEX($AM:$AM,MATCH($D7&amp;"|"&amp;Q$3,$AS:$AS,0)),""),IFERROR(INDEX($AR:$AR,MATCH($D7&amp;"|"&amp;Q$3,$AS:$AS,0)),""))</f>
        <v>16:52 | 16:52</v>
      </c>
      <c r="R7" s="55" t="str">
        <f>IF(S$2=0,IFERROR(INDEX($AM:$AM,MATCH($D7&amp;"|"&amp;R$3,$AS:$AS,0)),""),IFERROR(INDEX($AR:$AR,MATCH($D7&amp;"|"&amp;R$3,$AS:$AS,0)),""))</f>
        <v/>
      </c>
      <c r="S7" s="56" t="str">
        <f>IF(T$2=0,IFERROR(INDEX($AM:$AM,MATCH($D7&amp;"|"&amp;S$3,$AS:$AS,0)),""),IFERROR(INDEX($AR:$AR,MATCH($D7&amp;"|"&amp;S$3,$AS:$AS,0)),""))</f>
        <v>16:55 | 16:43</v>
      </c>
      <c r="T7" s="46" t="str">
        <f>IF(U$2=0,IFERROR(INDEX($AM:$AM,MATCH($D7&amp;"|"&amp;T$3,$AS:$AS,0)),""),IFERROR(INDEX($AR:$AR,MATCH($D7&amp;"|"&amp;T$3,$AS:$AS,0)),""))</f>
        <v/>
      </c>
      <c r="U7" s="12" t="str">
        <f>IF(V$2=0,IFERROR(INDEX($AM:$AM,MATCH($D7&amp;"|"&amp;U$3,$AS:$AS,0)),""),IFERROR(INDEX($AR:$AR,MATCH($D7&amp;"|"&amp;U$3,$AS:$AS,0)),""))</f>
        <v/>
      </c>
      <c r="V7" s="12" t="str">
        <f>IF(W$2=0,IFERROR(INDEX($AM:$AM,MATCH($D7&amp;"|"&amp;V$3,$AS:$AS,0)),""),IFERROR(INDEX($AR:$AR,MATCH($D7&amp;"|"&amp;V$3,$AS:$AS,0)),""))</f>
        <v/>
      </c>
      <c r="W7" s="12" t="str">
        <f>IF(X$2=0,IFERROR(INDEX($AM:$AM,MATCH($D7&amp;"|"&amp;W$3,$AS:$AS,0)),""),IFERROR(INDEX($AR:$AR,MATCH($D7&amp;"|"&amp;W$3,$AS:$AS,0)),""))</f>
        <v/>
      </c>
      <c r="X7" s="12" t="str">
        <f>IF(Y$2=0,IFERROR(INDEX($AM:$AM,MATCH($D7&amp;"|"&amp;X$3,$AS:$AS,0)),""),IFERROR(INDEX($AR:$AR,MATCH($D7&amp;"|"&amp;X$3,$AS:$AS,0)),""))</f>
        <v/>
      </c>
      <c r="Y7" s="12" t="str">
        <f>IF(Z$2=0,IFERROR(INDEX($AM:$AM,MATCH($D7&amp;"|"&amp;Y$3,$AS:$AS,0)),""),IFERROR(INDEX($AR:$AR,MATCH($D7&amp;"|"&amp;Y$3,$AS:$AS,0)),""))</f>
        <v/>
      </c>
      <c r="Z7" s="12" t="str">
        <f>IF(AA$2=0,IFERROR(INDEX($AM:$AM,MATCH($D7&amp;"|"&amp;Z$3,$AS:$AS,0)),""),IFERROR(INDEX($AR:$AR,MATCH($D7&amp;"|"&amp;Z$3,$AS:$AS,0)),""))</f>
        <v/>
      </c>
      <c r="AA7" s="12" t="str">
        <f>IF(AB$2=0,IFERROR(INDEX($AM:$AM,MATCH($D7&amp;"|"&amp;AA$3,$AS:$AS,0)),""),IFERROR(INDEX($AR:$AR,MATCH($D7&amp;"|"&amp;AA$3,$AS:$AS,0)),""))</f>
        <v/>
      </c>
      <c r="AC7" s="15" t="s">
        <v>53</v>
      </c>
      <c r="AG7" s="20" t="s">
        <v>296</v>
      </c>
      <c r="AH7" s="20" t="s">
        <v>309</v>
      </c>
      <c r="AI7" s="20" t="s">
        <v>31</v>
      </c>
      <c r="AJ7" s="7">
        <v>0.37222222222222223</v>
      </c>
      <c r="AK7" s="7">
        <v>0.42708333333333331</v>
      </c>
      <c r="AL7" s="20" t="s">
        <v>52</v>
      </c>
      <c r="AM7" s="20" t="str">
        <f>+TEXT(Carro1[[#This Row],[Column1]],"hh:mm")&amp;" | " &amp;TEXT(Carro1[[#This Row],[Hora Fim]],"hh:mm")</f>
        <v>08:56 | 10:15</v>
      </c>
      <c r="AN7" s="20">
        <f>INDEX($E$3:$AA$3,MATCH(Carro1[[#This Row],[Nó]],$E$1:$AA$1,0))</f>
        <v>6</v>
      </c>
      <c r="AO7" s="7">
        <f>+IF(AND(Carro1[[#This Row],[Nó]]=AI6,Carro1[[#This Row],[Nó]]=AI8),AO6,Carro1[[#This Row],[Hora Início]])</f>
        <v>0.37222222222222223</v>
      </c>
      <c r="AP7" s="20">
        <f t="shared" si="0"/>
        <v>2</v>
      </c>
      <c r="AQ7" s="20" cm="1">
        <f t="array" ref="AQ7">IFERROR(_xlfn.IFS(AP7=AP6,AQ6,AQ6="Ramo",1),AQ6+1)</f>
        <v>1</v>
      </c>
      <c r="AR7" s="20">
        <f t="shared" si="1"/>
        <v>0</v>
      </c>
      <c r="AS7" s="20" t="str">
        <f>IF(AND(Carro1[[#This Row],[Nó]]=AI8,Carro1[[#This Row],[Nó]]=AI9),"",AQ7&amp;"|"&amp;AN7)</f>
        <v/>
      </c>
      <c r="AT7" s="20" t="str">
        <f t="shared" si="2"/>
        <v>1|6</v>
      </c>
      <c r="AU7" s="20" t="str">
        <f>IF(Carro1[[#This Row],[Tipo]]="Início",AQ7&amp;"|"&amp;AN7,"")</f>
        <v/>
      </c>
      <c r="AZ7" s="20">
        <v>2</v>
      </c>
      <c r="BA7" s="20" t="s">
        <v>24</v>
      </c>
    </row>
    <row r="8" spans="2:53" x14ac:dyDescent="0.25">
      <c r="D8" s="11">
        <f t="shared" ref="D8:D32" si="3">D7+1</f>
        <v>5</v>
      </c>
      <c r="E8" s="48" t="str">
        <f>IF(F$2=0,IFERROR(INDEX($AM:$AM,MATCH($D8&amp;"|"&amp;E$3,$AS:$AS,0)),""),IFERROR(INDEX($AR:$AR,MATCH($D8&amp;"|"&amp;E$3,$AS:$AS,0)),""))</f>
        <v>18:52 | 19:07</v>
      </c>
      <c r="F8" s="48" t="str">
        <f>IF(G$2=0,IFERROR(INDEX($AM:$AM,MATCH($D8&amp;"|"&amp;F$3,$AS:$AS,0)),""),IFERROR(INDEX($AR:$AR,MATCH($D8&amp;"|"&amp;F$3,$AS:$AS,0)),""))</f>
        <v/>
      </c>
      <c r="G8" s="48" t="str">
        <f>IF(H$2=0,IFERROR(INDEX($AM:$AM,MATCH($D8&amp;"|"&amp;G$3,$AS:$AS,0)),""),IFERROR(INDEX($AR:$AR,MATCH($D8&amp;"|"&amp;G$3,$AS:$AS,0)),""))</f>
        <v>18:39 | 18:44</v>
      </c>
      <c r="H8" s="48" t="str">
        <f>IF(I$2=0,IFERROR(INDEX($AM:$AM,MATCH($D8&amp;"|"&amp;H$3,$AS:$AS,0)),""),IFERROR(INDEX($AR:$AR,MATCH($D8&amp;"|"&amp;H$3,$AS:$AS,0)),""))</f>
        <v/>
      </c>
      <c r="I8" s="48" t="str">
        <f>IF(J$2=0,IFERROR(INDEX($AM:$AM,MATCH($D8&amp;"|"&amp;I$3,$AS:$AS,0)),""),IFERROR(INDEX($AR:$AR,MATCH($D8&amp;"|"&amp;I$3,$AS:$AS,0)),""))</f>
        <v>18:17 | 18:31</v>
      </c>
      <c r="J8" s="48" t="str">
        <f>IF(K$2=0,IFERROR(INDEX($AM:$AM,MATCH($D8&amp;"|"&amp;J$3,$AS:$AS,0)),""),IFERROR(INDEX($AR:$AR,MATCH($D8&amp;"|"&amp;J$3,$AS:$AS,0)),""))</f>
        <v/>
      </c>
      <c r="K8" s="48" t="str">
        <f>IF(L$2=0,IFERROR(INDEX($AM:$AM,MATCH($D8&amp;"|"&amp;K$3,$AS:$AS,0)),""),IFERROR(INDEX($AR:$AR,MATCH($D8&amp;"|"&amp;K$3,$AS:$AS,0)),""))</f>
        <v>18:05 | 18:15</v>
      </c>
      <c r="L8" s="48" t="str">
        <f>IF(M$2=0,IFERROR(INDEX($AM:$AM,MATCH($D8&amp;"|"&amp;L$3,$AS:$AS,0)),""),IFERROR(INDEX($AR:$AR,MATCH($D8&amp;"|"&amp;L$3,$AS:$AS,0)),""))</f>
        <v/>
      </c>
      <c r="M8" s="48" t="str">
        <f>IF(N$2=0,IFERROR(INDEX($AM:$AM,MATCH($D8&amp;"|"&amp;M$3,$AS:$AS,0)),""),IFERROR(INDEX($AR:$AR,MATCH($D8&amp;"|"&amp;M$3,$AS:$AS,0)),""))</f>
        <v>17:48 | 18:01</v>
      </c>
      <c r="N8" s="48" t="str">
        <f>IF(O$2=0,IFERROR(INDEX($AM:$AM,MATCH($D8&amp;"|"&amp;N$3,$AS:$AS,0)),""),IFERROR(INDEX($AR:$AR,MATCH($D8&amp;"|"&amp;N$3,$AS:$AS,0)),""))</f>
        <v/>
      </c>
      <c r="O8" s="48" t="str">
        <f>IF(P$2=0,IFERROR(INDEX($AM:$AM,MATCH($D8&amp;"|"&amp;O$3,$AS:$AS,0)),""),IFERROR(INDEX($AR:$AR,MATCH($D8&amp;"|"&amp;O$3,$AS:$AS,0)),""))</f>
        <v>17:14 | 17:42</v>
      </c>
      <c r="P8" s="48" t="str">
        <f>IF(Q$2=0,IFERROR(INDEX($AM:$AM,MATCH($D8&amp;"|"&amp;P$3,$AS:$AS,0)),""),IFERROR(INDEX($AR:$AR,MATCH($D8&amp;"|"&amp;P$3,$AS:$AS,0)),""))</f>
        <v/>
      </c>
      <c r="Q8" s="48" t="str">
        <f>IF(R$2=0,IFERROR(INDEX($AM:$AM,MATCH($D8&amp;"|"&amp;Q$3,$AS:$AS,0)),""),IFERROR(INDEX($AR:$AR,MATCH($D8&amp;"|"&amp;Q$3,$AS:$AS,0)),""))</f>
        <v>16:46 | 17:08</v>
      </c>
      <c r="R8" s="48" t="str">
        <f>IF(S$2=0,IFERROR(INDEX($AM:$AM,MATCH($D8&amp;"|"&amp;R$3,$AS:$AS,0)),""),IFERROR(INDEX($AR:$AR,MATCH($D8&amp;"|"&amp;R$3,$AS:$AS,0)),""))</f>
        <v/>
      </c>
      <c r="S8" s="48" t="str">
        <f>IF(T$2=0,IFERROR(INDEX($AM:$AM,MATCH($D8&amp;"|"&amp;S$3,$AS:$AS,0)),""),IFERROR(INDEX($AR:$AR,MATCH($D8&amp;"|"&amp;S$3,$AS:$AS,0)),""))</f>
        <v>16:43 | 16:43</v>
      </c>
      <c r="T8" s="12" t="str">
        <f>IF(U$2=0,IFERROR(INDEX($AM:$AM,MATCH($D8&amp;"|"&amp;T$3,$AS:$AS,0)),""),IFERROR(INDEX($AR:$AR,MATCH($D8&amp;"|"&amp;T$3,$AS:$AS,0)),""))</f>
        <v/>
      </c>
      <c r="U8" s="12" t="str">
        <f>IF(V$2=0,IFERROR(INDEX($AM:$AM,MATCH($D8&amp;"|"&amp;U$3,$AS:$AS,0)),""),IFERROR(INDEX($AR:$AR,MATCH($D8&amp;"|"&amp;U$3,$AS:$AS,0)),""))</f>
        <v/>
      </c>
      <c r="V8" s="12" t="str">
        <f>IF(W$2=0,IFERROR(INDEX($AM:$AM,MATCH($D8&amp;"|"&amp;V$3,$AS:$AS,0)),""),IFERROR(INDEX($AR:$AR,MATCH($D8&amp;"|"&amp;V$3,$AS:$AS,0)),""))</f>
        <v/>
      </c>
      <c r="W8" s="12" t="str">
        <f>IF(X$2=0,IFERROR(INDEX($AM:$AM,MATCH($D8&amp;"|"&amp;W$3,$AS:$AS,0)),""),IFERROR(INDEX($AR:$AR,MATCH($D8&amp;"|"&amp;W$3,$AS:$AS,0)),""))</f>
        <v/>
      </c>
      <c r="X8" s="12" t="str">
        <f>IF(Y$2=0,IFERROR(INDEX($AM:$AM,MATCH($D8&amp;"|"&amp;X$3,$AS:$AS,0)),""),IFERROR(INDEX($AR:$AR,MATCH($D8&amp;"|"&amp;X$3,$AS:$AS,0)),""))</f>
        <v/>
      </c>
      <c r="Y8" s="12" t="str">
        <f>IF(Z$2=0,IFERROR(INDEX($AM:$AM,MATCH($D8&amp;"|"&amp;Y$3,$AS:$AS,0)),""),IFERROR(INDEX($AR:$AR,MATCH($D8&amp;"|"&amp;Y$3,$AS:$AS,0)),""))</f>
        <v/>
      </c>
      <c r="Z8" s="12" t="str">
        <f>IF(AA$2=0,IFERROR(INDEX($AM:$AM,MATCH($D8&amp;"|"&amp;Z$3,$AS:$AS,0)),""),IFERROR(INDEX($AR:$AR,MATCH($D8&amp;"|"&amp;Z$3,$AS:$AS,0)),""))</f>
        <v/>
      </c>
      <c r="AA8" s="12" t="str">
        <f>IF(AB$2=0,IFERROR(INDEX($AM:$AM,MATCH($D8&amp;"|"&amp;AA$3,$AS:$AS,0)),""),IFERROR(INDEX($AR:$AR,MATCH($D8&amp;"|"&amp;AA$3,$AS:$AS,0)),""))</f>
        <v/>
      </c>
      <c r="AC8" s="16" t="s">
        <v>52</v>
      </c>
      <c r="AG8" s="20" t="s">
        <v>296</v>
      </c>
      <c r="AH8" s="20" t="s">
        <v>309</v>
      </c>
      <c r="AI8" s="20" t="s">
        <v>31</v>
      </c>
      <c r="AJ8" s="7">
        <v>0.42916666666666664</v>
      </c>
      <c r="AK8" s="7">
        <v>0.43611111111111112</v>
      </c>
      <c r="AL8" s="20" t="s">
        <v>297</v>
      </c>
      <c r="AM8" s="20" t="str">
        <f>+TEXT(Carro1[[#This Row],[Column1]],"hh:mm")&amp;" | " &amp;TEXT(Carro1[[#This Row],[Hora Fim]],"hh:mm")</f>
        <v>08:56 | 10:28</v>
      </c>
      <c r="AN8" s="20">
        <f>INDEX($E$3:$AA$3,MATCH(Carro1[[#This Row],[Nó]],$E$1:$AA$1,0))</f>
        <v>6</v>
      </c>
      <c r="AO8" s="7">
        <f>+IF(AND(Carro1[[#This Row],[Nó]]=AI7,Carro1[[#This Row],[Nó]]=AI9),AO7,Carro1[[#This Row],[Hora Início]])</f>
        <v>0.37222222222222223</v>
      </c>
      <c r="AP8" s="20">
        <f t="shared" si="0"/>
        <v>2</v>
      </c>
      <c r="AQ8" s="20" cm="1">
        <f t="array" ref="AQ8">IFERROR(_xlfn.IFS(AP8=AP7,AQ7,AQ7="Ramo",1),AQ7+1)</f>
        <v>1</v>
      </c>
      <c r="AR8" s="20">
        <f t="shared" si="1"/>
        <v>0</v>
      </c>
      <c r="AS8" s="20" t="str">
        <f>IF(AND(Carro1[[#This Row],[Nó]]=AI9,Carro1[[#This Row],[Nó]]=AI10),"",AQ8&amp;"|"&amp;AN8)</f>
        <v/>
      </c>
      <c r="AT8" s="20" t="str">
        <f t="shared" si="2"/>
        <v>1|6</v>
      </c>
      <c r="AU8" s="20" t="str">
        <f>IF(Carro1[[#This Row],[Tipo]]="Início",AQ8&amp;"|"&amp;AN8,"")</f>
        <v/>
      </c>
      <c r="AZ8" s="20">
        <v>1</v>
      </c>
      <c r="BA8" s="20" t="s">
        <v>22</v>
      </c>
    </row>
    <row r="9" spans="2:53" x14ac:dyDescent="0.25">
      <c r="D9" s="11">
        <f t="shared" si="3"/>
        <v>6</v>
      </c>
      <c r="E9" s="12" t="str">
        <f>IF(F$2=0,IFERROR(INDEX($AM:$AM,MATCH($D9&amp;"|"&amp;E$3,$AS:$AS,0)),""),IFERROR(INDEX($AR:$AR,MATCH($D9&amp;"|"&amp;E$3,$AS:$AS,0)),""))</f>
        <v>19:07 | 19:07</v>
      </c>
      <c r="F9" s="12" t="str">
        <f>IF(G$2=0,IFERROR(INDEX($AM:$AM,MATCH($D9&amp;"|"&amp;F$3,$AS:$AS,0)),""),IFERROR(INDEX($AR:$AR,MATCH($D9&amp;"|"&amp;F$3,$AS:$AS,0)),""))</f>
        <v/>
      </c>
      <c r="G9" s="12" t="str">
        <f>IF(H$2=0,IFERROR(INDEX($AM:$AM,MATCH($D9&amp;"|"&amp;G$3,$AS:$AS,0)),""),IFERROR(INDEX($AR:$AR,MATCH($D9&amp;"|"&amp;G$3,$AS:$AS,0)),""))</f>
        <v>19:08 | 19:13</v>
      </c>
      <c r="H9" s="12" t="str">
        <f>IF(I$2=0,IFERROR(INDEX($AM:$AM,MATCH($D9&amp;"|"&amp;H$3,$AS:$AS,0)),""),IFERROR(INDEX($AR:$AR,MATCH($D9&amp;"|"&amp;H$3,$AS:$AS,0)),""))</f>
        <v/>
      </c>
      <c r="I9" s="12" t="str">
        <f>IF(J$2=0,IFERROR(INDEX($AM:$AM,MATCH($D9&amp;"|"&amp;I$3,$AS:$AS,0)),""),IFERROR(INDEX($AR:$AR,MATCH($D9&amp;"|"&amp;I$3,$AS:$AS,0)),""))</f>
        <v>19:21 | 19:35</v>
      </c>
      <c r="J9" s="12" t="str">
        <f>IF(K$2=0,IFERROR(INDEX($AM:$AM,MATCH($D9&amp;"|"&amp;J$3,$AS:$AS,0)),""),IFERROR(INDEX($AR:$AR,MATCH($D9&amp;"|"&amp;J$3,$AS:$AS,0)),""))</f>
        <v/>
      </c>
      <c r="K9" s="12" t="str">
        <f>IF(L$2=0,IFERROR(INDEX($AM:$AM,MATCH($D9&amp;"|"&amp;K$3,$AS:$AS,0)),""),IFERROR(INDEX($AR:$AR,MATCH($D9&amp;"|"&amp;K$3,$AS:$AS,0)),""))</f>
        <v>19:43 | 19:53</v>
      </c>
      <c r="L9" s="12" t="str">
        <f>IF(M$2=0,IFERROR(INDEX($AM:$AM,MATCH($D9&amp;"|"&amp;L$3,$AS:$AS,0)),""),IFERROR(INDEX($AR:$AR,MATCH($D9&amp;"|"&amp;L$3,$AS:$AS,0)),""))</f>
        <v/>
      </c>
      <c r="M9" s="12" t="str">
        <f>IF(N$2=0,IFERROR(INDEX($AM:$AM,MATCH($D9&amp;"|"&amp;M$3,$AS:$AS,0)),""),IFERROR(INDEX($AR:$AR,MATCH($D9&amp;"|"&amp;M$3,$AS:$AS,0)),""))</f>
        <v>19:55 | 20:08</v>
      </c>
      <c r="N9" s="12" t="str">
        <f>IF(O$2=0,IFERROR(INDEX($AM:$AM,MATCH($D9&amp;"|"&amp;N$3,$AS:$AS,0)),""),IFERROR(INDEX($AR:$AR,MATCH($D9&amp;"|"&amp;N$3,$AS:$AS,0)),""))</f>
        <v/>
      </c>
      <c r="O9" s="12" t="str">
        <f>IF(P$2=0,IFERROR(INDEX($AM:$AM,MATCH($D9&amp;"|"&amp;O$3,$AS:$AS,0)),""),IFERROR(INDEX($AR:$AR,MATCH($D9&amp;"|"&amp;O$3,$AS:$AS,0)),""))</f>
        <v>20:12 | 20:53</v>
      </c>
      <c r="P9" s="12" t="str">
        <f>IF(Q$2=0,IFERROR(INDEX($AM:$AM,MATCH($D9&amp;"|"&amp;P$3,$AS:$AS,0)),""),IFERROR(INDEX($AR:$AR,MATCH($D9&amp;"|"&amp;P$3,$AS:$AS,0)),""))</f>
        <v/>
      </c>
      <c r="Q9" s="12" t="str">
        <f>IF(R$2=0,IFERROR(INDEX($AM:$AM,MATCH($D9&amp;"|"&amp;Q$3,$AS:$AS,0)),""),IFERROR(INDEX($AR:$AR,MATCH($D9&amp;"|"&amp;Q$3,$AS:$AS,0)),""))</f>
        <v>20:59 | 21:08</v>
      </c>
      <c r="R9" s="12" t="str">
        <f>IF(S$2=0,IFERROR(INDEX($AM:$AM,MATCH($D9&amp;"|"&amp;R$3,$AS:$AS,0)),""),IFERROR(INDEX($AR:$AR,MATCH($D9&amp;"|"&amp;R$3,$AS:$AS,0)),""))</f>
        <v/>
      </c>
      <c r="S9" s="12" t="str">
        <f>IF(T$2=0,IFERROR(INDEX($AM:$AM,MATCH($D9&amp;"|"&amp;S$3,$AS:$AS,0)),""),IFERROR(INDEX($AR:$AR,MATCH($D9&amp;"|"&amp;S$3,$AS:$AS,0)),""))</f>
        <v>21:14 | 21:14</v>
      </c>
      <c r="T9" s="12" t="str">
        <f>IF(U$2=0,IFERROR(INDEX($AM:$AM,MATCH($D9&amp;"|"&amp;T$3,$AS:$AS,0)),""),IFERROR(INDEX($AR:$AR,MATCH($D9&amp;"|"&amp;T$3,$AS:$AS,0)),""))</f>
        <v/>
      </c>
      <c r="U9" s="12" t="str">
        <f>IF(V$2=0,IFERROR(INDEX($AM:$AM,MATCH($D9&amp;"|"&amp;U$3,$AS:$AS,0)),""),IFERROR(INDEX($AR:$AR,MATCH($D9&amp;"|"&amp;U$3,$AS:$AS,0)),""))</f>
        <v/>
      </c>
      <c r="V9" s="12" t="str">
        <f>IF(W$2=0,IFERROR(INDEX($AM:$AM,MATCH($D9&amp;"|"&amp;V$3,$AS:$AS,0)),""),IFERROR(INDEX($AR:$AR,MATCH($D9&amp;"|"&amp;V$3,$AS:$AS,0)),""))</f>
        <v/>
      </c>
      <c r="W9" s="12" t="str">
        <f>IF(X$2=0,IFERROR(INDEX($AM:$AM,MATCH($D9&amp;"|"&amp;W$3,$AS:$AS,0)),""),IFERROR(INDEX($AR:$AR,MATCH($D9&amp;"|"&amp;W$3,$AS:$AS,0)),""))</f>
        <v/>
      </c>
      <c r="X9" s="12" t="str">
        <f>IF(Y$2=0,IFERROR(INDEX($AM:$AM,MATCH($D9&amp;"|"&amp;X$3,$AS:$AS,0)),""),IFERROR(INDEX($AR:$AR,MATCH($D9&amp;"|"&amp;X$3,$AS:$AS,0)),""))</f>
        <v/>
      </c>
      <c r="Y9" s="12" t="str">
        <f>IF(Z$2=0,IFERROR(INDEX($AM:$AM,MATCH($D9&amp;"|"&amp;Y$3,$AS:$AS,0)),""),IFERROR(INDEX($AR:$AR,MATCH($D9&amp;"|"&amp;Y$3,$AS:$AS,0)),""))</f>
        <v/>
      </c>
      <c r="Z9" s="12" t="str">
        <f>IF(AA$2=0,IFERROR(INDEX($AM:$AM,MATCH($D9&amp;"|"&amp;Z$3,$AS:$AS,0)),""),IFERROR(INDEX($AR:$AR,MATCH($D9&amp;"|"&amp;Z$3,$AS:$AS,0)),""))</f>
        <v/>
      </c>
      <c r="AA9" s="12" t="str">
        <f>IF(AB$2=0,IFERROR(INDEX($AM:$AM,MATCH($D9&amp;"|"&amp;AA$3,$AS:$AS,0)),""),IFERROR(INDEX($AR:$AR,MATCH($D9&amp;"|"&amp;AA$3,$AS:$AS,0)),""))</f>
        <v/>
      </c>
      <c r="AC9" s="41" t="s">
        <v>313</v>
      </c>
      <c r="AG9" s="20" t="s">
        <v>296</v>
      </c>
      <c r="AH9" s="20" t="s">
        <v>309</v>
      </c>
      <c r="AI9" s="20" t="s">
        <v>31</v>
      </c>
      <c r="AJ9" s="7">
        <v>0.43819444444444444</v>
      </c>
      <c r="AK9" s="7">
        <v>0.44444444444444442</v>
      </c>
      <c r="AL9" s="20" t="s">
        <v>50</v>
      </c>
      <c r="AM9" s="20" t="str">
        <f>+TEXT(Carro1[[#This Row],[Column1]],"hh:mm")&amp;" | " &amp;TEXT(Carro1[[#This Row],[Hora Fim]],"hh:mm")</f>
        <v>08:56 | 10:40</v>
      </c>
      <c r="AN9" s="20">
        <f>INDEX($E$3:$AA$3,MATCH(Carro1[[#This Row],[Nó]],$E$1:$AA$1,0))</f>
        <v>6</v>
      </c>
      <c r="AO9" s="7">
        <f>+IF(AND(Carro1[[#This Row],[Nó]]=AI8,Carro1[[#This Row],[Nó]]=AI10),AO8,Carro1[[#This Row],[Hora Início]])</f>
        <v>0.37222222222222223</v>
      </c>
      <c r="AP9" s="20">
        <f t="shared" si="0"/>
        <v>2</v>
      </c>
      <c r="AQ9" s="20" cm="1">
        <f t="array" ref="AQ9">IFERROR(_xlfn.IFS(AP9=AP8,AQ8,AQ8="Ramo",1),AQ8+1)</f>
        <v>1</v>
      </c>
      <c r="AR9" s="20">
        <f t="shared" si="1"/>
        <v>0</v>
      </c>
      <c r="AS9" s="20" t="str">
        <f>IF(AND(Carro1[[#This Row],[Nó]]=AI10,Carro1[[#This Row],[Nó]]=AI11),"",AQ9&amp;"|"&amp;AN9)</f>
        <v>1|6</v>
      </c>
      <c r="AT9" s="20" t="str">
        <f t="shared" si="2"/>
        <v>1|6</v>
      </c>
      <c r="AU9" s="20" t="str">
        <f>IF(Carro1[[#This Row],[Tipo]]="Início",AQ9&amp;"|"&amp;AN9,"")</f>
        <v/>
      </c>
      <c r="AZ9" s="20">
        <v>0</v>
      </c>
      <c r="BA9" s="20" t="s">
        <v>20</v>
      </c>
    </row>
    <row r="10" spans="2:53" x14ac:dyDescent="0.25">
      <c r="D10" s="11">
        <f t="shared" si="3"/>
        <v>7</v>
      </c>
      <c r="E10" s="12" t="str">
        <f>IF(F$2=0,IFERROR(INDEX($AM:$AM,MATCH($D10&amp;"|"&amp;E$3,$AS:$AS,0)),""),IFERROR(INDEX($AR:$AR,MATCH($D10&amp;"|"&amp;E$3,$AS:$AS,0)),""))</f>
        <v>21:33 | 21:33</v>
      </c>
      <c r="F10" s="12" t="str">
        <f>IF(G$2=0,IFERROR(INDEX($AM:$AM,MATCH($D10&amp;"|"&amp;F$3,$AS:$AS,0)),""),IFERROR(INDEX($AR:$AR,MATCH($D10&amp;"|"&amp;F$3,$AS:$AS,0)),""))</f>
        <v/>
      </c>
      <c r="G10" s="12" t="str">
        <f>IF(H$2=0,IFERROR(INDEX($AM:$AM,MATCH($D10&amp;"|"&amp;G$3,$AS:$AS,0)),""),IFERROR(INDEX($AR:$AR,MATCH($D10&amp;"|"&amp;G$3,$AS:$AS,0)),""))</f>
        <v>21:32 | 21:32</v>
      </c>
      <c r="H10" s="12" t="str">
        <f>IF(I$2=0,IFERROR(INDEX($AM:$AM,MATCH($D10&amp;"|"&amp;H$3,$AS:$AS,0)),""),IFERROR(INDEX($AR:$AR,MATCH($D10&amp;"|"&amp;H$3,$AS:$AS,0)),""))</f>
        <v/>
      </c>
      <c r="I10" s="12" t="str">
        <f>IF(J$2=0,IFERROR(INDEX($AM:$AM,MATCH($D10&amp;"|"&amp;I$3,$AS:$AS,0)),""),IFERROR(INDEX($AR:$AR,MATCH($D10&amp;"|"&amp;I$3,$AS:$AS,0)),""))</f>
        <v>21:25 | 21:25</v>
      </c>
      <c r="J10" s="12" t="str">
        <f>IF(K$2=0,IFERROR(INDEX($AM:$AM,MATCH($D10&amp;"|"&amp;J$3,$AS:$AS,0)),""),IFERROR(INDEX($AR:$AR,MATCH($D10&amp;"|"&amp;J$3,$AS:$AS,0)),""))</f>
        <v/>
      </c>
      <c r="K10" s="12" t="str">
        <f>IF(L$2=0,IFERROR(INDEX($AM:$AM,MATCH($D10&amp;"|"&amp;K$3,$AS:$AS,0)),""),IFERROR(INDEX($AR:$AR,MATCH($D10&amp;"|"&amp;K$3,$AS:$AS,0)),""))</f>
        <v>21:24 | 21:24</v>
      </c>
      <c r="L10" s="12" t="str">
        <f>IF(M$2=0,IFERROR(INDEX($AM:$AM,MATCH($D10&amp;"|"&amp;L$3,$AS:$AS,0)),""),IFERROR(INDEX($AR:$AR,MATCH($D10&amp;"|"&amp;L$3,$AS:$AS,0)),""))</f>
        <v/>
      </c>
      <c r="M10" s="12" t="str">
        <f>IF(N$2=0,IFERROR(INDEX($AM:$AM,MATCH($D10&amp;"|"&amp;M$3,$AS:$AS,0)),""),IFERROR(INDEX($AR:$AR,MATCH($D10&amp;"|"&amp;M$3,$AS:$AS,0)),""))</f>
        <v>21:23 | 21:23</v>
      </c>
      <c r="N10" s="12" t="str">
        <f>IF(O$2=0,IFERROR(INDEX($AM:$AM,MATCH($D10&amp;"|"&amp;N$3,$AS:$AS,0)),""),IFERROR(INDEX($AR:$AR,MATCH($D10&amp;"|"&amp;N$3,$AS:$AS,0)),""))</f>
        <v/>
      </c>
      <c r="O10" s="12" t="str">
        <f>IF(P$2=0,IFERROR(INDEX($AM:$AM,MATCH($D10&amp;"|"&amp;O$3,$AS:$AS,0)),""),IFERROR(INDEX($AR:$AR,MATCH($D10&amp;"|"&amp;O$3,$AS:$AS,0)),""))</f>
        <v>21:20 | 21:20</v>
      </c>
      <c r="P10" s="12" t="str">
        <f>IF(Q$2=0,IFERROR(INDEX($AM:$AM,MATCH($D10&amp;"|"&amp;P$3,$AS:$AS,0)),""),IFERROR(INDEX($AR:$AR,MATCH($D10&amp;"|"&amp;P$3,$AS:$AS,0)),""))</f>
        <v/>
      </c>
      <c r="Q10" s="12" t="str">
        <f>IF(R$2=0,IFERROR(INDEX($AM:$AM,MATCH($D10&amp;"|"&amp;Q$3,$AS:$AS,0)),""),IFERROR(INDEX($AR:$AR,MATCH($D10&amp;"|"&amp;Q$3,$AS:$AS,0)),""))</f>
        <v>21:17 | 21:17</v>
      </c>
      <c r="R10" s="12" t="str">
        <f>IF(S$2=0,IFERROR(INDEX($AM:$AM,MATCH($D10&amp;"|"&amp;R$3,$AS:$AS,0)),""),IFERROR(INDEX($AR:$AR,MATCH($D10&amp;"|"&amp;R$3,$AS:$AS,0)),""))</f>
        <v/>
      </c>
      <c r="S10" s="12" t="str">
        <f>IF(T$2=0,IFERROR(INDEX($AM:$AM,MATCH($D10&amp;"|"&amp;S$3,$AS:$AS,0)),""),IFERROR(INDEX($AR:$AR,MATCH($D10&amp;"|"&amp;S$3,$AS:$AS,0)),""))</f>
        <v>21:14 | 21:14</v>
      </c>
      <c r="T10" s="12" t="str">
        <f>IF(U$2=0,IFERROR(INDEX($AM:$AM,MATCH($D10&amp;"|"&amp;T$3,$AS:$AS,0)),""),IFERROR(INDEX($AR:$AR,MATCH($D10&amp;"|"&amp;T$3,$AS:$AS,0)),""))</f>
        <v/>
      </c>
      <c r="U10" s="12" t="str">
        <f>IF(V$2=0,IFERROR(INDEX($AM:$AM,MATCH($D10&amp;"|"&amp;U$3,$AS:$AS,0)),""),IFERROR(INDEX($AR:$AR,MATCH($D10&amp;"|"&amp;U$3,$AS:$AS,0)),""))</f>
        <v/>
      </c>
      <c r="V10" s="12" t="str">
        <f>IF(W$2=0,IFERROR(INDEX($AM:$AM,MATCH($D10&amp;"|"&amp;V$3,$AS:$AS,0)),""),IFERROR(INDEX($AR:$AR,MATCH($D10&amp;"|"&amp;V$3,$AS:$AS,0)),""))</f>
        <v/>
      </c>
      <c r="W10" s="12" t="str">
        <f>IF(X$2=0,IFERROR(INDEX($AM:$AM,MATCH($D10&amp;"|"&amp;W$3,$AS:$AS,0)),""),IFERROR(INDEX($AR:$AR,MATCH($D10&amp;"|"&amp;W$3,$AS:$AS,0)),""))</f>
        <v/>
      </c>
      <c r="X10" s="12" t="str">
        <f>IF(Y$2=0,IFERROR(INDEX($AM:$AM,MATCH($D10&amp;"|"&amp;X$3,$AS:$AS,0)),""),IFERROR(INDEX($AR:$AR,MATCH($D10&amp;"|"&amp;X$3,$AS:$AS,0)),""))</f>
        <v/>
      </c>
      <c r="Y10" s="12" t="str">
        <f>IF(Z$2=0,IFERROR(INDEX($AM:$AM,MATCH($D10&amp;"|"&amp;Y$3,$AS:$AS,0)),""),IFERROR(INDEX($AR:$AR,MATCH($D10&amp;"|"&amp;Y$3,$AS:$AS,0)),""))</f>
        <v/>
      </c>
      <c r="Z10" s="12" t="str">
        <f>IF(AA$2=0,IFERROR(INDEX($AM:$AM,MATCH($D10&amp;"|"&amp;Z$3,$AS:$AS,0)),""),IFERROR(INDEX($AR:$AR,MATCH($D10&amp;"|"&amp;Z$3,$AS:$AS,0)),""))</f>
        <v/>
      </c>
      <c r="AA10" s="12" t="str">
        <f>IF(AB$2=0,IFERROR(INDEX($AM:$AM,MATCH($D10&amp;"|"&amp;AA$3,$AS:$AS,0)),""),IFERROR(INDEX($AR:$AR,MATCH($D10&amp;"|"&amp;AA$3,$AS:$AS,0)),""))</f>
        <v/>
      </c>
      <c r="AG10" s="20" t="s">
        <v>296</v>
      </c>
      <c r="AH10" s="20" t="s">
        <v>309</v>
      </c>
      <c r="AI10" s="20" t="s">
        <v>31</v>
      </c>
      <c r="AJ10" s="7">
        <v>0.4465277777777778</v>
      </c>
      <c r="AK10" s="7">
        <v>0.4465277777777778</v>
      </c>
      <c r="AL10" s="20" t="s">
        <v>51</v>
      </c>
      <c r="AM10" s="20" t="str">
        <f>+TEXT(Carro1[[#This Row],[Column1]],"hh:mm")&amp;" | " &amp;TEXT(Carro1[[#This Row],[Hora Fim]],"hh:mm")</f>
        <v>10:43 | 10:43</v>
      </c>
      <c r="AN10" s="20">
        <f>INDEX($E$3:$AA$3,MATCH(Carro1[[#This Row],[Nó]],$E$1:$AA$1,0))</f>
        <v>6</v>
      </c>
      <c r="AO10" s="7">
        <f>+IF(AND(Carro1[[#This Row],[Nó]]=AI9,Carro1[[#This Row],[Nó]]=AI11),AO9,Carro1[[#This Row],[Hora Início]])</f>
        <v>0.4465277777777778</v>
      </c>
      <c r="AP10" s="20">
        <f t="shared" si="0"/>
        <v>2</v>
      </c>
      <c r="AQ10" s="20" cm="1">
        <f t="array" ref="AQ10">IFERROR(_xlfn.IFS(AP10=AP9,AQ9,AQ9="Ramo",1),AQ9+1)</f>
        <v>1</v>
      </c>
      <c r="AR10" s="20">
        <f t="shared" si="1"/>
        <v>0</v>
      </c>
      <c r="AS10" s="20" t="str">
        <f>IF(AND(Carro1[[#This Row],[Nó]]=AI11,Carro1[[#This Row],[Nó]]=AI12),"",AQ10&amp;"|"&amp;AN10)</f>
        <v>1|6</v>
      </c>
      <c r="AT10" s="20" t="str">
        <f t="shared" si="2"/>
        <v>1|6</v>
      </c>
      <c r="AU10" s="20" t="str">
        <f>IF(Carro1[[#This Row],[Tipo]]="Início",AQ10&amp;"|"&amp;AN10,"")</f>
        <v/>
      </c>
    </row>
    <row r="11" spans="2:53" x14ac:dyDescent="0.25">
      <c r="D11" s="11">
        <f t="shared" si="3"/>
        <v>8</v>
      </c>
      <c r="E11" s="12" t="str">
        <f>IF(F$2=0,IFERROR(INDEX($AM:$AM,MATCH($D11&amp;"|"&amp;E$3,$AS:$AS,0)),""),IFERROR(INDEX($AR:$AR,MATCH($D11&amp;"|"&amp;E$3,$AS:$AS,0)),""))</f>
        <v>21:33 | 21:33</v>
      </c>
      <c r="F11" s="12" t="str">
        <f>IF(G$2=0,IFERROR(INDEX($AM:$AM,MATCH($D11&amp;"|"&amp;F$3,$AS:$AS,0)),""),IFERROR(INDEX($AR:$AR,MATCH($D11&amp;"|"&amp;F$3,$AS:$AS,0)),""))</f>
        <v/>
      </c>
      <c r="G11" s="12" t="str">
        <f>IF(H$2=0,IFERROR(INDEX($AM:$AM,MATCH($D11&amp;"|"&amp;G$3,$AS:$AS,0)),""),IFERROR(INDEX($AR:$AR,MATCH($D11&amp;"|"&amp;G$3,$AS:$AS,0)),""))</f>
        <v>21:34 | 22:53</v>
      </c>
      <c r="H11" s="12" t="str">
        <f>IF(I$2=0,IFERROR(INDEX($AM:$AM,MATCH($D11&amp;"|"&amp;H$3,$AS:$AS,0)),""),IFERROR(INDEX($AR:$AR,MATCH($D11&amp;"|"&amp;H$3,$AS:$AS,0)),""))</f>
        <v/>
      </c>
      <c r="I11" s="12" t="str">
        <f>IF(J$2=0,IFERROR(INDEX($AM:$AM,MATCH($D11&amp;"|"&amp;I$3,$AS:$AS,0)),""),IFERROR(INDEX($AR:$AR,MATCH($D11&amp;"|"&amp;I$3,$AS:$AS,0)),""))</f>
        <v>23:01 | 23:01</v>
      </c>
      <c r="J11" s="12" t="str">
        <f>IF(K$2=0,IFERROR(INDEX($AM:$AM,MATCH($D11&amp;"|"&amp;J$3,$AS:$AS,0)),""),IFERROR(INDEX($AR:$AR,MATCH($D11&amp;"|"&amp;J$3,$AS:$AS,0)),""))</f>
        <v/>
      </c>
      <c r="K11" s="12" t="str">
        <f>IF(L$2=0,IFERROR(INDEX($AM:$AM,MATCH($D11&amp;"|"&amp;K$3,$AS:$AS,0)),""),IFERROR(INDEX($AR:$AR,MATCH($D11&amp;"|"&amp;K$3,$AS:$AS,0)),""))</f>
        <v>23:02 | 23:02</v>
      </c>
      <c r="L11" s="12" t="str">
        <f>IF(M$2=0,IFERROR(INDEX($AM:$AM,MATCH($D11&amp;"|"&amp;L$3,$AS:$AS,0)),""),IFERROR(INDEX($AR:$AR,MATCH($D11&amp;"|"&amp;L$3,$AS:$AS,0)),""))</f>
        <v/>
      </c>
      <c r="M11" s="12" t="str">
        <f>IF(N$2=0,IFERROR(INDEX($AM:$AM,MATCH($D11&amp;"|"&amp;M$3,$AS:$AS,0)),""),IFERROR(INDEX($AR:$AR,MATCH($D11&amp;"|"&amp;M$3,$AS:$AS,0)),""))</f>
        <v>23:03 | 23:03</v>
      </c>
      <c r="N11" s="12" t="str">
        <f>IF(O$2=0,IFERROR(INDEX($AM:$AM,MATCH($D11&amp;"|"&amp;N$3,$AS:$AS,0)),""),IFERROR(INDEX($AR:$AR,MATCH($D11&amp;"|"&amp;N$3,$AS:$AS,0)),""))</f>
        <v/>
      </c>
      <c r="O11" s="12" t="str">
        <f>IF(P$2=0,IFERROR(INDEX($AM:$AM,MATCH($D11&amp;"|"&amp;O$3,$AS:$AS,0)),""),IFERROR(INDEX($AR:$AR,MATCH($D11&amp;"|"&amp;O$3,$AS:$AS,0)),""))</f>
        <v>23:06 | 23:06</v>
      </c>
      <c r="P11" s="12" t="str">
        <f>IF(Q$2=0,IFERROR(INDEX($AM:$AM,MATCH($D11&amp;"|"&amp;P$3,$AS:$AS,0)),""),IFERROR(INDEX($AR:$AR,MATCH($D11&amp;"|"&amp;P$3,$AS:$AS,0)),""))</f>
        <v/>
      </c>
      <c r="Q11" s="12" t="str">
        <f>IF(R$2=0,IFERROR(INDEX($AM:$AM,MATCH($D11&amp;"|"&amp;Q$3,$AS:$AS,0)),""),IFERROR(INDEX($AR:$AR,MATCH($D11&amp;"|"&amp;Q$3,$AS:$AS,0)),""))</f>
        <v>23:09 | 00:28</v>
      </c>
      <c r="R11" s="12" t="str">
        <f>IF(S$2=0,IFERROR(INDEX($AM:$AM,MATCH($D11&amp;"|"&amp;R$3,$AS:$AS,0)),""),IFERROR(INDEX($AR:$AR,MATCH($D11&amp;"|"&amp;R$3,$AS:$AS,0)),""))</f>
        <v/>
      </c>
      <c r="S11" s="12" t="str">
        <f>IF(T$2=0,IFERROR(INDEX($AM:$AM,MATCH($D11&amp;"|"&amp;S$3,$AS:$AS,0)),""),IFERROR(INDEX($AR:$AR,MATCH($D11&amp;"|"&amp;S$3,$AS:$AS,0)),""))</f>
        <v>00:34 | 00:43</v>
      </c>
      <c r="T11" s="12" t="str">
        <f>IF(U$2=0,IFERROR(INDEX($AM:$AM,MATCH($D11&amp;"|"&amp;T$3,$AS:$AS,0)),""),IFERROR(INDEX($AR:$AR,MATCH($D11&amp;"|"&amp;T$3,$AS:$AS,0)),""))</f>
        <v/>
      </c>
      <c r="U11" s="12" t="str">
        <f>IF(V$2=0,IFERROR(INDEX($AM:$AM,MATCH($D11&amp;"|"&amp;U$3,$AS:$AS,0)),""),IFERROR(INDEX($AR:$AR,MATCH($D11&amp;"|"&amp;U$3,$AS:$AS,0)),""))</f>
        <v/>
      </c>
      <c r="V11" s="12" t="str">
        <f>IF(W$2=0,IFERROR(INDEX($AM:$AM,MATCH($D11&amp;"|"&amp;V$3,$AS:$AS,0)),""),IFERROR(INDEX($AR:$AR,MATCH($D11&amp;"|"&amp;V$3,$AS:$AS,0)),""))</f>
        <v/>
      </c>
      <c r="W11" s="12" t="str">
        <f>IF(X$2=0,IFERROR(INDEX($AM:$AM,MATCH($D11&amp;"|"&amp;W$3,$AS:$AS,0)),""),IFERROR(INDEX($AR:$AR,MATCH($D11&amp;"|"&amp;W$3,$AS:$AS,0)),""))</f>
        <v/>
      </c>
      <c r="X11" s="12" t="str">
        <f>IF(Y$2=0,IFERROR(INDEX($AM:$AM,MATCH($D11&amp;"|"&amp;X$3,$AS:$AS,0)),""),IFERROR(INDEX($AR:$AR,MATCH($D11&amp;"|"&amp;X$3,$AS:$AS,0)),""))</f>
        <v/>
      </c>
      <c r="Y11" s="12" t="str">
        <f>IF(Z$2=0,IFERROR(INDEX($AM:$AM,MATCH($D11&amp;"|"&amp;Y$3,$AS:$AS,0)),""),IFERROR(INDEX($AR:$AR,MATCH($D11&amp;"|"&amp;Y$3,$AS:$AS,0)),""))</f>
        <v/>
      </c>
      <c r="Z11" s="12" t="str">
        <f>IF(AA$2=0,IFERROR(INDEX($AM:$AM,MATCH($D11&amp;"|"&amp;Z$3,$AS:$AS,0)),""),IFERROR(INDEX($AR:$AR,MATCH($D11&amp;"|"&amp;Z$3,$AS:$AS,0)),""))</f>
        <v/>
      </c>
      <c r="AA11" s="12" t="str">
        <f>IF(AB$2=0,IFERROR(INDEX($AM:$AM,MATCH($D11&amp;"|"&amp;AA$3,$AS:$AS,0)),""),IFERROR(INDEX($AR:$AR,MATCH($D11&amp;"|"&amp;AA$3,$AS:$AS,0)),""))</f>
        <v/>
      </c>
      <c r="AG11" s="20" t="s">
        <v>296</v>
      </c>
      <c r="AH11" s="20" t="s">
        <v>308</v>
      </c>
      <c r="AI11" s="20" t="s">
        <v>29</v>
      </c>
      <c r="AJ11" s="7">
        <v>0.44861111111111113</v>
      </c>
      <c r="AK11" s="7">
        <v>0.46805555555555556</v>
      </c>
      <c r="AL11" s="20" t="s">
        <v>50</v>
      </c>
      <c r="AM11" s="20" t="str">
        <f>+TEXT(Carro1[[#This Row],[Column1]],"hh:mm")&amp;" | " &amp;TEXT(Carro1[[#This Row],[Hora Fim]],"hh:mm")</f>
        <v>10:46 | 11:14</v>
      </c>
      <c r="AN11" s="20">
        <f>INDEX($E$3:$AA$3,MATCH(Carro1[[#This Row],[Nó]],$E$1:$AA$1,0))</f>
        <v>5</v>
      </c>
      <c r="AO11" s="7">
        <f>+IF(AND(Carro1[[#This Row],[Nó]]=AI10,Carro1[[#This Row],[Nó]]=AI12),AO10,Carro1[[#This Row],[Hora Início]])</f>
        <v>0.44861111111111113</v>
      </c>
      <c r="AP11" s="20">
        <f t="shared" si="0"/>
        <v>2</v>
      </c>
      <c r="AQ11" s="20" cm="1">
        <f t="array" ref="AQ11">IFERROR(_xlfn.IFS(AP11=AP10,AQ10,AQ10="Ramo",1),AQ10+1)</f>
        <v>1</v>
      </c>
      <c r="AR11" s="20">
        <f t="shared" si="1"/>
        <v>0</v>
      </c>
      <c r="AS11" s="20" t="str">
        <f>IF(AND(Carro1[[#This Row],[Nó]]=AI12,Carro1[[#This Row],[Nó]]=AI13),"",AQ11&amp;"|"&amp;AN11)</f>
        <v>1|5</v>
      </c>
      <c r="AT11" s="20" t="str">
        <f t="shared" si="2"/>
        <v>1|5</v>
      </c>
      <c r="AU11" s="20" t="str">
        <f>IF(Carro1[[#This Row],[Tipo]]="Início",AQ11&amp;"|"&amp;AN11,"")</f>
        <v/>
      </c>
    </row>
    <row r="12" spans="2:53" x14ac:dyDescent="0.25">
      <c r="D12" s="11">
        <f t="shared" si="3"/>
        <v>9</v>
      </c>
      <c r="E12" s="12" t="str">
        <f>IF(F$2=0,IFERROR(INDEX($AM:$AM,MATCH($D12&amp;"|"&amp;E$3,$AS:$AS,0)),""),IFERROR(INDEX($AR:$AR,MATCH($D12&amp;"|"&amp;E$3,$AS:$AS,0)),""))</f>
        <v>02:52 | 03:07</v>
      </c>
      <c r="F12" s="12" t="str">
        <f>IF(G$2=0,IFERROR(INDEX($AM:$AM,MATCH($D12&amp;"|"&amp;F$3,$AS:$AS,0)),""),IFERROR(INDEX($AR:$AR,MATCH($D12&amp;"|"&amp;F$3,$AS:$AS,0)),""))</f>
        <v/>
      </c>
      <c r="G12" s="12" t="str">
        <f>IF(H$2=0,IFERROR(INDEX($AM:$AM,MATCH($D12&amp;"|"&amp;G$3,$AS:$AS,0)),""),IFERROR(INDEX($AR:$AR,MATCH($D12&amp;"|"&amp;G$3,$AS:$AS,0)),""))</f>
        <v>02:39 | 02:44</v>
      </c>
      <c r="H12" s="12" t="str">
        <f>IF(I$2=0,IFERROR(INDEX($AM:$AM,MATCH($D12&amp;"|"&amp;H$3,$AS:$AS,0)),""),IFERROR(INDEX($AR:$AR,MATCH($D12&amp;"|"&amp;H$3,$AS:$AS,0)),""))</f>
        <v/>
      </c>
      <c r="I12" s="12" t="str">
        <f>IF(J$2=0,IFERROR(INDEX($AM:$AM,MATCH($D12&amp;"|"&amp;I$3,$AS:$AS,0)),""),IFERROR(INDEX($AR:$AR,MATCH($D12&amp;"|"&amp;I$3,$AS:$AS,0)),""))</f>
        <v>02:17 | 02:31</v>
      </c>
      <c r="J12" s="12" t="str">
        <f>IF(K$2=0,IFERROR(INDEX($AM:$AM,MATCH($D12&amp;"|"&amp;J$3,$AS:$AS,0)),""),IFERROR(INDEX($AR:$AR,MATCH($D12&amp;"|"&amp;J$3,$AS:$AS,0)),""))</f>
        <v/>
      </c>
      <c r="K12" s="12" t="str">
        <f>IF(L$2=0,IFERROR(INDEX($AM:$AM,MATCH($D12&amp;"|"&amp;K$3,$AS:$AS,0)),""),IFERROR(INDEX($AR:$AR,MATCH($D12&amp;"|"&amp;K$3,$AS:$AS,0)),""))</f>
        <v>02:05 | 02:15</v>
      </c>
      <c r="L12" s="12" t="str">
        <f>IF(M$2=0,IFERROR(INDEX($AM:$AM,MATCH($D12&amp;"|"&amp;L$3,$AS:$AS,0)),""),IFERROR(INDEX($AR:$AR,MATCH($D12&amp;"|"&amp;L$3,$AS:$AS,0)),""))</f>
        <v/>
      </c>
      <c r="M12" s="12" t="str">
        <f>IF(N$2=0,IFERROR(INDEX($AM:$AM,MATCH($D12&amp;"|"&amp;M$3,$AS:$AS,0)),""),IFERROR(INDEX($AR:$AR,MATCH($D12&amp;"|"&amp;M$3,$AS:$AS,0)),""))</f>
        <v>01:48 | 02:01</v>
      </c>
      <c r="N12" s="12" t="str">
        <f>IF(O$2=0,IFERROR(INDEX($AM:$AM,MATCH($D12&amp;"|"&amp;N$3,$AS:$AS,0)),""),IFERROR(INDEX($AR:$AR,MATCH($D12&amp;"|"&amp;N$3,$AS:$AS,0)),""))</f>
        <v/>
      </c>
      <c r="O12" s="12" t="str">
        <f>IF(P$2=0,IFERROR(INDEX($AM:$AM,MATCH($D12&amp;"|"&amp;O$3,$AS:$AS,0)),""),IFERROR(INDEX($AR:$AR,MATCH($D12&amp;"|"&amp;O$3,$AS:$AS,0)),""))</f>
        <v>01:14 | 01:42</v>
      </c>
      <c r="P12" s="12" t="str">
        <f>IF(Q$2=0,IFERROR(INDEX($AM:$AM,MATCH($D12&amp;"|"&amp;P$3,$AS:$AS,0)),""),IFERROR(INDEX($AR:$AR,MATCH($D12&amp;"|"&amp;P$3,$AS:$AS,0)),""))</f>
        <v/>
      </c>
      <c r="Q12" s="12" t="str">
        <f>IF(R$2=0,IFERROR(INDEX($AM:$AM,MATCH($D12&amp;"|"&amp;Q$3,$AS:$AS,0)),""),IFERROR(INDEX($AR:$AR,MATCH($D12&amp;"|"&amp;Q$3,$AS:$AS,0)),""))</f>
        <v>00:46 | 01:08</v>
      </c>
      <c r="R12" s="12" t="str">
        <f>IF(S$2=0,IFERROR(INDEX($AM:$AM,MATCH($D12&amp;"|"&amp;R$3,$AS:$AS,0)),""),IFERROR(INDEX($AR:$AR,MATCH($D12&amp;"|"&amp;R$3,$AS:$AS,0)),""))</f>
        <v/>
      </c>
      <c r="S12" s="12" t="str">
        <f>IF(T$2=0,IFERROR(INDEX($AM:$AM,MATCH($D12&amp;"|"&amp;S$3,$AS:$AS,0)),""),IFERROR(INDEX($AR:$AR,MATCH($D12&amp;"|"&amp;S$3,$AS:$AS,0)),""))</f>
        <v>00:43 | 00:43</v>
      </c>
      <c r="T12" s="12" t="str">
        <f>IF(U$2=0,IFERROR(INDEX($AM:$AM,MATCH($D12&amp;"|"&amp;T$3,$AS:$AS,0)),""),IFERROR(INDEX($AR:$AR,MATCH($D12&amp;"|"&amp;T$3,$AS:$AS,0)),""))</f>
        <v/>
      </c>
      <c r="U12" s="12" t="str">
        <f>IF(V$2=0,IFERROR(INDEX($AM:$AM,MATCH($D12&amp;"|"&amp;U$3,$AS:$AS,0)),""),IFERROR(INDEX($AR:$AR,MATCH($D12&amp;"|"&amp;U$3,$AS:$AS,0)),""))</f>
        <v/>
      </c>
      <c r="V12" s="12" t="str">
        <f>IF(W$2=0,IFERROR(INDEX($AM:$AM,MATCH($D12&amp;"|"&amp;V$3,$AS:$AS,0)),""),IFERROR(INDEX($AR:$AR,MATCH($D12&amp;"|"&amp;V$3,$AS:$AS,0)),""))</f>
        <v/>
      </c>
      <c r="W12" s="12" t="str">
        <f>IF(X$2=0,IFERROR(INDEX($AM:$AM,MATCH($D12&amp;"|"&amp;W$3,$AS:$AS,0)),""),IFERROR(INDEX($AR:$AR,MATCH($D12&amp;"|"&amp;W$3,$AS:$AS,0)),""))</f>
        <v/>
      </c>
      <c r="X12" s="12" t="str">
        <f>IF(Y$2=0,IFERROR(INDEX($AM:$AM,MATCH($D12&amp;"|"&amp;X$3,$AS:$AS,0)),""),IFERROR(INDEX($AR:$AR,MATCH($D12&amp;"|"&amp;X$3,$AS:$AS,0)),""))</f>
        <v/>
      </c>
      <c r="Y12" s="12" t="str">
        <f>IF(Z$2=0,IFERROR(INDEX($AM:$AM,MATCH($D12&amp;"|"&amp;Y$3,$AS:$AS,0)),""),IFERROR(INDEX($AR:$AR,MATCH($D12&amp;"|"&amp;Y$3,$AS:$AS,0)),""))</f>
        <v/>
      </c>
      <c r="Z12" s="12" t="str">
        <f>IF(AA$2=0,IFERROR(INDEX($AM:$AM,MATCH($D12&amp;"|"&amp;Z$3,$AS:$AS,0)),""),IFERROR(INDEX($AR:$AR,MATCH($D12&amp;"|"&amp;Z$3,$AS:$AS,0)),""))</f>
        <v/>
      </c>
      <c r="AA12" s="12" t="str">
        <f>IF(AB$2=0,IFERROR(INDEX($AM:$AM,MATCH($D12&amp;"|"&amp;AA$3,$AS:$AS,0)),""),IFERROR(INDEX($AR:$AR,MATCH($D12&amp;"|"&amp;AA$3,$AS:$AS,0)),""))</f>
        <v/>
      </c>
      <c r="AG12" s="20" t="s">
        <v>296</v>
      </c>
      <c r="AH12" s="20" t="s">
        <v>308</v>
      </c>
      <c r="AI12" s="20" t="s">
        <v>29</v>
      </c>
      <c r="AJ12" s="7">
        <v>0.47013888888888888</v>
      </c>
      <c r="AK12" s="7">
        <v>0.47013888888888888</v>
      </c>
      <c r="AL12" s="20" t="s">
        <v>51</v>
      </c>
      <c r="AM12" s="20" t="str">
        <f>+TEXT(Carro1[[#This Row],[Column1]],"hh:mm")&amp;" | " &amp;TEXT(Carro1[[#This Row],[Hora Fim]],"hh:mm")</f>
        <v>11:17 | 11:17</v>
      </c>
      <c r="AN12" s="20">
        <f>INDEX($E$3:$AA$3,MATCH(Carro1[[#This Row],[Nó]],$E$1:$AA$1,0))</f>
        <v>5</v>
      </c>
      <c r="AO12" s="7">
        <f>+IF(AND(Carro1[[#This Row],[Nó]]=AI11,Carro1[[#This Row],[Nó]]=AI13),AO11,Carro1[[#This Row],[Hora Início]])</f>
        <v>0.47013888888888888</v>
      </c>
      <c r="AP12" s="20">
        <f t="shared" si="0"/>
        <v>2</v>
      </c>
      <c r="AQ12" s="20" cm="1">
        <f t="array" ref="AQ12">IFERROR(_xlfn.IFS(AP12=AP11,AQ11,AQ11="Ramo",1),AQ11+1)</f>
        <v>1</v>
      </c>
      <c r="AR12" s="20">
        <f t="shared" si="1"/>
        <v>0</v>
      </c>
      <c r="AS12" s="20" t="str">
        <f>IF(AND(Carro1[[#This Row],[Nó]]=AI13,Carro1[[#This Row],[Nó]]=AI14),"",AQ12&amp;"|"&amp;AN12)</f>
        <v>1|5</v>
      </c>
      <c r="AT12" s="20" t="str">
        <f t="shared" si="2"/>
        <v>1|5</v>
      </c>
      <c r="AU12" s="20" t="str">
        <f>IF(Carro1[[#This Row],[Tipo]]="Início",AQ12&amp;"|"&amp;AN12,"")</f>
        <v/>
      </c>
    </row>
    <row r="13" spans="2:53" x14ac:dyDescent="0.25">
      <c r="D13" s="11">
        <f t="shared" si="3"/>
        <v>10</v>
      </c>
      <c r="E13" s="12" t="str">
        <f>IF(F$2=0,IFERROR(INDEX($AM:$AM,MATCH($D13&amp;"|"&amp;E$3,$AS:$AS,0)),""),IFERROR(INDEX($AR:$AR,MATCH($D13&amp;"|"&amp;E$3,$AS:$AS,0)),""))</f>
        <v>03:07 | 03:07</v>
      </c>
      <c r="F13" s="12" t="str">
        <f>IF(G$2=0,IFERROR(INDEX($AM:$AM,MATCH($D13&amp;"|"&amp;F$3,$AS:$AS,0)),""),IFERROR(INDEX($AR:$AR,MATCH($D13&amp;"|"&amp;F$3,$AS:$AS,0)),""))</f>
        <v/>
      </c>
      <c r="G13" s="12" t="str">
        <f>IF(H$2=0,IFERROR(INDEX($AM:$AM,MATCH($D13&amp;"|"&amp;G$3,$AS:$AS,0)),""),IFERROR(INDEX($AR:$AR,MATCH($D13&amp;"|"&amp;G$3,$AS:$AS,0)),""))</f>
        <v>03:08 | 03:13</v>
      </c>
      <c r="H13" s="12" t="str">
        <f>IF(I$2=0,IFERROR(INDEX($AM:$AM,MATCH($D13&amp;"|"&amp;H$3,$AS:$AS,0)),""),IFERROR(INDEX($AR:$AR,MATCH($D13&amp;"|"&amp;H$3,$AS:$AS,0)),""))</f>
        <v/>
      </c>
      <c r="I13" s="12" t="str">
        <f>IF(J$2=0,IFERROR(INDEX($AM:$AM,MATCH($D13&amp;"|"&amp;I$3,$AS:$AS,0)),""),IFERROR(INDEX($AR:$AR,MATCH($D13&amp;"|"&amp;I$3,$AS:$AS,0)),""))</f>
        <v>03:21 | 03:35</v>
      </c>
      <c r="J13" s="12" t="str">
        <f>IF(K$2=0,IFERROR(INDEX($AM:$AM,MATCH($D13&amp;"|"&amp;J$3,$AS:$AS,0)),""),IFERROR(INDEX($AR:$AR,MATCH($D13&amp;"|"&amp;J$3,$AS:$AS,0)),""))</f>
        <v/>
      </c>
      <c r="K13" s="12" t="str">
        <f>IF(L$2=0,IFERROR(INDEX($AM:$AM,MATCH($D13&amp;"|"&amp;K$3,$AS:$AS,0)),""),IFERROR(INDEX($AR:$AR,MATCH($D13&amp;"|"&amp;K$3,$AS:$AS,0)),""))</f>
        <v>03:43 | 03:53</v>
      </c>
      <c r="L13" s="12" t="str">
        <f>IF(M$2=0,IFERROR(INDEX($AM:$AM,MATCH($D13&amp;"|"&amp;L$3,$AS:$AS,0)),""),IFERROR(INDEX($AR:$AR,MATCH($D13&amp;"|"&amp;L$3,$AS:$AS,0)),""))</f>
        <v/>
      </c>
      <c r="M13" s="12" t="str">
        <f>IF(N$2=0,IFERROR(INDEX($AM:$AM,MATCH($D13&amp;"|"&amp;M$3,$AS:$AS,0)),""),IFERROR(INDEX($AR:$AR,MATCH($D13&amp;"|"&amp;M$3,$AS:$AS,0)),""))</f>
        <v>03:55 | 04:08</v>
      </c>
      <c r="N13" s="12" t="str">
        <f>IF(O$2=0,IFERROR(INDEX($AM:$AM,MATCH($D13&amp;"|"&amp;N$3,$AS:$AS,0)),""),IFERROR(INDEX($AR:$AR,MATCH($D13&amp;"|"&amp;N$3,$AS:$AS,0)),""))</f>
        <v/>
      </c>
      <c r="O13" s="12" t="str">
        <f>IF(P$2=0,IFERROR(INDEX($AM:$AM,MATCH($D13&amp;"|"&amp;O$3,$AS:$AS,0)),""),IFERROR(INDEX($AR:$AR,MATCH($D13&amp;"|"&amp;O$3,$AS:$AS,0)),""))</f>
        <v>04:12 | 04:53</v>
      </c>
      <c r="P13" s="12" t="str">
        <f>IF(Q$2=0,IFERROR(INDEX($AM:$AM,MATCH($D13&amp;"|"&amp;P$3,$AS:$AS,0)),""),IFERROR(INDEX($AR:$AR,MATCH($D13&amp;"|"&amp;P$3,$AS:$AS,0)),""))</f>
        <v/>
      </c>
      <c r="Q13" s="12" t="str">
        <f>IF(R$2=0,IFERROR(INDEX($AM:$AM,MATCH($D13&amp;"|"&amp;Q$3,$AS:$AS,0)),""),IFERROR(INDEX($AR:$AR,MATCH($D13&amp;"|"&amp;Q$3,$AS:$AS,0)),""))</f>
        <v>04:59 | 05:08</v>
      </c>
      <c r="R13" s="12" t="str">
        <f>IF(S$2=0,IFERROR(INDEX($AM:$AM,MATCH($D13&amp;"|"&amp;R$3,$AS:$AS,0)),""),IFERROR(INDEX($AR:$AR,MATCH($D13&amp;"|"&amp;R$3,$AS:$AS,0)),""))</f>
        <v/>
      </c>
      <c r="S13" s="12" t="str">
        <f>IF(T$2=0,IFERROR(INDEX($AM:$AM,MATCH($D13&amp;"|"&amp;S$3,$AS:$AS,0)),""),IFERROR(INDEX($AR:$AR,MATCH($D13&amp;"|"&amp;S$3,$AS:$AS,0)),""))</f>
        <v>05:14 | 05:14</v>
      </c>
      <c r="T13" s="12" t="str">
        <f>IF(U$2=0,IFERROR(INDEX($AM:$AM,MATCH($D13&amp;"|"&amp;T$3,$AS:$AS,0)),""),IFERROR(INDEX($AR:$AR,MATCH($D13&amp;"|"&amp;T$3,$AS:$AS,0)),""))</f>
        <v/>
      </c>
      <c r="U13" s="12" t="str">
        <f>IF(V$2=0,IFERROR(INDEX($AM:$AM,MATCH($D13&amp;"|"&amp;U$3,$AS:$AS,0)),""),IFERROR(INDEX($AR:$AR,MATCH($D13&amp;"|"&amp;U$3,$AS:$AS,0)),""))</f>
        <v/>
      </c>
      <c r="V13" s="12" t="str">
        <f>IF(W$2=0,IFERROR(INDEX($AM:$AM,MATCH($D13&amp;"|"&amp;V$3,$AS:$AS,0)),""),IFERROR(INDEX($AR:$AR,MATCH($D13&amp;"|"&amp;V$3,$AS:$AS,0)),""))</f>
        <v/>
      </c>
      <c r="W13" s="12" t="str">
        <f>IF(X$2=0,IFERROR(INDEX($AM:$AM,MATCH($D13&amp;"|"&amp;W$3,$AS:$AS,0)),""),IFERROR(INDEX($AR:$AR,MATCH($D13&amp;"|"&amp;W$3,$AS:$AS,0)),""))</f>
        <v/>
      </c>
      <c r="X13" s="12" t="str">
        <f>IF(Y$2=0,IFERROR(INDEX($AM:$AM,MATCH($D13&amp;"|"&amp;X$3,$AS:$AS,0)),""),IFERROR(INDEX($AR:$AR,MATCH($D13&amp;"|"&amp;X$3,$AS:$AS,0)),""))</f>
        <v/>
      </c>
      <c r="Y13" s="12" t="str">
        <f>IF(Z$2=0,IFERROR(INDEX($AM:$AM,MATCH($D13&amp;"|"&amp;Y$3,$AS:$AS,0)),""),IFERROR(INDEX($AR:$AR,MATCH($D13&amp;"|"&amp;Y$3,$AS:$AS,0)),""))</f>
        <v/>
      </c>
      <c r="Z13" s="12" t="str">
        <f>IF(AA$2=0,IFERROR(INDEX($AM:$AM,MATCH($D13&amp;"|"&amp;Z$3,$AS:$AS,0)),""),IFERROR(INDEX($AR:$AR,MATCH($D13&amp;"|"&amp;Z$3,$AS:$AS,0)),""))</f>
        <v/>
      </c>
      <c r="AA13" s="12" t="str">
        <f>IF(AB$2=0,IFERROR(INDEX($AM:$AM,MATCH($D13&amp;"|"&amp;AA$3,$AS:$AS,0)),""),IFERROR(INDEX($AR:$AR,MATCH($D13&amp;"|"&amp;AA$3,$AS:$AS,0)),""))</f>
        <v/>
      </c>
      <c r="AG13" s="20" t="s">
        <v>296</v>
      </c>
      <c r="AH13" s="20" t="s">
        <v>301</v>
      </c>
      <c r="AI13" s="20" t="s">
        <v>27</v>
      </c>
      <c r="AJ13" s="7">
        <v>0.47222222222222221</v>
      </c>
      <c r="AK13" s="7">
        <v>0.48125000000000001</v>
      </c>
      <c r="AL13" s="20" t="s">
        <v>50</v>
      </c>
      <c r="AM13" s="20" t="str">
        <f>+TEXT(Carro1[[#This Row],[Column1]],"hh:mm")&amp;" | " &amp;TEXT(Carro1[[#This Row],[Hora Fim]],"hh:mm")</f>
        <v>11:20 | 11:33</v>
      </c>
      <c r="AN13" s="20">
        <f>INDEX($E$3:$AA$3,MATCH(Carro1[[#This Row],[Nó]],$E$1:$AA$1,0))</f>
        <v>4</v>
      </c>
      <c r="AO13" s="7">
        <f>+IF(AND(Carro1[[#This Row],[Nó]]=AI12,Carro1[[#This Row],[Nó]]=AI14),AO12,Carro1[[#This Row],[Hora Início]])</f>
        <v>0.47222222222222221</v>
      </c>
      <c r="AP13" s="20">
        <f t="shared" si="0"/>
        <v>2</v>
      </c>
      <c r="AQ13" s="20" cm="1">
        <f t="array" ref="AQ13">IFERROR(_xlfn.IFS(AP13=AP12,AQ12,AQ12="Ramo",1),AQ12+1)</f>
        <v>1</v>
      </c>
      <c r="AR13" s="20">
        <f t="shared" si="1"/>
        <v>0</v>
      </c>
      <c r="AS13" s="20" t="str">
        <f>IF(AND(Carro1[[#This Row],[Nó]]=AI14,Carro1[[#This Row],[Nó]]=AI15),"",AQ13&amp;"|"&amp;AN13)</f>
        <v>1|4</v>
      </c>
      <c r="AT13" s="20" t="str">
        <f t="shared" si="2"/>
        <v>1|4</v>
      </c>
      <c r="AU13" s="20" t="str">
        <f>IF(Carro1[[#This Row],[Tipo]]="Início",AQ13&amp;"|"&amp;AN13,"")</f>
        <v/>
      </c>
    </row>
    <row r="14" spans="2:53" x14ac:dyDescent="0.25">
      <c r="D14" s="11">
        <f t="shared" si="3"/>
        <v>11</v>
      </c>
      <c r="E14" s="12" t="str">
        <f>IF(F$2=0,IFERROR(INDEX($AM:$AM,MATCH($D14&amp;"|"&amp;E$3,$AS:$AS,0)),""),IFERROR(INDEX($AR:$AR,MATCH($D14&amp;"|"&amp;E$3,$AS:$AS,0)),""))</f>
        <v>05:33 | 05:33</v>
      </c>
      <c r="F14" s="12" t="str">
        <f>IF(G$2=0,IFERROR(INDEX($AM:$AM,MATCH($D14&amp;"|"&amp;F$3,$AS:$AS,0)),""),IFERROR(INDEX($AR:$AR,MATCH($D14&amp;"|"&amp;F$3,$AS:$AS,0)),""))</f>
        <v/>
      </c>
      <c r="G14" s="12" t="str">
        <f>IF(H$2=0,IFERROR(INDEX($AM:$AM,MATCH($D14&amp;"|"&amp;G$3,$AS:$AS,0)),""),IFERROR(INDEX($AR:$AR,MATCH($D14&amp;"|"&amp;G$3,$AS:$AS,0)),""))</f>
        <v>05:32 | 05:32</v>
      </c>
      <c r="H14" s="12" t="str">
        <f>IF(I$2=0,IFERROR(INDEX($AM:$AM,MATCH($D14&amp;"|"&amp;H$3,$AS:$AS,0)),""),IFERROR(INDEX($AR:$AR,MATCH($D14&amp;"|"&amp;H$3,$AS:$AS,0)),""))</f>
        <v/>
      </c>
      <c r="I14" s="12" t="str">
        <f>IF(J$2=0,IFERROR(INDEX($AM:$AM,MATCH($D14&amp;"|"&amp;I$3,$AS:$AS,0)),""),IFERROR(INDEX($AR:$AR,MATCH($D14&amp;"|"&amp;I$3,$AS:$AS,0)),""))</f>
        <v>05:25 | 05:25</v>
      </c>
      <c r="J14" s="12" t="str">
        <f>IF(K$2=0,IFERROR(INDEX($AM:$AM,MATCH($D14&amp;"|"&amp;J$3,$AS:$AS,0)),""),IFERROR(INDEX($AR:$AR,MATCH($D14&amp;"|"&amp;J$3,$AS:$AS,0)),""))</f>
        <v/>
      </c>
      <c r="K14" s="12" t="str">
        <f>IF(L$2=0,IFERROR(INDEX($AM:$AM,MATCH($D14&amp;"|"&amp;K$3,$AS:$AS,0)),""),IFERROR(INDEX($AR:$AR,MATCH($D14&amp;"|"&amp;K$3,$AS:$AS,0)),""))</f>
        <v>05:24 | 05:24</v>
      </c>
      <c r="L14" s="12" t="str">
        <f>IF(M$2=0,IFERROR(INDEX($AM:$AM,MATCH($D14&amp;"|"&amp;L$3,$AS:$AS,0)),""),IFERROR(INDEX($AR:$AR,MATCH($D14&amp;"|"&amp;L$3,$AS:$AS,0)),""))</f>
        <v/>
      </c>
      <c r="M14" s="12" t="str">
        <f>IF(N$2=0,IFERROR(INDEX($AM:$AM,MATCH($D14&amp;"|"&amp;M$3,$AS:$AS,0)),""),IFERROR(INDEX($AR:$AR,MATCH($D14&amp;"|"&amp;M$3,$AS:$AS,0)),""))</f>
        <v>05:23 | 05:23</v>
      </c>
      <c r="N14" s="12" t="str">
        <f>IF(O$2=0,IFERROR(INDEX($AM:$AM,MATCH($D14&amp;"|"&amp;N$3,$AS:$AS,0)),""),IFERROR(INDEX($AR:$AR,MATCH($D14&amp;"|"&amp;N$3,$AS:$AS,0)),""))</f>
        <v/>
      </c>
      <c r="O14" s="12" t="str">
        <f>IF(P$2=0,IFERROR(INDEX($AM:$AM,MATCH($D14&amp;"|"&amp;O$3,$AS:$AS,0)),""),IFERROR(INDEX($AR:$AR,MATCH($D14&amp;"|"&amp;O$3,$AS:$AS,0)),""))</f>
        <v>05:20 | 05:20</v>
      </c>
      <c r="P14" s="12" t="str">
        <f>IF(Q$2=0,IFERROR(INDEX($AM:$AM,MATCH($D14&amp;"|"&amp;P$3,$AS:$AS,0)),""),IFERROR(INDEX($AR:$AR,MATCH($D14&amp;"|"&amp;P$3,$AS:$AS,0)),""))</f>
        <v/>
      </c>
      <c r="Q14" s="12" t="str">
        <f>IF(R$2=0,IFERROR(INDEX($AM:$AM,MATCH($D14&amp;"|"&amp;Q$3,$AS:$AS,0)),""),IFERROR(INDEX($AR:$AR,MATCH($D14&amp;"|"&amp;Q$3,$AS:$AS,0)),""))</f>
        <v>05:17 | 05:17</v>
      </c>
      <c r="R14" s="12" t="str">
        <f>IF(S$2=0,IFERROR(INDEX($AM:$AM,MATCH($D14&amp;"|"&amp;R$3,$AS:$AS,0)),""),IFERROR(INDEX($AR:$AR,MATCH($D14&amp;"|"&amp;R$3,$AS:$AS,0)),""))</f>
        <v/>
      </c>
      <c r="S14" s="12" t="str">
        <f>IF(T$2=0,IFERROR(INDEX($AM:$AM,MATCH($D14&amp;"|"&amp;S$3,$AS:$AS,0)),""),IFERROR(INDEX($AR:$AR,MATCH($D14&amp;"|"&amp;S$3,$AS:$AS,0)),""))</f>
        <v>05:14 | 05:14</v>
      </c>
      <c r="T14" s="12" t="str">
        <f>IF(U$2=0,IFERROR(INDEX($AM:$AM,MATCH($D14&amp;"|"&amp;T$3,$AS:$AS,0)),""),IFERROR(INDEX($AR:$AR,MATCH($D14&amp;"|"&amp;T$3,$AS:$AS,0)),""))</f>
        <v/>
      </c>
      <c r="U14" s="12" t="str">
        <f>IF(V$2=0,IFERROR(INDEX($AM:$AM,MATCH($D14&amp;"|"&amp;U$3,$AS:$AS,0)),""),IFERROR(INDEX($AR:$AR,MATCH($D14&amp;"|"&amp;U$3,$AS:$AS,0)),""))</f>
        <v/>
      </c>
      <c r="V14" s="12" t="str">
        <f>IF(W$2=0,IFERROR(INDEX($AM:$AM,MATCH($D14&amp;"|"&amp;V$3,$AS:$AS,0)),""),IFERROR(INDEX($AR:$AR,MATCH($D14&amp;"|"&amp;V$3,$AS:$AS,0)),""))</f>
        <v/>
      </c>
      <c r="W14" s="12" t="str">
        <f>IF(X$2=0,IFERROR(INDEX($AM:$AM,MATCH($D14&amp;"|"&amp;W$3,$AS:$AS,0)),""),IFERROR(INDEX($AR:$AR,MATCH($D14&amp;"|"&amp;W$3,$AS:$AS,0)),""))</f>
        <v/>
      </c>
      <c r="X14" s="12" t="str">
        <f>IF(Y$2=0,IFERROR(INDEX($AM:$AM,MATCH($D14&amp;"|"&amp;X$3,$AS:$AS,0)),""),IFERROR(INDEX($AR:$AR,MATCH($D14&amp;"|"&amp;X$3,$AS:$AS,0)),""))</f>
        <v/>
      </c>
      <c r="Y14" s="12" t="str">
        <f>IF(Z$2=0,IFERROR(INDEX($AM:$AM,MATCH($D14&amp;"|"&amp;Y$3,$AS:$AS,0)),""),IFERROR(INDEX($AR:$AR,MATCH($D14&amp;"|"&amp;Y$3,$AS:$AS,0)),""))</f>
        <v/>
      </c>
      <c r="Z14" s="12" t="str">
        <f>IF(AA$2=0,IFERROR(INDEX($AM:$AM,MATCH($D14&amp;"|"&amp;Z$3,$AS:$AS,0)),""),IFERROR(INDEX($AR:$AR,MATCH($D14&amp;"|"&amp;Z$3,$AS:$AS,0)),""))</f>
        <v/>
      </c>
      <c r="AA14" s="12" t="str">
        <f>IF(AB$2=0,IFERROR(INDEX($AM:$AM,MATCH($D14&amp;"|"&amp;AA$3,$AS:$AS,0)),""),IFERROR(INDEX($AR:$AR,MATCH($D14&amp;"|"&amp;AA$3,$AS:$AS,0)),""))</f>
        <v/>
      </c>
      <c r="AG14" s="20" t="s">
        <v>296</v>
      </c>
      <c r="AH14" s="20" t="s">
        <v>301</v>
      </c>
      <c r="AI14" s="20" t="s">
        <v>27</v>
      </c>
      <c r="AJ14" s="7">
        <v>0.48333333333333334</v>
      </c>
      <c r="AK14" s="7">
        <v>0.48333333333333334</v>
      </c>
      <c r="AL14" s="20" t="s">
        <v>51</v>
      </c>
      <c r="AM14" s="20" t="str">
        <f>+TEXT(Carro1[[#This Row],[Column1]],"hh:mm")&amp;" | " &amp;TEXT(Carro1[[#This Row],[Hora Fim]],"hh:mm")</f>
        <v>11:36 | 11:36</v>
      </c>
      <c r="AN14" s="20">
        <f>INDEX($E$3:$AA$3,MATCH(Carro1[[#This Row],[Nó]],$E$1:$AA$1,0))</f>
        <v>4</v>
      </c>
      <c r="AO14" s="7">
        <f>+IF(AND(Carro1[[#This Row],[Nó]]=AI13,Carro1[[#This Row],[Nó]]=AI15),AO13,Carro1[[#This Row],[Hora Início]])</f>
        <v>0.48333333333333334</v>
      </c>
      <c r="AP14" s="20">
        <f t="shared" si="0"/>
        <v>2</v>
      </c>
      <c r="AQ14" s="20" cm="1">
        <f t="array" ref="AQ14">IFERROR(_xlfn.IFS(AP14=AP13,AQ13,AQ13="Ramo",1),AQ13+1)</f>
        <v>1</v>
      </c>
      <c r="AR14" s="20">
        <f t="shared" si="1"/>
        <v>0</v>
      </c>
      <c r="AS14" s="20" t="str">
        <f>IF(AND(Carro1[[#This Row],[Nó]]=AI15,Carro1[[#This Row],[Nó]]=AI16),"",AQ14&amp;"|"&amp;AN14)</f>
        <v>1|4</v>
      </c>
      <c r="AT14" s="20" t="str">
        <f t="shared" si="2"/>
        <v>1|4</v>
      </c>
      <c r="AU14" s="20" t="str">
        <f>IF(Carro1[[#This Row],[Tipo]]="Início",AQ14&amp;"|"&amp;AN14,"")</f>
        <v/>
      </c>
    </row>
    <row r="15" spans="2:53" x14ac:dyDescent="0.25">
      <c r="D15" s="11">
        <f t="shared" si="3"/>
        <v>12</v>
      </c>
      <c r="E15" s="12" t="str">
        <f>IF(F$2=0,IFERROR(INDEX($AM:$AM,MATCH($D15&amp;"|"&amp;E$3,$AS:$AS,0)),""),IFERROR(INDEX($AR:$AR,MATCH($D15&amp;"|"&amp;E$3,$AS:$AS,0)),""))</f>
        <v>05:33 | 05:33</v>
      </c>
      <c r="F15" s="12" t="str">
        <f>IF(G$2=0,IFERROR(INDEX($AM:$AM,MATCH($D15&amp;"|"&amp;F$3,$AS:$AS,0)),""),IFERROR(INDEX($AR:$AR,MATCH($D15&amp;"|"&amp;F$3,$AS:$AS,0)),""))</f>
        <v/>
      </c>
      <c r="G15" s="12" t="str">
        <f>IF(H$2=0,IFERROR(INDEX($AM:$AM,MATCH($D15&amp;"|"&amp;G$3,$AS:$AS,0)),""),IFERROR(INDEX($AR:$AR,MATCH($D15&amp;"|"&amp;G$3,$AS:$AS,0)),""))</f>
        <v>05:34 | 06:53</v>
      </c>
      <c r="H15" s="12" t="str">
        <f>IF(I$2=0,IFERROR(INDEX($AM:$AM,MATCH($D15&amp;"|"&amp;H$3,$AS:$AS,0)),""),IFERROR(INDEX($AR:$AR,MATCH($D15&amp;"|"&amp;H$3,$AS:$AS,0)),""))</f>
        <v/>
      </c>
      <c r="I15" s="12" t="str">
        <f>IF(J$2=0,IFERROR(INDEX($AM:$AM,MATCH($D15&amp;"|"&amp;I$3,$AS:$AS,0)),""),IFERROR(INDEX($AR:$AR,MATCH($D15&amp;"|"&amp;I$3,$AS:$AS,0)),""))</f>
        <v>07:01 | 07:01</v>
      </c>
      <c r="J15" s="12" t="str">
        <f>IF(K$2=0,IFERROR(INDEX($AM:$AM,MATCH($D15&amp;"|"&amp;J$3,$AS:$AS,0)),""),IFERROR(INDEX($AR:$AR,MATCH($D15&amp;"|"&amp;J$3,$AS:$AS,0)),""))</f>
        <v/>
      </c>
      <c r="K15" s="12" t="str">
        <f>IF(L$2=0,IFERROR(INDEX($AM:$AM,MATCH($D15&amp;"|"&amp;K$3,$AS:$AS,0)),""),IFERROR(INDEX($AR:$AR,MATCH($D15&amp;"|"&amp;K$3,$AS:$AS,0)),""))</f>
        <v>07:02 | 07:02</v>
      </c>
      <c r="L15" s="12" t="str">
        <f>IF(M$2=0,IFERROR(INDEX($AM:$AM,MATCH($D15&amp;"|"&amp;L$3,$AS:$AS,0)),""),IFERROR(INDEX($AR:$AR,MATCH($D15&amp;"|"&amp;L$3,$AS:$AS,0)),""))</f>
        <v/>
      </c>
      <c r="M15" s="12" t="str">
        <f>IF(N$2=0,IFERROR(INDEX($AM:$AM,MATCH($D15&amp;"|"&amp;M$3,$AS:$AS,0)),""),IFERROR(INDEX($AR:$AR,MATCH($D15&amp;"|"&amp;M$3,$AS:$AS,0)),""))</f>
        <v>07:03 | 07:03</v>
      </c>
      <c r="N15" s="12" t="str">
        <f>IF(O$2=0,IFERROR(INDEX($AM:$AM,MATCH($D15&amp;"|"&amp;N$3,$AS:$AS,0)),""),IFERROR(INDEX($AR:$AR,MATCH($D15&amp;"|"&amp;N$3,$AS:$AS,0)),""))</f>
        <v/>
      </c>
      <c r="O15" s="12" t="str">
        <f>IF(P$2=0,IFERROR(INDEX($AM:$AM,MATCH($D15&amp;"|"&amp;O$3,$AS:$AS,0)),""),IFERROR(INDEX($AR:$AR,MATCH($D15&amp;"|"&amp;O$3,$AS:$AS,0)),""))</f>
        <v>07:06 | 07:06</v>
      </c>
      <c r="P15" s="12" t="str">
        <f>IF(Q$2=0,IFERROR(INDEX($AM:$AM,MATCH($D15&amp;"|"&amp;P$3,$AS:$AS,0)),""),IFERROR(INDEX($AR:$AR,MATCH($D15&amp;"|"&amp;P$3,$AS:$AS,0)),""))</f>
        <v/>
      </c>
      <c r="Q15" s="12" t="str">
        <f>IF(R$2=0,IFERROR(INDEX($AM:$AM,MATCH($D15&amp;"|"&amp;Q$3,$AS:$AS,0)),""),IFERROR(INDEX($AR:$AR,MATCH($D15&amp;"|"&amp;Q$3,$AS:$AS,0)),""))</f>
        <v>07:09 | 08:28</v>
      </c>
      <c r="R15" s="12" t="str">
        <f>IF(S$2=0,IFERROR(INDEX($AM:$AM,MATCH($D15&amp;"|"&amp;R$3,$AS:$AS,0)),""),IFERROR(INDEX($AR:$AR,MATCH($D15&amp;"|"&amp;R$3,$AS:$AS,0)),""))</f>
        <v/>
      </c>
      <c r="S15" s="12" t="str">
        <f>IF(T$2=0,IFERROR(INDEX($AM:$AM,MATCH($D15&amp;"|"&amp;S$3,$AS:$AS,0)),""),IFERROR(INDEX($AR:$AR,MATCH($D15&amp;"|"&amp;S$3,$AS:$AS,0)),""))</f>
        <v>08:34 | 08:34</v>
      </c>
      <c r="T15" s="12" t="str">
        <f>IF(U$2=0,IFERROR(INDEX($AM:$AM,MATCH($D15&amp;"|"&amp;T$3,$AS:$AS,0)),""),IFERROR(INDEX($AR:$AR,MATCH($D15&amp;"|"&amp;T$3,$AS:$AS,0)),""))</f>
        <v/>
      </c>
      <c r="U15" s="12" t="str">
        <f>IF(V$2=0,IFERROR(INDEX($AM:$AM,MATCH($D15&amp;"|"&amp;U$3,$AS:$AS,0)),""),IFERROR(INDEX($AR:$AR,MATCH($D15&amp;"|"&amp;U$3,$AS:$AS,0)),""))</f>
        <v/>
      </c>
      <c r="V15" s="12" t="str">
        <f>IF(W$2=0,IFERROR(INDEX($AM:$AM,MATCH($D15&amp;"|"&amp;V$3,$AS:$AS,0)),""),IFERROR(INDEX($AR:$AR,MATCH($D15&amp;"|"&amp;V$3,$AS:$AS,0)),""))</f>
        <v/>
      </c>
      <c r="W15" s="12" t="str">
        <f>IF(X$2=0,IFERROR(INDEX($AM:$AM,MATCH($D15&amp;"|"&amp;W$3,$AS:$AS,0)),""),IFERROR(INDEX($AR:$AR,MATCH($D15&amp;"|"&amp;W$3,$AS:$AS,0)),""))</f>
        <v/>
      </c>
      <c r="X15" s="12" t="str">
        <f>IF(Y$2=0,IFERROR(INDEX($AM:$AM,MATCH($D15&amp;"|"&amp;X$3,$AS:$AS,0)),""),IFERROR(INDEX($AR:$AR,MATCH($D15&amp;"|"&amp;X$3,$AS:$AS,0)),""))</f>
        <v/>
      </c>
      <c r="Y15" s="12" t="str">
        <f>IF(Z$2=0,IFERROR(INDEX($AM:$AM,MATCH($D15&amp;"|"&amp;Y$3,$AS:$AS,0)),""),IFERROR(INDEX($AR:$AR,MATCH($D15&amp;"|"&amp;Y$3,$AS:$AS,0)),""))</f>
        <v/>
      </c>
      <c r="Z15" s="12" t="str">
        <f>IF(AA$2=0,IFERROR(INDEX($AM:$AM,MATCH($D15&amp;"|"&amp;Z$3,$AS:$AS,0)),""),IFERROR(INDEX($AR:$AR,MATCH($D15&amp;"|"&amp;Z$3,$AS:$AS,0)),""))</f>
        <v/>
      </c>
      <c r="AA15" s="12" t="str">
        <f>IF(AB$2=0,IFERROR(INDEX($AM:$AM,MATCH($D15&amp;"|"&amp;AA$3,$AS:$AS,0)),""),IFERROR(INDEX($AR:$AR,MATCH($D15&amp;"|"&amp;AA$3,$AS:$AS,0)),""))</f>
        <v/>
      </c>
      <c r="AG15" s="20" t="s">
        <v>296</v>
      </c>
      <c r="AH15" s="20" t="s">
        <v>300</v>
      </c>
      <c r="AI15" s="20" t="s">
        <v>26</v>
      </c>
      <c r="AJ15" s="7">
        <v>0.48402777777777778</v>
      </c>
      <c r="AK15" s="7">
        <v>0.4909722222222222</v>
      </c>
      <c r="AL15" s="20" t="s">
        <v>50</v>
      </c>
      <c r="AM15" s="20" t="str">
        <f>+TEXT(Carro1[[#This Row],[Column1]],"hh:mm")&amp;" | " &amp;TEXT(Carro1[[#This Row],[Hora Fim]],"hh:mm")</f>
        <v>11:37 | 11:47</v>
      </c>
      <c r="AN15" s="20">
        <f>INDEX($E$3:$AA$3,MATCH(Carro1[[#This Row],[Nó]],$E$1:$AA$1,0))</f>
        <v>3</v>
      </c>
      <c r="AO15" s="7">
        <f>+IF(AND(Carro1[[#This Row],[Nó]]=AI14,Carro1[[#This Row],[Nó]]=AI16),AO14,Carro1[[#This Row],[Hora Início]])</f>
        <v>0.48402777777777778</v>
      </c>
      <c r="AP15" s="20">
        <f t="shared" si="0"/>
        <v>2</v>
      </c>
      <c r="AQ15" s="20" cm="1">
        <f t="array" ref="AQ15">IFERROR(_xlfn.IFS(AP15=AP14,AQ14,AQ14="Ramo",1),AQ14+1)</f>
        <v>1</v>
      </c>
      <c r="AR15" s="20">
        <f t="shared" si="1"/>
        <v>0</v>
      </c>
      <c r="AS15" s="20" t="str">
        <f>IF(AND(Carro1[[#This Row],[Nó]]=AI16,Carro1[[#This Row],[Nó]]=AI17),"",AQ15&amp;"|"&amp;AN15)</f>
        <v>1|3</v>
      </c>
      <c r="AT15" s="20" t="str">
        <f t="shared" si="2"/>
        <v>1|3</v>
      </c>
      <c r="AU15" s="20" t="str">
        <f>IF(Carro1[[#This Row],[Tipo]]="Início",AQ15&amp;"|"&amp;AN15,"")</f>
        <v/>
      </c>
    </row>
    <row r="16" spans="2:53" x14ac:dyDescent="0.25">
      <c r="D16" s="11">
        <f t="shared" si="3"/>
        <v>13</v>
      </c>
      <c r="E16" s="12" t="str">
        <f>IF(F$2=0,IFERROR(INDEX($AM:$AM,MATCH($D16&amp;"|"&amp;E$3,$AS:$AS,0)),""),IFERROR(INDEX($AR:$AR,MATCH($D16&amp;"|"&amp;E$3,$AS:$AS,0)),""))</f>
        <v/>
      </c>
      <c r="F16" s="12" t="str">
        <f>IF(G$2=0,IFERROR(INDEX($AM:$AM,MATCH($D16&amp;"|"&amp;F$3,$AS:$AS,0)),""),IFERROR(INDEX($AR:$AR,MATCH($D16&amp;"|"&amp;F$3,$AS:$AS,0)),""))</f>
        <v/>
      </c>
      <c r="G16" s="12" t="str">
        <f>IF(H$2=0,IFERROR(INDEX($AM:$AM,MATCH($D16&amp;"|"&amp;G$3,$AS:$AS,0)),""),IFERROR(INDEX($AR:$AR,MATCH($D16&amp;"|"&amp;G$3,$AS:$AS,0)),""))</f>
        <v/>
      </c>
      <c r="H16" s="12" t="str">
        <f>IF(I$2=0,IFERROR(INDEX($AM:$AM,MATCH($D16&amp;"|"&amp;H$3,$AS:$AS,0)),""),IFERROR(INDEX($AR:$AR,MATCH($D16&amp;"|"&amp;H$3,$AS:$AS,0)),""))</f>
        <v/>
      </c>
      <c r="I16" s="12" t="str">
        <f>IF(J$2=0,IFERROR(INDEX($AM:$AM,MATCH($D16&amp;"|"&amp;I$3,$AS:$AS,0)),""),IFERROR(INDEX($AR:$AR,MATCH($D16&amp;"|"&amp;I$3,$AS:$AS,0)),""))</f>
        <v/>
      </c>
      <c r="J16" s="12" t="str">
        <f>IF(K$2=0,IFERROR(INDEX($AM:$AM,MATCH($D16&amp;"|"&amp;J$3,$AS:$AS,0)),""),IFERROR(INDEX($AR:$AR,MATCH($D16&amp;"|"&amp;J$3,$AS:$AS,0)),""))</f>
        <v/>
      </c>
      <c r="K16" s="12" t="str">
        <f>IF(L$2=0,IFERROR(INDEX($AM:$AM,MATCH($D16&amp;"|"&amp;K$3,$AS:$AS,0)),""),IFERROR(INDEX($AR:$AR,MATCH($D16&amp;"|"&amp;K$3,$AS:$AS,0)),""))</f>
        <v/>
      </c>
      <c r="L16" s="12" t="str">
        <f>IF(M$2=0,IFERROR(INDEX($AM:$AM,MATCH($D16&amp;"|"&amp;L$3,$AS:$AS,0)),""),IFERROR(INDEX($AR:$AR,MATCH($D16&amp;"|"&amp;L$3,$AS:$AS,0)),""))</f>
        <v/>
      </c>
      <c r="M16" s="12" t="str">
        <f>IF(N$2=0,IFERROR(INDEX($AM:$AM,MATCH($D16&amp;"|"&amp;M$3,$AS:$AS,0)),""),IFERROR(INDEX($AR:$AR,MATCH($D16&amp;"|"&amp;M$3,$AS:$AS,0)),""))</f>
        <v/>
      </c>
      <c r="N16" s="12" t="str">
        <f>IF(O$2=0,IFERROR(INDEX($AM:$AM,MATCH($D16&amp;"|"&amp;N$3,$AS:$AS,0)),""),IFERROR(INDEX($AR:$AR,MATCH($D16&amp;"|"&amp;N$3,$AS:$AS,0)),""))</f>
        <v/>
      </c>
      <c r="O16" s="12" t="str">
        <f>IF(P$2=0,IFERROR(INDEX($AM:$AM,MATCH($D16&amp;"|"&amp;O$3,$AS:$AS,0)),""),IFERROR(INDEX($AR:$AR,MATCH($D16&amp;"|"&amp;O$3,$AS:$AS,0)),""))</f>
        <v/>
      </c>
      <c r="P16" s="12" t="str">
        <f>IF(Q$2=0,IFERROR(INDEX($AM:$AM,MATCH($D16&amp;"|"&amp;P$3,$AS:$AS,0)),""),IFERROR(INDEX($AR:$AR,MATCH($D16&amp;"|"&amp;P$3,$AS:$AS,0)),""))</f>
        <v/>
      </c>
      <c r="Q16" s="12" t="str">
        <f>IF(R$2=0,IFERROR(INDEX($AM:$AM,MATCH($D16&amp;"|"&amp;Q$3,$AS:$AS,0)),""),IFERROR(INDEX($AR:$AR,MATCH($D16&amp;"|"&amp;Q$3,$AS:$AS,0)),""))</f>
        <v/>
      </c>
      <c r="R16" s="12" t="str">
        <f>IF(S$2=0,IFERROR(INDEX($AM:$AM,MATCH($D16&amp;"|"&amp;R$3,$AS:$AS,0)),""),IFERROR(INDEX($AR:$AR,MATCH($D16&amp;"|"&amp;R$3,$AS:$AS,0)),""))</f>
        <v/>
      </c>
      <c r="S16" s="12" t="str">
        <f>IF(T$2=0,IFERROR(INDEX($AM:$AM,MATCH($D16&amp;"|"&amp;S$3,$AS:$AS,0)),""),IFERROR(INDEX($AR:$AR,MATCH($D16&amp;"|"&amp;S$3,$AS:$AS,0)),""))</f>
        <v>08:34 | 08:34</v>
      </c>
      <c r="T16" s="12" t="str">
        <f>IF(U$2=0,IFERROR(INDEX($AM:$AM,MATCH($D16&amp;"|"&amp;T$3,$AS:$AS,0)),""),IFERROR(INDEX($AR:$AR,MATCH($D16&amp;"|"&amp;T$3,$AS:$AS,0)),""))</f>
        <v/>
      </c>
      <c r="U16" s="12" t="str">
        <f>IF(V$2=0,IFERROR(INDEX($AM:$AM,MATCH($D16&amp;"|"&amp;U$3,$AS:$AS,0)),""),IFERROR(INDEX($AR:$AR,MATCH($D16&amp;"|"&amp;U$3,$AS:$AS,0)),""))</f>
        <v/>
      </c>
      <c r="V16" s="12" t="str">
        <f>IF(W$2=0,IFERROR(INDEX($AM:$AM,MATCH($D16&amp;"|"&amp;V$3,$AS:$AS,0)),""),IFERROR(INDEX($AR:$AR,MATCH($D16&amp;"|"&amp;V$3,$AS:$AS,0)),""))</f>
        <v/>
      </c>
      <c r="W16" s="12" t="str">
        <f>IF(X$2=0,IFERROR(INDEX($AM:$AM,MATCH($D16&amp;"|"&amp;W$3,$AS:$AS,0)),""),IFERROR(INDEX($AR:$AR,MATCH($D16&amp;"|"&amp;W$3,$AS:$AS,0)),""))</f>
        <v/>
      </c>
      <c r="X16" s="12" t="str">
        <f>IF(Y$2=0,IFERROR(INDEX($AM:$AM,MATCH($D16&amp;"|"&amp;X$3,$AS:$AS,0)),""),IFERROR(INDEX($AR:$AR,MATCH($D16&amp;"|"&amp;X$3,$AS:$AS,0)),""))</f>
        <v/>
      </c>
      <c r="Y16" s="12" t="str">
        <f>IF(Z$2=0,IFERROR(INDEX($AM:$AM,MATCH($D16&amp;"|"&amp;Y$3,$AS:$AS,0)),""),IFERROR(INDEX($AR:$AR,MATCH($D16&amp;"|"&amp;Y$3,$AS:$AS,0)),""))</f>
        <v/>
      </c>
      <c r="Z16" s="12" t="str">
        <f>IF(AA$2=0,IFERROR(INDEX($AM:$AM,MATCH($D16&amp;"|"&amp;Z$3,$AS:$AS,0)),""),IFERROR(INDEX($AR:$AR,MATCH($D16&amp;"|"&amp;Z$3,$AS:$AS,0)),""))</f>
        <v/>
      </c>
      <c r="AA16" s="12" t="str">
        <f>IF(AB$2=0,IFERROR(INDEX($AM:$AM,MATCH($D16&amp;"|"&amp;AA$3,$AS:$AS,0)),""),IFERROR(INDEX($AR:$AR,MATCH($D16&amp;"|"&amp;AA$3,$AS:$AS,0)),""))</f>
        <v/>
      </c>
      <c r="AG16" s="20" t="s">
        <v>296</v>
      </c>
      <c r="AH16" s="20" t="s">
        <v>300</v>
      </c>
      <c r="AI16" s="20" t="s">
        <v>26</v>
      </c>
      <c r="AJ16" s="7">
        <v>0.49166666666666664</v>
      </c>
      <c r="AK16" s="7">
        <v>0.49166666666666664</v>
      </c>
      <c r="AL16" s="20" t="s">
        <v>51</v>
      </c>
      <c r="AM16" s="20" t="str">
        <f>+TEXT(Carro1[[#This Row],[Column1]],"hh:mm")&amp;" | " &amp;TEXT(Carro1[[#This Row],[Hora Fim]],"hh:mm")</f>
        <v>11:48 | 11:48</v>
      </c>
      <c r="AN16" s="20">
        <f>INDEX($E$3:$AA$3,MATCH(Carro1[[#This Row],[Nó]],$E$1:$AA$1,0))</f>
        <v>3</v>
      </c>
      <c r="AO16" s="7">
        <f>+IF(AND(Carro1[[#This Row],[Nó]]=AI15,Carro1[[#This Row],[Nó]]=AI17),AO15,Carro1[[#This Row],[Hora Início]])</f>
        <v>0.49166666666666664</v>
      </c>
      <c r="AP16" s="20">
        <f t="shared" si="0"/>
        <v>2</v>
      </c>
      <c r="AQ16" s="20" cm="1">
        <f t="array" ref="AQ16">IFERROR(_xlfn.IFS(AP16=AP15,AQ15,AQ15="Ramo",1),AQ15+1)</f>
        <v>1</v>
      </c>
      <c r="AR16" s="20">
        <f t="shared" si="1"/>
        <v>0</v>
      </c>
      <c r="AS16" s="20" t="str">
        <f>IF(AND(Carro1[[#This Row],[Nó]]=AI17,Carro1[[#This Row],[Nó]]=AI18),"",AQ16&amp;"|"&amp;AN16)</f>
        <v>1|3</v>
      </c>
      <c r="AT16" s="20" t="str">
        <f t="shared" si="2"/>
        <v>1|3</v>
      </c>
      <c r="AU16" s="20" t="str">
        <f>IF(Carro1[[#This Row],[Tipo]]="Início",AQ16&amp;"|"&amp;AN16,"")</f>
        <v/>
      </c>
    </row>
    <row r="17" spans="4:47" x14ac:dyDescent="0.25">
      <c r="D17" s="11">
        <f t="shared" si="3"/>
        <v>14</v>
      </c>
      <c r="E17" s="12" t="str">
        <f>IF(F$2=0,IFERROR(INDEX($AM:$AM,MATCH($D17&amp;"|"&amp;E$3,$AS:$AS,0)),""),IFERROR(INDEX($AR:$AR,MATCH($D17&amp;"|"&amp;E$3,$AS:$AS,0)),""))</f>
        <v/>
      </c>
      <c r="F17" s="12" t="str">
        <f>IF(G$2=0,IFERROR(INDEX($AM:$AM,MATCH($D17&amp;"|"&amp;F$3,$AS:$AS,0)),""),IFERROR(INDEX($AR:$AR,MATCH($D17&amp;"|"&amp;F$3,$AS:$AS,0)),""))</f>
        <v/>
      </c>
      <c r="G17" s="12" t="str">
        <f>IF(H$2=0,IFERROR(INDEX($AM:$AM,MATCH($D17&amp;"|"&amp;G$3,$AS:$AS,0)),""),IFERROR(INDEX($AR:$AR,MATCH($D17&amp;"|"&amp;G$3,$AS:$AS,0)),""))</f>
        <v/>
      </c>
      <c r="H17" s="12" t="str">
        <f>IF(I$2=0,IFERROR(INDEX($AM:$AM,MATCH($D17&amp;"|"&amp;H$3,$AS:$AS,0)),""),IFERROR(INDEX($AR:$AR,MATCH($D17&amp;"|"&amp;H$3,$AS:$AS,0)),""))</f>
        <v/>
      </c>
      <c r="I17" s="12" t="str">
        <f>IF(J$2=0,IFERROR(INDEX($AM:$AM,MATCH($D17&amp;"|"&amp;I$3,$AS:$AS,0)),""),IFERROR(INDEX($AR:$AR,MATCH($D17&amp;"|"&amp;I$3,$AS:$AS,0)),""))</f>
        <v/>
      </c>
      <c r="J17" s="12" t="str">
        <f>IF(K$2=0,IFERROR(INDEX($AM:$AM,MATCH($D17&amp;"|"&amp;J$3,$AS:$AS,0)),""),IFERROR(INDEX($AR:$AR,MATCH($D17&amp;"|"&amp;J$3,$AS:$AS,0)),""))</f>
        <v/>
      </c>
      <c r="K17" s="12" t="str">
        <f>IF(L$2=0,IFERROR(INDEX($AM:$AM,MATCH($D17&amp;"|"&amp;K$3,$AS:$AS,0)),""),IFERROR(INDEX($AR:$AR,MATCH($D17&amp;"|"&amp;K$3,$AS:$AS,0)),""))</f>
        <v/>
      </c>
      <c r="L17" s="12" t="str">
        <f>IF(M$2=0,IFERROR(INDEX($AM:$AM,MATCH($D17&amp;"|"&amp;L$3,$AS:$AS,0)),""),IFERROR(INDEX($AR:$AR,MATCH($D17&amp;"|"&amp;L$3,$AS:$AS,0)),""))</f>
        <v/>
      </c>
      <c r="M17" s="12" t="str">
        <f>IF(N$2=0,IFERROR(INDEX($AM:$AM,MATCH($D17&amp;"|"&amp;M$3,$AS:$AS,0)),""),IFERROR(INDEX($AR:$AR,MATCH($D17&amp;"|"&amp;M$3,$AS:$AS,0)),""))</f>
        <v/>
      </c>
      <c r="N17" s="12" t="str">
        <f>IF(O$2=0,IFERROR(INDEX($AM:$AM,MATCH($D17&amp;"|"&amp;N$3,$AS:$AS,0)),""),IFERROR(INDEX($AR:$AR,MATCH($D17&amp;"|"&amp;N$3,$AS:$AS,0)),""))</f>
        <v/>
      </c>
      <c r="O17" s="12" t="str">
        <f>IF(P$2=0,IFERROR(INDEX($AM:$AM,MATCH($D17&amp;"|"&amp;O$3,$AS:$AS,0)),""),IFERROR(INDEX($AR:$AR,MATCH($D17&amp;"|"&amp;O$3,$AS:$AS,0)),""))</f>
        <v/>
      </c>
      <c r="P17" s="12" t="str">
        <f>IF(Q$2=0,IFERROR(INDEX($AM:$AM,MATCH($D17&amp;"|"&amp;P$3,$AS:$AS,0)),""),IFERROR(INDEX($AR:$AR,MATCH($D17&amp;"|"&amp;P$3,$AS:$AS,0)),""))</f>
        <v/>
      </c>
      <c r="Q17" s="12" t="str">
        <f>IF(R$2=0,IFERROR(INDEX($AM:$AM,MATCH($D17&amp;"|"&amp;Q$3,$AS:$AS,0)),""),IFERROR(INDEX($AR:$AR,MATCH($D17&amp;"|"&amp;Q$3,$AS:$AS,0)),""))</f>
        <v/>
      </c>
      <c r="R17" s="12" t="str">
        <f>IF(S$2=0,IFERROR(INDEX($AM:$AM,MATCH($D17&amp;"|"&amp;R$3,$AS:$AS,0)),""),IFERROR(INDEX($AR:$AR,MATCH($D17&amp;"|"&amp;R$3,$AS:$AS,0)),""))</f>
        <v/>
      </c>
      <c r="S17" s="12" t="str">
        <f>IF(T$2=0,IFERROR(INDEX($AM:$AM,MATCH($D17&amp;"|"&amp;S$3,$AS:$AS,0)),""),IFERROR(INDEX($AR:$AR,MATCH($D17&amp;"|"&amp;S$3,$AS:$AS,0)),""))</f>
        <v/>
      </c>
      <c r="T17" s="12" t="str">
        <f>IF(U$2=0,IFERROR(INDEX($AM:$AM,MATCH($D17&amp;"|"&amp;T$3,$AS:$AS,0)),""),IFERROR(INDEX($AR:$AR,MATCH($D17&amp;"|"&amp;T$3,$AS:$AS,0)),""))</f>
        <v/>
      </c>
      <c r="U17" s="12" t="str">
        <f>IF(V$2=0,IFERROR(INDEX($AM:$AM,MATCH($D17&amp;"|"&amp;U$3,$AS:$AS,0)),""),IFERROR(INDEX($AR:$AR,MATCH($D17&amp;"|"&amp;U$3,$AS:$AS,0)),""))</f>
        <v/>
      </c>
      <c r="V17" s="12" t="str">
        <f>IF(W$2=0,IFERROR(INDEX($AM:$AM,MATCH($D17&amp;"|"&amp;V$3,$AS:$AS,0)),""),IFERROR(INDEX($AR:$AR,MATCH($D17&amp;"|"&amp;V$3,$AS:$AS,0)),""))</f>
        <v/>
      </c>
      <c r="W17" s="12" t="str">
        <f>IF(X$2=0,IFERROR(INDEX($AM:$AM,MATCH($D17&amp;"|"&amp;W$3,$AS:$AS,0)),""),IFERROR(INDEX($AR:$AR,MATCH($D17&amp;"|"&amp;W$3,$AS:$AS,0)),""))</f>
        <v/>
      </c>
      <c r="X17" s="12" t="str">
        <f>IF(Y$2=0,IFERROR(INDEX($AM:$AM,MATCH($D17&amp;"|"&amp;X$3,$AS:$AS,0)),""),IFERROR(INDEX($AR:$AR,MATCH($D17&amp;"|"&amp;X$3,$AS:$AS,0)),""))</f>
        <v/>
      </c>
      <c r="Y17" s="12" t="str">
        <f>IF(Z$2=0,IFERROR(INDEX($AM:$AM,MATCH($D17&amp;"|"&amp;Y$3,$AS:$AS,0)),""),IFERROR(INDEX($AR:$AR,MATCH($D17&amp;"|"&amp;Y$3,$AS:$AS,0)),""))</f>
        <v/>
      </c>
      <c r="Z17" s="12" t="str">
        <f>IF(AA$2=0,IFERROR(INDEX($AM:$AM,MATCH($D17&amp;"|"&amp;Z$3,$AS:$AS,0)),""),IFERROR(INDEX($AR:$AR,MATCH($D17&amp;"|"&amp;Z$3,$AS:$AS,0)),""))</f>
        <v/>
      </c>
      <c r="AA17" s="12" t="str">
        <f>IF(AB$2=0,IFERROR(INDEX($AM:$AM,MATCH($D17&amp;"|"&amp;AA$3,$AS:$AS,0)),""),IFERROR(INDEX($AR:$AR,MATCH($D17&amp;"|"&amp;AA$3,$AS:$AS,0)),""))</f>
        <v/>
      </c>
      <c r="AG17" s="20" t="s">
        <v>296</v>
      </c>
      <c r="AH17" s="20" t="s">
        <v>299</v>
      </c>
      <c r="AI17" s="20" t="s">
        <v>24</v>
      </c>
      <c r="AJ17" s="7">
        <v>0.49236111111111114</v>
      </c>
      <c r="AK17" s="7">
        <v>0.50208333333333333</v>
      </c>
      <c r="AL17" s="20" t="s">
        <v>50</v>
      </c>
      <c r="AM17" s="20" t="str">
        <f>+TEXT(Carro1[[#This Row],[Column1]],"hh:mm")&amp;" | " &amp;TEXT(Carro1[[#This Row],[Hora Fim]],"hh:mm")</f>
        <v>11:49 | 12:03</v>
      </c>
      <c r="AN17" s="20">
        <f>INDEX($E$3:$AA$3,MATCH(Carro1[[#This Row],[Nó]],$E$1:$AA$1,0))</f>
        <v>2</v>
      </c>
      <c r="AO17" s="7">
        <f>+IF(AND(Carro1[[#This Row],[Nó]]=AI16,Carro1[[#This Row],[Nó]]=AI18),AO16,Carro1[[#This Row],[Hora Início]])</f>
        <v>0.49236111111111114</v>
      </c>
      <c r="AP17" s="20">
        <f t="shared" si="0"/>
        <v>2</v>
      </c>
      <c r="AQ17" s="20" cm="1">
        <f t="array" ref="AQ17">IFERROR(_xlfn.IFS(AP17=AP16,AQ16,AQ16="Ramo",1),AQ16+1)</f>
        <v>1</v>
      </c>
      <c r="AR17" s="20">
        <f t="shared" si="1"/>
        <v>0</v>
      </c>
      <c r="AS17" s="20" t="str">
        <f>IF(AND(Carro1[[#This Row],[Nó]]=AI18,Carro1[[#This Row],[Nó]]=AI19),"",AQ17&amp;"|"&amp;AN17)</f>
        <v>1|2</v>
      </c>
      <c r="AT17" s="20" t="str">
        <f t="shared" si="2"/>
        <v>1|2</v>
      </c>
      <c r="AU17" s="20" t="str">
        <f>IF(Carro1[[#This Row],[Tipo]]="Início",AQ17&amp;"|"&amp;AN17,"")</f>
        <v/>
      </c>
    </row>
    <row r="18" spans="4:47" x14ac:dyDescent="0.25">
      <c r="D18" s="11">
        <f t="shared" si="3"/>
        <v>15</v>
      </c>
      <c r="E18" s="12" t="str">
        <f>IF(F$2=0,IFERROR(INDEX($AM:$AM,MATCH($D18&amp;"|"&amp;E$3,$AS:$AS,0)),""),IFERROR(INDEX($AR:$AR,MATCH($D18&amp;"|"&amp;E$3,$AS:$AS,0)),""))</f>
        <v/>
      </c>
      <c r="F18" s="12" t="str">
        <f>IF(G$2=0,IFERROR(INDEX($AM:$AM,MATCH($D18&amp;"|"&amp;F$3,$AS:$AS,0)),""),IFERROR(INDEX($AR:$AR,MATCH($D18&amp;"|"&amp;F$3,$AS:$AS,0)),""))</f>
        <v/>
      </c>
      <c r="G18" s="12" t="str">
        <f>IF(H$2=0,IFERROR(INDEX($AM:$AM,MATCH($D18&amp;"|"&amp;G$3,$AS:$AS,0)),""),IFERROR(INDEX($AR:$AR,MATCH($D18&amp;"|"&amp;G$3,$AS:$AS,0)),""))</f>
        <v/>
      </c>
      <c r="H18" s="12" t="str">
        <f>IF(I$2=0,IFERROR(INDEX($AM:$AM,MATCH($D18&amp;"|"&amp;H$3,$AS:$AS,0)),""),IFERROR(INDEX($AR:$AR,MATCH($D18&amp;"|"&amp;H$3,$AS:$AS,0)),""))</f>
        <v/>
      </c>
      <c r="I18" s="12" t="str">
        <f>IF(J$2=0,IFERROR(INDEX($AM:$AM,MATCH($D18&amp;"|"&amp;I$3,$AS:$AS,0)),""),IFERROR(INDEX($AR:$AR,MATCH($D18&amp;"|"&amp;I$3,$AS:$AS,0)),""))</f>
        <v/>
      </c>
      <c r="J18" s="12" t="str">
        <f>IF(K$2=0,IFERROR(INDEX($AM:$AM,MATCH($D18&amp;"|"&amp;J$3,$AS:$AS,0)),""),IFERROR(INDEX($AR:$AR,MATCH($D18&amp;"|"&amp;J$3,$AS:$AS,0)),""))</f>
        <v/>
      </c>
      <c r="K18" s="12" t="str">
        <f>IF(L$2=0,IFERROR(INDEX($AM:$AM,MATCH($D18&amp;"|"&amp;K$3,$AS:$AS,0)),""),IFERROR(INDEX($AR:$AR,MATCH($D18&amp;"|"&amp;K$3,$AS:$AS,0)),""))</f>
        <v/>
      </c>
      <c r="L18" s="12" t="str">
        <f>IF(M$2=0,IFERROR(INDEX($AM:$AM,MATCH($D18&amp;"|"&amp;L$3,$AS:$AS,0)),""),IFERROR(INDEX($AR:$AR,MATCH($D18&amp;"|"&amp;L$3,$AS:$AS,0)),""))</f>
        <v/>
      </c>
      <c r="M18" s="12" t="str">
        <f>IF(N$2=0,IFERROR(INDEX($AM:$AM,MATCH($D18&amp;"|"&amp;M$3,$AS:$AS,0)),""),IFERROR(INDEX($AR:$AR,MATCH($D18&amp;"|"&amp;M$3,$AS:$AS,0)),""))</f>
        <v/>
      </c>
      <c r="N18" s="12" t="str">
        <f>IF(O$2=0,IFERROR(INDEX($AM:$AM,MATCH($D18&amp;"|"&amp;N$3,$AS:$AS,0)),""),IFERROR(INDEX($AR:$AR,MATCH($D18&amp;"|"&amp;N$3,$AS:$AS,0)),""))</f>
        <v/>
      </c>
      <c r="O18" s="12" t="str">
        <f>IF(P$2=0,IFERROR(INDEX($AM:$AM,MATCH($D18&amp;"|"&amp;O$3,$AS:$AS,0)),""),IFERROR(INDEX($AR:$AR,MATCH($D18&amp;"|"&amp;O$3,$AS:$AS,0)),""))</f>
        <v/>
      </c>
      <c r="P18" s="12" t="str">
        <f>IF(Q$2=0,IFERROR(INDEX($AM:$AM,MATCH($D18&amp;"|"&amp;P$3,$AS:$AS,0)),""),IFERROR(INDEX($AR:$AR,MATCH($D18&amp;"|"&amp;P$3,$AS:$AS,0)),""))</f>
        <v/>
      </c>
      <c r="Q18" s="12" t="str">
        <f>IF(R$2=0,IFERROR(INDEX($AM:$AM,MATCH($D18&amp;"|"&amp;Q$3,$AS:$AS,0)),""),IFERROR(INDEX($AR:$AR,MATCH($D18&amp;"|"&amp;Q$3,$AS:$AS,0)),""))</f>
        <v/>
      </c>
      <c r="R18" s="12" t="str">
        <f>IF(S$2=0,IFERROR(INDEX($AM:$AM,MATCH($D18&amp;"|"&amp;R$3,$AS:$AS,0)),""),IFERROR(INDEX($AR:$AR,MATCH($D18&amp;"|"&amp;R$3,$AS:$AS,0)),""))</f>
        <v/>
      </c>
      <c r="S18" s="12" t="str">
        <f>IF(T$2=0,IFERROR(INDEX($AM:$AM,MATCH($D18&amp;"|"&amp;S$3,$AS:$AS,0)),""),IFERROR(INDEX($AR:$AR,MATCH($D18&amp;"|"&amp;S$3,$AS:$AS,0)),""))</f>
        <v/>
      </c>
      <c r="T18" s="12" t="str">
        <f>IF(U$2=0,IFERROR(INDEX($AM:$AM,MATCH($D18&amp;"|"&amp;T$3,$AS:$AS,0)),""),IFERROR(INDEX($AR:$AR,MATCH($D18&amp;"|"&amp;T$3,$AS:$AS,0)),""))</f>
        <v/>
      </c>
      <c r="U18" s="12" t="str">
        <f>IF(V$2=0,IFERROR(INDEX($AM:$AM,MATCH($D18&amp;"|"&amp;U$3,$AS:$AS,0)),""),IFERROR(INDEX($AR:$AR,MATCH($D18&amp;"|"&amp;U$3,$AS:$AS,0)),""))</f>
        <v/>
      </c>
      <c r="V18" s="12" t="str">
        <f>IF(W$2=0,IFERROR(INDEX($AM:$AM,MATCH($D18&amp;"|"&amp;V$3,$AS:$AS,0)),""),IFERROR(INDEX($AR:$AR,MATCH($D18&amp;"|"&amp;V$3,$AS:$AS,0)),""))</f>
        <v/>
      </c>
      <c r="W18" s="12" t="str">
        <f>IF(X$2=0,IFERROR(INDEX($AM:$AM,MATCH($D18&amp;"|"&amp;W$3,$AS:$AS,0)),""),IFERROR(INDEX($AR:$AR,MATCH($D18&amp;"|"&amp;W$3,$AS:$AS,0)),""))</f>
        <v/>
      </c>
      <c r="X18" s="12" t="str">
        <f>IF(Y$2=0,IFERROR(INDEX($AM:$AM,MATCH($D18&amp;"|"&amp;X$3,$AS:$AS,0)),""),IFERROR(INDEX($AR:$AR,MATCH($D18&amp;"|"&amp;X$3,$AS:$AS,0)),""))</f>
        <v/>
      </c>
      <c r="Y18" s="12" t="str">
        <f>IF(Z$2=0,IFERROR(INDEX($AM:$AM,MATCH($D18&amp;"|"&amp;Y$3,$AS:$AS,0)),""),IFERROR(INDEX($AR:$AR,MATCH($D18&amp;"|"&amp;Y$3,$AS:$AS,0)),""))</f>
        <v/>
      </c>
      <c r="Z18" s="12" t="str">
        <f>IF(AA$2=0,IFERROR(INDEX($AM:$AM,MATCH($D18&amp;"|"&amp;Z$3,$AS:$AS,0)),""),IFERROR(INDEX($AR:$AR,MATCH($D18&amp;"|"&amp;Z$3,$AS:$AS,0)),""))</f>
        <v/>
      </c>
      <c r="AA18" s="12" t="str">
        <f>IF(AB$2=0,IFERROR(INDEX($AM:$AM,MATCH($D18&amp;"|"&amp;AA$3,$AS:$AS,0)),""),IFERROR(INDEX($AR:$AR,MATCH($D18&amp;"|"&amp;AA$3,$AS:$AS,0)),""))</f>
        <v/>
      </c>
      <c r="AG18" s="20" t="s">
        <v>296</v>
      </c>
      <c r="AH18" s="20" t="s">
        <v>299</v>
      </c>
      <c r="AI18" s="20" t="s">
        <v>24</v>
      </c>
      <c r="AJ18" s="7">
        <v>0.50277777777777777</v>
      </c>
      <c r="AK18" s="7">
        <v>0.50277777777777777</v>
      </c>
      <c r="AL18" s="20" t="s">
        <v>51</v>
      </c>
      <c r="AM18" s="20" t="str">
        <f>+TEXT(Carro1[[#This Row],[Column1]],"hh:mm")&amp;" | " &amp;TEXT(Carro1[[#This Row],[Hora Fim]],"hh:mm")</f>
        <v>12:04 | 12:04</v>
      </c>
      <c r="AN18" s="20">
        <f>INDEX($E$3:$AA$3,MATCH(Carro1[[#This Row],[Nó]],$E$1:$AA$1,0))</f>
        <v>2</v>
      </c>
      <c r="AO18" s="7">
        <f>+IF(AND(Carro1[[#This Row],[Nó]]=AI17,Carro1[[#This Row],[Nó]]=AI19),AO17,Carro1[[#This Row],[Hora Início]])</f>
        <v>0.50277777777777777</v>
      </c>
      <c r="AP18" s="20">
        <f t="shared" si="0"/>
        <v>2</v>
      </c>
      <c r="AQ18" s="20" cm="1">
        <f t="array" ref="AQ18">IFERROR(_xlfn.IFS(AP18=AP17,AQ17,AQ17="Ramo",1),AQ17+1)</f>
        <v>1</v>
      </c>
      <c r="AR18" s="20">
        <f t="shared" si="1"/>
        <v>0</v>
      </c>
      <c r="AS18" s="20" t="str">
        <f>IF(AND(Carro1[[#This Row],[Nó]]=AI19,Carro1[[#This Row],[Nó]]=AI20),"",AQ18&amp;"|"&amp;AN18)</f>
        <v>1|2</v>
      </c>
      <c r="AT18" s="20" t="str">
        <f t="shared" si="2"/>
        <v>1|2</v>
      </c>
      <c r="AU18" s="20" t="str">
        <f>IF(Carro1[[#This Row],[Tipo]]="Início",AQ18&amp;"|"&amp;AN18,"")</f>
        <v/>
      </c>
    </row>
    <row r="19" spans="4:47" x14ac:dyDescent="0.25">
      <c r="D19" s="11">
        <f t="shared" si="3"/>
        <v>16</v>
      </c>
      <c r="E19" s="12" t="str">
        <f>IF(F$2=0,IFERROR(INDEX($AM:$AM,MATCH($D19&amp;"|"&amp;E$3,$AS:$AS,0)),""),IFERROR(INDEX($AR:$AR,MATCH($D19&amp;"|"&amp;E$3,$AS:$AS,0)),""))</f>
        <v/>
      </c>
      <c r="F19" s="12" t="str">
        <f>IF(G$2=0,IFERROR(INDEX($AM:$AM,MATCH($D19&amp;"|"&amp;F$3,$AS:$AS,0)),""),IFERROR(INDEX($AR:$AR,MATCH($D19&amp;"|"&amp;F$3,$AS:$AS,0)),""))</f>
        <v/>
      </c>
      <c r="G19" s="12" t="str">
        <f>IF(H$2=0,IFERROR(INDEX($AM:$AM,MATCH($D19&amp;"|"&amp;G$3,$AS:$AS,0)),""),IFERROR(INDEX($AR:$AR,MATCH($D19&amp;"|"&amp;G$3,$AS:$AS,0)),""))</f>
        <v/>
      </c>
      <c r="H19" s="12" t="str">
        <f>IF(I$2=0,IFERROR(INDEX($AM:$AM,MATCH($D19&amp;"|"&amp;H$3,$AS:$AS,0)),""),IFERROR(INDEX($AR:$AR,MATCH($D19&amp;"|"&amp;H$3,$AS:$AS,0)),""))</f>
        <v/>
      </c>
      <c r="I19" s="12" t="str">
        <f>IF(J$2=0,IFERROR(INDEX($AM:$AM,MATCH($D19&amp;"|"&amp;I$3,$AS:$AS,0)),""),IFERROR(INDEX($AR:$AR,MATCH($D19&amp;"|"&amp;I$3,$AS:$AS,0)),""))</f>
        <v/>
      </c>
      <c r="J19" s="12" t="str">
        <f>IF(K$2=0,IFERROR(INDEX($AM:$AM,MATCH($D19&amp;"|"&amp;J$3,$AS:$AS,0)),""),IFERROR(INDEX($AR:$AR,MATCH($D19&amp;"|"&amp;J$3,$AS:$AS,0)),""))</f>
        <v/>
      </c>
      <c r="K19" s="12" t="str">
        <f>IF(L$2=0,IFERROR(INDEX($AM:$AM,MATCH($D19&amp;"|"&amp;K$3,$AS:$AS,0)),""),IFERROR(INDEX($AR:$AR,MATCH($D19&amp;"|"&amp;K$3,$AS:$AS,0)),""))</f>
        <v/>
      </c>
      <c r="L19" s="12" t="str">
        <f>IF(M$2=0,IFERROR(INDEX($AM:$AM,MATCH($D19&amp;"|"&amp;L$3,$AS:$AS,0)),""),IFERROR(INDEX($AR:$AR,MATCH($D19&amp;"|"&amp;L$3,$AS:$AS,0)),""))</f>
        <v/>
      </c>
      <c r="M19" s="12" t="str">
        <f>IF(N$2=0,IFERROR(INDEX($AM:$AM,MATCH($D19&amp;"|"&amp;M$3,$AS:$AS,0)),""),IFERROR(INDEX($AR:$AR,MATCH($D19&amp;"|"&amp;M$3,$AS:$AS,0)),""))</f>
        <v/>
      </c>
      <c r="N19" s="12" t="str">
        <f>IF(O$2=0,IFERROR(INDEX($AM:$AM,MATCH($D19&amp;"|"&amp;N$3,$AS:$AS,0)),""),IFERROR(INDEX($AR:$AR,MATCH($D19&amp;"|"&amp;N$3,$AS:$AS,0)),""))</f>
        <v/>
      </c>
      <c r="O19" s="12" t="str">
        <f>IF(P$2=0,IFERROR(INDEX($AM:$AM,MATCH($D19&amp;"|"&amp;O$3,$AS:$AS,0)),""),IFERROR(INDEX($AR:$AR,MATCH($D19&amp;"|"&amp;O$3,$AS:$AS,0)),""))</f>
        <v/>
      </c>
      <c r="P19" s="12" t="str">
        <f>IF(Q$2=0,IFERROR(INDEX($AM:$AM,MATCH($D19&amp;"|"&amp;P$3,$AS:$AS,0)),""),IFERROR(INDEX($AR:$AR,MATCH($D19&amp;"|"&amp;P$3,$AS:$AS,0)),""))</f>
        <v/>
      </c>
      <c r="Q19" s="12" t="str">
        <f>IF(R$2=0,IFERROR(INDEX($AM:$AM,MATCH($D19&amp;"|"&amp;Q$3,$AS:$AS,0)),""),IFERROR(INDEX($AR:$AR,MATCH($D19&amp;"|"&amp;Q$3,$AS:$AS,0)),""))</f>
        <v/>
      </c>
      <c r="R19" s="12" t="str">
        <f>IF(S$2=0,IFERROR(INDEX($AM:$AM,MATCH($D19&amp;"|"&amp;R$3,$AS:$AS,0)),""),IFERROR(INDEX($AR:$AR,MATCH($D19&amp;"|"&amp;R$3,$AS:$AS,0)),""))</f>
        <v/>
      </c>
      <c r="S19" s="12" t="str">
        <f>IF(T$2=0,IFERROR(INDEX($AM:$AM,MATCH($D19&amp;"|"&amp;S$3,$AS:$AS,0)),""),IFERROR(INDEX($AR:$AR,MATCH($D19&amp;"|"&amp;S$3,$AS:$AS,0)),""))</f>
        <v/>
      </c>
      <c r="T19" s="12" t="str">
        <f>IF(U$2=0,IFERROR(INDEX($AM:$AM,MATCH($D19&amp;"|"&amp;T$3,$AS:$AS,0)),""),IFERROR(INDEX($AR:$AR,MATCH($D19&amp;"|"&amp;T$3,$AS:$AS,0)),""))</f>
        <v/>
      </c>
      <c r="U19" s="12" t="str">
        <f>IF(V$2=0,IFERROR(INDEX($AM:$AM,MATCH($D19&amp;"|"&amp;U$3,$AS:$AS,0)),""),IFERROR(INDEX($AR:$AR,MATCH($D19&amp;"|"&amp;U$3,$AS:$AS,0)),""))</f>
        <v/>
      </c>
      <c r="V19" s="12" t="str">
        <f>IF(W$2=0,IFERROR(INDEX($AM:$AM,MATCH($D19&amp;"|"&amp;V$3,$AS:$AS,0)),""),IFERROR(INDEX($AR:$AR,MATCH($D19&amp;"|"&amp;V$3,$AS:$AS,0)),""))</f>
        <v/>
      </c>
      <c r="W19" s="12" t="str">
        <f>IF(X$2=0,IFERROR(INDEX($AM:$AM,MATCH($D19&amp;"|"&amp;W$3,$AS:$AS,0)),""),IFERROR(INDEX($AR:$AR,MATCH($D19&amp;"|"&amp;W$3,$AS:$AS,0)),""))</f>
        <v/>
      </c>
      <c r="X19" s="12" t="str">
        <f>IF(Y$2=0,IFERROR(INDEX($AM:$AM,MATCH($D19&amp;"|"&amp;X$3,$AS:$AS,0)),""),IFERROR(INDEX($AR:$AR,MATCH($D19&amp;"|"&amp;X$3,$AS:$AS,0)),""))</f>
        <v/>
      </c>
      <c r="Y19" s="12" t="str">
        <f>IF(Z$2=0,IFERROR(INDEX($AM:$AM,MATCH($D19&amp;"|"&amp;Y$3,$AS:$AS,0)),""),IFERROR(INDEX($AR:$AR,MATCH($D19&amp;"|"&amp;Y$3,$AS:$AS,0)),""))</f>
        <v/>
      </c>
      <c r="Z19" s="12" t="str">
        <f>IF(AA$2=0,IFERROR(INDEX($AM:$AM,MATCH($D19&amp;"|"&amp;Z$3,$AS:$AS,0)),""),IFERROR(INDEX($AR:$AR,MATCH($D19&amp;"|"&amp;Z$3,$AS:$AS,0)),""))</f>
        <v/>
      </c>
      <c r="AA19" s="12" t="str">
        <f>IF(AB$2=0,IFERROR(INDEX($AM:$AM,MATCH($D19&amp;"|"&amp;AA$3,$AS:$AS,0)),""),IFERROR(INDEX($AR:$AR,MATCH($D19&amp;"|"&amp;AA$3,$AS:$AS,0)),""))</f>
        <v/>
      </c>
      <c r="AG19" s="20" t="s">
        <v>296</v>
      </c>
      <c r="AH19" s="20" t="s">
        <v>298</v>
      </c>
      <c r="AI19" s="20" t="s">
        <v>22</v>
      </c>
      <c r="AJ19" s="7">
        <v>0.51111111111111107</v>
      </c>
      <c r="AK19" s="7">
        <v>0.56597222222222221</v>
      </c>
      <c r="AL19" s="20" t="s">
        <v>52</v>
      </c>
      <c r="AM19" s="20" t="str">
        <f>+TEXT(Carro1[[#This Row],[Column1]],"hh:mm")&amp;" | " &amp;TEXT(Carro1[[#This Row],[Hora Fim]],"hh:mm")</f>
        <v>12:16 | 13:35</v>
      </c>
      <c r="AN19" s="20">
        <f>INDEX($E$3:$AA$3,MATCH(Carro1[[#This Row],[Nó]],$E$1:$AA$1,0))</f>
        <v>1</v>
      </c>
      <c r="AO19" s="7">
        <f>+IF(AND(Carro1[[#This Row],[Nó]]=AI18,Carro1[[#This Row],[Nó]]=AI20),AO18,Carro1[[#This Row],[Hora Início]])</f>
        <v>0.51111111111111107</v>
      </c>
      <c r="AP19" s="20">
        <f t="shared" si="0"/>
        <v>2</v>
      </c>
      <c r="AQ19" s="20" cm="1">
        <f t="array" ref="AQ19">IFERROR(_xlfn.IFS(AP19=AP18,AQ18,AQ18="Ramo",1),AQ18+1)</f>
        <v>1</v>
      </c>
      <c r="AR19" s="20">
        <f t="shared" si="1"/>
        <v>0</v>
      </c>
      <c r="AS19" s="20" t="str">
        <f>IF(AND(Carro1[[#This Row],[Nó]]=AI20,Carro1[[#This Row],[Nó]]=AI21),"",AQ19&amp;"|"&amp;AN19)</f>
        <v/>
      </c>
      <c r="AT19" s="20" t="str">
        <f t="shared" si="2"/>
        <v>1|1</v>
      </c>
      <c r="AU19" s="20" t="str">
        <f>IF(Carro1[[#This Row],[Tipo]]="Início",AQ19&amp;"|"&amp;AN19,"")</f>
        <v/>
      </c>
    </row>
    <row r="20" spans="4:47" x14ac:dyDescent="0.25">
      <c r="D20" s="11">
        <f t="shared" si="3"/>
        <v>17</v>
      </c>
      <c r="E20" s="12" t="str">
        <f>IF(F$2=0,IFERROR(INDEX($AM:$AM,MATCH($D20&amp;"|"&amp;E$3,$AS:$AS,0)),""),IFERROR(INDEX($AR:$AR,MATCH($D20&amp;"|"&amp;E$3,$AS:$AS,0)),""))</f>
        <v/>
      </c>
      <c r="F20" s="12" t="str">
        <f>IF(G$2=0,IFERROR(INDEX($AM:$AM,MATCH($D20&amp;"|"&amp;F$3,$AS:$AS,0)),""),IFERROR(INDEX($AR:$AR,MATCH($D20&amp;"|"&amp;F$3,$AS:$AS,0)),""))</f>
        <v/>
      </c>
      <c r="G20" s="12" t="str">
        <f>IF(H$2=0,IFERROR(INDEX($AM:$AM,MATCH($D20&amp;"|"&amp;G$3,$AS:$AS,0)),""),IFERROR(INDEX($AR:$AR,MATCH($D20&amp;"|"&amp;G$3,$AS:$AS,0)),""))</f>
        <v/>
      </c>
      <c r="H20" s="12" t="str">
        <f>IF(I$2=0,IFERROR(INDEX($AM:$AM,MATCH($D20&amp;"|"&amp;H$3,$AS:$AS,0)),""),IFERROR(INDEX($AR:$AR,MATCH($D20&amp;"|"&amp;H$3,$AS:$AS,0)),""))</f>
        <v/>
      </c>
      <c r="I20" s="12" t="str">
        <f>IF(J$2=0,IFERROR(INDEX($AM:$AM,MATCH($D20&amp;"|"&amp;I$3,$AS:$AS,0)),""),IFERROR(INDEX($AR:$AR,MATCH($D20&amp;"|"&amp;I$3,$AS:$AS,0)),""))</f>
        <v/>
      </c>
      <c r="J20" s="12" t="str">
        <f>IF(K$2=0,IFERROR(INDEX($AM:$AM,MATCH($D20&amp;"|"&amp;J$3,$AS:$AS,0)),""),IFERROR(INDEX($AR:$AR,MATCH($D20&amp;"|"&amp;J$3,$AS:$AS,0)),""))</f>
        <v/>
      </c>
      <c r="K20" s="12" t="str">
        <f>IF(L$2=0,IFERROR(INDEX($AM:$AM,MATCH($D20&amp;"|"&amp;K$3,$AS:$AS,0)),""),IFERROR(INDEX($AR:$AR,MATCH($D20&amp;"|"&amp;K$3,$AS:$AS,0)),""))</f>
        <v/>
      </c>
      <c r="L20" s="12" t="str">
        <f>IF(M$2=0,IFERROR(INDEX($AM:$AM,MATCH($D20&amp;"|"&amp;L$3,$AS:$AS,0)),""),IFERROR(INDEX($AR:$AR,MATCH($D20&amp;"|"&amp;L$3,$AS:$AS,0)),""))</f>
        <v/>
      </c>
      <c r="M20" s="12" t="str">
        <f>IF(N$2=0,IFERROR(INDEX($AM:$AM,MATCH($D20&amp;"|"&amp;M$3,$AS:$AS,0)),""),IFERROR(INDEX($AR:$AR,MATCH($D20&amp;"|"&amp;M$3,$AS:$AS,0)),""))</f>
        <v/>
      </c>
      <c r="N20" s="12" t="str">
        <f>IF(O$2=0,IFERROR(INDEX($AM:$AM,MATCH($D20&amp;"|"&amp;N$3,$AS:$AS,0)),""),IFERROR(INDEX($AR:$AR,MATCH($D20&amp;"|"&amp;N$3,$AS:$AS,0)),""))</f>
        <v/>
      </c>
      <c r="O20" s="12" t="str">
        <f>IF(P$2=0,IFERROR(INDEX($AM:$AM,MATCH($D20&amp;"|"&amp;O$3,$AS:$AS,0)),""),IFERROR(INDEX($AR:$AR,MATCH($D20&amp;"|"&amp;O$3,$AS:$AS,0)),""))</f>
        <v/>
      </c>
      <c r="P20" s="12" t="str">
        <f>IF(Q$2=0,IFERROR(INDEX($AM:$AM,MATCH($D20&amp;"|"&amp;P$3,$AS:$AS,0)),""),IFERROR(INDEX($AR:$AR,MATCH($D20&amp;"|"&amp;P$3,$AS:$AS,0)),""))</f>
        <v/>
      </c>
      <c r="Q20" s="12" t="str">
        <f>IF(R$2=0,IFERROR(INDEX($AM:$AM,MATCH($D20&amp;"|"&amp;Q$3,$AS:$AS,0)),""),IFERROR(INDEX($AR:$AR,MATCH($D20&amp;"|"&amp;Q$3,$AS:$AS,0)),""))</f>
        <v/>
      </c>
      <c r="R20" s="12" t="str">
        <f>IF(S$2=0,IFERROR(INDEX($AM:$AM,MATCH($D20&amp;"|"&amp;R$3,$AS:$AS,0)),""),IFERROR(INDEX($AR:$AR,MATCH($D20&amp;"|"&amp;R$3,$AS:$AS,0)),""))</f>
        <v/>
      </c>
      <c r="S20" s="12" t="str">
        <f>IF(T$2=0,IFERROR(INDEX($AM:$AM,MATCH($D20&amp;"|"&amp;S$3,$AS:$AS,0)),""),IFERROR(INDEX($AR:$AR,MATCH($D20&amp;"|"&amp;S$3,$AS:$AS,0)),""))</f>
        <v/>
      </c>
      <c r="T20" s="12" t="str">
        <f>IF(U$2=0,IFERROR(INDEX($AM:$AM,MATCH($D20&amp;"|"&amp;T$3,$AS:$AS,0)),""),IFERROR(INDEX($AR:$AR,MATCH($D20&amp;"|"&amp;T$3,$AS:$AS,0)),""))</f>
        <v/>
      </c>
      <c r="U20" s="12" t="str">
        <f>IF(V$2=0,IFERROR(INDEX($AM:$AM,MATCH($D20&amp;"|"&amp;U$3,$AS:$AS,0)),""),IFERROR(INDEX($AR:$AR,MATCH($D20&amp;"|"&amp;U$3,$AS:$AS,0)),""))</f>
        <v/>
      </c>
      <c r="V20" s="12" t="str">
        <f>IF(W$2=0,IFERROR(INDEX($AM:$AM,MATCH($D20&amp;"|"&amp;V$3,$AS:$AS,0)),""),IFERROR(INDEX($AR:$AR,MATCH($D20&amp;"|"&amp;V$3,$AS:$AS,0)),""))</f>
        <v/>
      </c>
      <c r="W20" s="12" t="str">
        <f>IF(X$2=0,IFERROR(INDEX($AM:$AM,MATCH($D20&amp;"|"&amp;W$3,$AS:$AS,0)),""),IFERROR(INDEX($AR:$AR,MATCH($D20&amp;"|"&amp;W$3,$AS:$AS,0)),""))</f>
        <v/>
      </c>
      <c r="X20" s="12" t="str">
        <f>IF(Y$2=0,IFERROR(INDEX($AM:$AM,MATCH($D20&amp;"|"&amp;X$3,$AS:$AS,0)),""),IFERROR(INDEX($AR:$AR,MATCH($D20&amp;"|"&amp;X$3,$AS:$AS,0)),""))</f>
        <v/>
      </c>
      <c r="Y20" s="12" t="str">
        <f>IF(Z$2=0,IFERROR(INDEX($AM:$AM,MATCH($D20&amp;"|"&amp;Y$3,$AS:$AS,0)),""),IFERROR(INDEX($AR:$AR,MATCH($D20&amp;"|"&amp;Y$3,$AS:$AS,0)),""))</f>
        <v/>
      </c>
      <c r="Z20" s="12" t="str">
        <f>IF(AA$2=0,IFERROR(INDEX($AM:$AM,MATCH($D20&amp;"|"&amp;Z$3,$AS:$AS,0)),""),IFERROR(INDEX($AR:$AR,MATCH($D20&amp;"|"&amp;Z$3,$AS:$AS,0)),""))</f>
        <v/>
      </c>
      <c r="AA20" s="12" t="str">
        <f>IF(AB$2=0,IFERROR(INDEX($AM:$AM,MATCH($D20&amp;"|"&amp;AA$3,$AS:$AS,0)),""),IFERROR(INDEX($AR:$AR,MATCH($D20&amp;"|"&amp;AA$3,$AS:$AS,0)),""))</f>
        <v/>
      </c>
      <c r="AG20" s="20" t="s">
        <v>296</v>
      </c>
      <c r="AH20" s="20" t="s">
        <v>298</v>
      </c>
      <c r="AI20" s="20" t="s">
        <v>22</v>
      </c>
      <c r="AJ20" s="7">
        <v>0.5708333333333333</v>
      </c>
      <c r="AK20" s="7">
        <v>0.57430555555555551</v>
      </c>
      <c r="AL20" s="20" t="s">
        <v>50</v>
      </c>
      <c r="AM20" s="20" t="str">
        <f>+TEXT(Carro1[[#This Row],[Column1]],"hh:mm")&amp;" | " &amp;TEXT(Carro1[[#This Row],[Hora Fim]],"hh:mm")</f>
        <v>12:16 | 13:47</v>
      </c>
      <c r="AN20" s="20">
        <f>INDEX($E$3:$AA$3,MATCH(Carro1[[#This Row],[Nó]],$E$1:$AA$1,0))</f>
        <v>1</v>
      </c>
      <c r="AO20" s="7">
        <f>+IF(AND(Carro1[[#This Row],[Nó]]=AI19,Carro1[[#This Row],[Nó]]=AI21),AO19,Carro1[[#This Row],[Hora Início]])</f>
        <v>0.51111111111111107</v>
      </c>
      <c r="AP20" s="20">
        <f t="shared" si="0"/>
        <v>2</v>
      </c>
      <c r="AQ20" s="20" cm="1">
        <f t="array" ref="AQ20">IFERROR(_xlfn.IFS(AP20=AP19,AQ19,AQ19="Ramo",1),AQ19+1)</f>
        <v>1</v>
      </c>
      <c r="AR20" s="20">
        <f t="shared" si="1"/>
        <v>0</v>
      </c>
      <c r="AS20" s="20" t="str">
        <f>IF(AND(Carro1[[#This Row],[Nó]]=AI21,Carro1[[#This Row],[Nó]]=AI22),"",AQ20&amp;"|"&amp;AN20)</f>
        <v>1|1</v>
      </c>
      <c r="AT20" s="20" t="str">
        <f t="shared" si="2"/>
        <v>1|1</v>
      </c>
      <c r="AU20" s="20" t="str">
        <f>IF(Carro1[[#This Row],[Tipo]]="Início",AQ20&amp;"|"&amp;AN20,"")</f>
        <v/>
      </c>
    </row>
    <row r="21" spans="4:47" x14ac:dyDescent="0.25">
      <c r="D21" s="11">
        <f t="shared" si="3"/>
        <v>18</v>
      </c>
      <c r="E21" s="12" t="str">
        <f>IF(F$2=0,IFERROR(INDEX($AM:$AM,MATCH($D21&amp;"|"&amp;E$3,$AS:$AS,0)),""),IFERROR(INDEX($AR:$AR,MATCH($D21&amp;"|"&amp;E$3,$AS:$AS,0)),""))</f>
        <v/>
      </c>
      <c r="F21" s="12" t="str">
        <f>IF(G$2=0,IFERROR(INDEX($AM:$AM,MATCH($D21&amp;"|"&amp;F$3,$AS:$AS,0)),""),IFERROR(INDEX($AR:$AR,MATCH($D21&amp;"|"&amp;F$3,$AS:$AS,0)),""))</f>
        <v/>
      </c>
      <c r="G21" s="12" t="str">
        <f>IF(H$2=0,IFERROR(INDEX($AM:$AM,MATCH($D21&amp;"|"&amp;G$3,$AS:$AS,0)),""),IFERROR(INDEX($AR:$AR,MATCH($D21&amp;"|"&amp;G$3,$AS:$AS,0)),""))</f>
        <v/>
      </c>
      <c r="H21" s="12" t="str">
        <f>IF(I$2=0,IFERROR(INDEX($AM:$AM,MATCH($D21&amp;"|"&amp;H$3,$AS:$AS,0)),""),IFERROR(INDEX($AR:$AR,MATCH($D21&amp;"|"&amp;H$3,$AS:$AS,0)),""))</f>
        <v/>
      </c>
      <c r="I21" s="12" t="str">
        <f>IF(J$2=0,IFERROR(INDEX($AM:$AM,MATCH($D21&amp;"|"&amp;I$3,$AS:$AS,0)),""),IFERROR(INDEX($AR:$AR,MATCH($D21&amp;"|"&amp;I$3,$AS:$AS,0)),""))</f>
        <v/>
      </c>
      <c r="J21" s="12" t="str">
        <f>IF(K$2=0,IFERROR(INDEX($AM:$AM,MATCH($D21&amp;"|"&amp;J$3,$AS:$AS,0)),""),IFERROR(INDEX($AR:$AR,MATCH($D21&amp;"|"&amp;J$3,$AS:$AS,0)),""))</f>
        <v/>
      </c>
      <c r="K21" s="12" t="str">
        <f>IF(L$2=0,IFERROR(INDEX($AM:$AM,MATCH($D21&amp;"|"&amp;K$3,$AS:$AS,0)),""),IFERROR(INDEX($AR:$AR,MATCH($D21&amp;"|"&amp;K$3,$AS:$AS,0)),""))</f>
        <v/>
      </c>
      <c r="L21" s="12" t="str">
        <f>IF(M$2=0,IFERROR(INDEX($AM:$AM,MATCH($D21&amp;"|"&amp;L$3,$AS:$AS,0)),""),IFERROR(INDEX($AR:$AR,MATCH($D21&amp;"|"&amp;L$3,$AS:$AS,0)),""))</f>
        <v/>
      </c>
      <c r="M21" s="12" t="str">
        <f>IF(N$2=0,IFERROR(INDEX($AM:$AM,MATCH($D21&amp;"|"&amp;M$3,$AS:$AS,0)),""),IFERROR(INDEX($AR:$AR,MATCH($D21&amp;"|"&amp;M$3,$AS:$AS,0)),""))</f>
        <v/>
      </c>
      <c r="N21" s="12" t="str">
        <f>IF(O$2=0,IFERROR(INDEX($AM:$AM,MATCH($D21&amp;"|"&amp;N$3,$AS:$AS,0)),""),IFERROR(INDEX($AR:$AR,MATCH($D21&amp;"|"&amp;N$3,$AS:$AS,0)),""))</f>
        <v/>
      </c>
      <c r="O21" s="12" t="str">
        <f>IF(P$2=0,IFERROR(INDEX($AM:$AM,MATCH($D21&amp;"|"&amp;O$3,$AS:$AS,0)),""),IFERROR(INDEX($AR:$AR,MATCH($D21&amp;"|"&amp;O$3,$AS:$AS,0)),""))</f>
        <v/>
      </c>
      <c r="P21" s="12" t="str">
        <f>IF(Q$2=0,IFERROR(INDEX($AM:$AM,MATCH($D21&amp;"|"&amp;P$3,$AS:$AS,0)),""),IFERROR(INDEX($AR:$AR,MATCH($D21&amp;"|"&amp;P$3,$AS:$AS,0)),""))</f>
        <v/>
      </c>
      <c r="Q21" s="12" t="str">
        <f>IF(R$2=0,IFERROR(INDEX($AM:$AM,MATCH($D21&amp;"|"&amp;Q$3,$AS:$AS,0)),""),IFERROR(INDEX($AR:$AR,MATCH($D21&amp;"|"&amp;Q$3,$AS:$AS,0)),""))</f>
        <v/>
      </c>
      <c r="R21" s="12" t="str">
        <f>IF(S$2=0,IFERROR(INDEX($AM:$AM,MATCH($D21&amp;"|"&amp;R$3,$AS:$AS,0)),""),IFERROR(INDEX($AR:$AR,MATCH($D21&amp;"|"&amp;R$3,$AS:$AS,0)),""))</f>
        <v/>
      </c>
      <c r="S21" s="12" t="str">
        <f>IF(T$2=0,IFERROR(INDEX($AM:$AM,MATCH($D21&amp;"|"&amp;S$3,$AS:$AS,0)),""),IFERROR(INDEX($AR:$AR,MATCH($D21&amp;"|"&amp;S$3,$AS:$AS,0)),""))</f>
        <v/>
      </c>
      <c r="T21" s="12" t="str">
        <f>IF(U$2=0,IFERROR(INDEX($AM:$AM,MATCH($D21&amp;"|"&amp;T$3,$AS:$AS,0)),""),IFERROR(INDEX($AR:$AR,MATCH($D21&amp;"|"&amp;T$3,$AS:$AS,0)),""))</f>
        <v/>
      </c>
      <c r="U21" s="12" t="str">
        <f>IF(V$2=0,IFERROR(INDEX($AM:$AM,MATCH($D21&amp;"|"&amp;U$3,$AS:$AS,0)),""),IFERROR(INDEX($AR:$AR,MATCH($D21&amp;"|"&amp;U$3,$AS:$AS,0)),""))</f>
        <v/>
      </c>
      <c r="V21" s="12" t="str">
        <f>IF(W$2=0,IFERROR(INDEX($AM:$AM,MATCH($D21&amp;"|"&amp;V$3,$AS:$AS,0)),""),IFERROR(INDEX($AR:$AR,MATCH($D21&amp;"|"&amp;V$3,$AS:$AS,0)),""))</f>
        <v/>
      </c>
      <c r="W21" s="12" t="str">
        <f>IF(X$2=0,IFERROR(INDEX($AM:$AM,MATCH($D21&amp;"|"&amp;W$3,$AS:$AS,0)),""),IFERROR(INDEX($AR:$AR,MATCH($D21&amp;"|"&amp;W$3,$AS:$AS,0)),""))</f>
        <v/>
      </c>
      <c r="X21" s="12" t="str">
        <f>IF(Y$2=0,IFERROR(INDEX($AM:$AM,MATCH($D21&amp;"|"&amp;X$3,$AS:$AS,0)),""),IFERROR(INDEX($AR:$AR,MATCH($D21&amp;"|"&amp;X$3,$AS:$AS,0)),""))</f>
        <v/>
      </c>
      <c r="Y21" s="12" t="str">
        <f>IF(Z$2=0,IFERROR(INDEX($AM:$AM,MATCH($D21&amp;"|"&amp;Y$3,$AS:$AS,0)),""),IFERROR(INDEX($AR:$AR,MATCH($D21&amp;"|"&amp;Y$3,$AS:$AS,0)),""))</f>
        <v/>
      </c>
      <c r="Z21" s="12" t="str">
        <f>IF(AA$2=0,IFERROR(INDEX($AM:$AM,MATCH($D21&amp;"|"&amp;Z$3,$AS:$AS,0)),""),IFERROR(INDEX($AR:$AR,MATCH($D21&amp;"|"&amp;Z$3,$AS:$AS,0)),""))</f>
        <v/>
      </c>
      <c r="AA21" s="12" t="str">
        <f>IF(AB$2=0,IFERROR(INDEX($AM:$AM,MATCH($D21&amp;"|"&amp;AA$3,$AS:$AS,0)),""),IFERROR(INDEX($AR:$AR,MATCH($D21&amp;"|"&amp;AA$3,$AS:$AS,0)),""))</f>
        <v/>
      </c>
      <c r="AG21" s="20" t="s">
        <v>296</v>
      </c>
      <c r="AH21" s="20" t="s">
        <v>298</v>
      </c>
      <c r="AI21" s="20" t="s">
        <v>22</v>
      </c>
      <c r="AJ21" s="7">
        <v>0.57916666666666672</v>
      </c>
      <c r="AK21" s="7">
        <v>0.57916666666666672</v>
      </c>
      <c r="AL21" s="20" t="s">
        <v>51</v>
      </c>
      <c r="AM21" s="20" t="str">
        <f>+TEXT(Carro1[[#This Row],[Column1]],"hh:mm")&amp;" | " &amp;TEXT(Carro1[[#This Row],[Hora Fim]],"hh:mm")</f>
        <v>13:54 | 13:54</v>
      </c>
      <c r="AN21" s="20">
        <f>INDEX($E$3:$AA$3,MATCH(Carro1[[#This Row],[Nó]],$E$1:$AA$1,0))</f>
        <v>1</v>
      </c>
      <c r="AO21" s="7">
        <f>+IF(AND(Carro1[[#This Row],[Nó]]=AI20,Carro1[[#This Row],[Nó]]=AI22),AO20,Carro1[[#This Row],[Hora Início]])</f>
        <v>0.57916666666666672</v>
      </c>
      <c r="AP21" s="20">
        <f t="shared" si="0"/>
        <v>2</v>
      </c>
      <c r="AQ21" s="20" cm="1">
        <f t="array" ref="AQ21">IFERROR(_xlfn.IFS(AP21=AP20,AQ20,AQ20="Ramo",1),AQ20+1)</f>
        <v>1</v>
      </c>
      <c r="AR21" s="20">
        <f t="shared" si="1"/>
        <v>0</v>
      </c>
      <c r="AS21" s="20" t="str">
        <f>IF(AND(Carro1[[#This Row],[Nó]]=AI22,Carro1[[#This Row],[Nó]]=AI23),"",AQ21&amp;"|"&amp;AN21)</f>
        <v>1|1</v>
      </c>
      <c r="AT21" s="20" t="str">
        <f t="shared" si="2"/>
        <v>1|1</v>
      </c>
      <c r="AU21" s="20" t="str">
        <f>IF(Carro1[[#This Row],[Tipo]]="Início",AQ21&amp;"|"&amp;AN21,"")</f>
        <v/>
      </c>
    </row>
    <row r="22" spans="4:47" x14ac:dyDescent="0.25">
      <c r="D22" s="11">
        <f t="shared" si="3"/>
        <v>19</v>
      </c>
      <c r="E22" s="12" t="str">
        <f>IF(F$2=0,IFERROR(INDEX($AM:$AM,MATCH($D22&amp;"|"&amp;E$3,$AS:$AS,0)),""),IFERROR(INDEX($AR:$AR,MATCH($D22&amp;"|"&amp;E$3,$AS:$AS,0)),""))</f>
        <v/>
      </c>
      <c r="F22" s="12" t="str">
        <f>IF(G$2=0,IFERROR(INDEX($AM:$AM,MATCH($D22&amp;"|"&amp;F$3,$AS:$AS,0)),""),IFERROR(INDEX($AR:$AR,MATCH($D22&amp;"|"&amp;F$3,$AS:$AS,0)),""))</f>
        <v/>
      </c>
      <c r="G22" s="12" t="str">
        <f>IF(H$2=0,IFERROR(INDEX($AM:$AM,MATCH($D22&amp;"|"&amp;G$3,$AS:$AS,0)),""),IFERROR(INDEX($AR:$AR,MATCH($D22&amp;"|"&amp;G$3,$AS:$AS,0)),""))</f>
        <v/>
      </c>
      <c r="H22" s="12" t="str">
        <f>IF(I$2=0,IFERROR(INDEX($AM:$AM,MATCH($D22&amp;"|"&amp;H$3,$AS:$AS,0)),""),IFERROR(INDEX($AR:$AR,MATCH($D22&amp;"|"&amp;H$3,$AS:$AS,0)),""))</f>
        <v/>
      </c>
      <c r="I22" s="12" t="str">
        <f>IF(J$2=0,IFERROR(INDEX($AM:$AM,MATCH($D22&amp;"|"&amp;I$3,$AS:$AS,0)),""),IFERROR(INDEX($AR:$AR,MATCH($D22&amp;"|"&amp;I$3,$AS:$AS,0)),""))</f>
        <v/>
      </c>
      <c r="J22" s="12" t="str">
        <f>IF(K$2=0,IFERROR(INDEX($AM:$AM,MATCH($D22&amp;"|"&amp;J$3,$AS:$AS,0)),""),IFERROR(INDEX($AR:$AR,MATCH($D22&amp;"|"&amp;J$3,$AS:$AS,0)),""))</f>
        <v/>
      </c>
      <c r="K22" s="12" t="str">
        <f>IF(L$2=0,IFERROR(INDEX($AM:$AM,MATCH($D22&amp;"|"&amp;K$3,$AS:$AS,0)),""),IFERROR(INDEX($AR:$AR,MATCH($D22&amp;"|"&amp;K$3,$AS:$AS,0)),""))</f>
        <v/>
      </c>
      <c r="L22" s="12" t="str">
        <f>IF(M$2=0,IFERROR(INDEX($AM:$AM,MATCH($D22&amp;"|"&amp;L$3,$AS:$AS,0)),""),IFERROR(INDEX($AR:$AR,MATCH($D22&amp;"|"&amp;L$3,$AS:$AS,0)),""))</f>
        <v/>
      </c>
      <c r="M22" s="12" t="str">
        <f>IF(N$2=0,IFERROR(INDEX($AM:$AM,MATCH($D22&amp;"|"&amp;M$3,$AS:$AS,0)),""),IFERROR(INDEX($AR:$AR,MATCH($D22&amp;"|"&amp;M$3,$AS:$AS,0)),""))</f>
        <v/>
      </c>
      <c r="N22" s="12" t="str">
        <f>IF(O$2=0,IFERROR(INDEX($AM:$AM,MATCH($D22&amp;"|"&amp;N$3,$AS:$AS,0)),""),IFERROR(INDEX($AR:$AR,MATCH($D22&amp;"|"&amp;N$3,$AS:$AS,0)),""))</f>
        <v/>
      </c>
      <c r="O22" s="12" t="str">
        <f>IF(P$2=0,IFERROR(INDEX($AM:$AM,MATCH($D22&amp;"|"&amp;O$3,$AS:$AS,0)),""),IFERROR(INDEX($AR:$AR,MATCH($D22&amp;"|"&amp;O$3,$AS:$AS,0)),""))</f>
        <v/>
      </c>
      <c r="P22" s="12" t="str">
        <f>IF(Q$2=0,IFERROR(INDEX($AM:$AM,MATCH($D22&amp;"|"&amp;P$3,$AS:$AS,0)),""),IFERROR(INDEX($AR:$AR,MATCH($D22&amp;"|"&amp;P$3,$AS:$AS,0)),""))</f>
        <v/>
      </c>
      <c r="Q22" s="12" t="str">
        <f>IF(R$2=0,IFERROR(INDEX($AM:$AM,MATCH($D22&amp;"|"&amp;Q$3,$AS:$AS,0)),""),IFERROR(INDEX($AR:$AR,MATCH($D22&amp;"|"&amp;Q$3,$AS:$AS,0)),""))</f>
        <v/>
      </c>
      <c r="R22" s="12" t="str">
        <f>IF(S$2=0,IFERROR(INDEX($AM:$AM,MATCH($D22&amp;"|"&amp;R$3,$AS:$AS,0)),""),IFERROR(INDEX($AR:$AR,MATCH($D22&amp;"|"&amp;R$3,$AS:$AS,0)),""))</f>
        <v/>
      </c>
      <c r="S22" s="12" t="str">
        <f>IF(T$2=0,IFERROR(INDEX($AM:$AM,MATCH($D22&amp;"|"&amp;S$3,$AS:$AS,0)),""),IFERROR(INDEX($AR:$AR,MATCH($D22&amp;"|"&amp;S$3,$AS:$AS,0)),""))</f>
        <v/>
      </c>
      <c r="T22" s="12" t="str">
        <f>IF(U$2=0,IFERROR(INDEX($AM:$AM,MATCH($D22&amp;"|"&amp;T$3,$AS:$AS,0)),""),IFERROR(INDEX($AR:$AR,MATCH($D22&amp;"|"&amp;T$3,$AS:$AS,0)),""))</f>
        <v/>
      </c>
      <c r="U22" s="12" t="str">
        <f>IF(V$2=0,IFERROR(INDEX($AM:$AM,MATCH($D22&amp;"|"&amp;U$3,$AS:$AS,0)),""),IFERROR(INDEX($AR:$AR,MATCH($D22&amp;"|"&amp;U$3,$AS:$AS,0)),""))</f>
        <v/>
      </c>
      <c r="V22" s="12" t="str">
        <f>IF(W$2=0,IFERROR(INDEX($AM:$AM,MATCH($D22&amp;"|"&amp;V$3,$AS:$AS,0)),""),IFERROR(INDEX($AR:$AR,MATCH($D22&amp;"|"&amp;V$3,$AS:$AS,0)),""))</f>
        <v/>
      </c>
      <c r="W22" s="12" t="str">
        <f>IF(X$2=0,IFERROR(INDEX($AM:$AM,MATCH($D22&amp;"|"&amp;W$3,$AS:$AS,0)),""),IFERROR(INDEX($AR:$AR,MATCH($D22&amp;"|"&amp;W$3,$AS:$AS,0)),""))</f>
        <v/>
      </c>
      <c r="X22" s="12" t="str">
        <f>IF(Y$2=0,IFERROR(INDEX($AM:$AM,MATCH($D22&amp;"|"&amp;X$3,$AS:$AS,0)),""),IFERROR(INDEX($AR:$AR,MATCH($D22&amp;"|"&amp;X$3,$AS:$AS,0)),""))</f>
        <v/>
      </c>
      <c r="Y22" s="12" t="str">
        <f>IF(Z$2=0,IFERROR(INDEX($AM:$AM,MATCH($D22&amp;"|"&amp;Y$3,$AS:$AS,0)),""),IFERROR(INDEX($AR:$AR,MATCH($D22&amp;"|"&amp;Y$3,$AS:$AS,0)),""))</f>
        <v/>
      </c>
      <c r="Z22" s="12" t="str">
        <f>IF(AA$2=0,IFERROR(INDEX($AM:$AM,MATCH($D22&amp;"|"&amp;Z$3,$AS:$AS,0)),""),IFERROR(INDEX($AR:$AR,MATCH($D22&amp;"|"&amp;Z$3,$AS:$AS,0)),""))</f>
        <v/>
      </c>
      <c r="AA22" s="12" t="str">
        <f>IF(AB$2=0,IFERROR(INDEX($AM:$AM,MATCH($D22&amp;"|"&amp;AA$3,$AS:$AS,0)),""),IFERROR(INDEX($AR:$AR,MATCH($D22&amp;"|"&amp;AA$3,$AS:$AS,0)),""))</f>
        <v/>
      </c>
      <c r="AG22" s="20" t="s">
        <v>296</v>
      </c>
      <c r="AH22" s="20" t="s">
        <v>296</v>
      </c>
      <c r="AI22" s="20" t="s">
        <v>20</v>
      </c>
      <c r="AJ22" s="7">
        <v>0.57986111111111116</v>
      </c>
      <c r="AK22" s="7">
        <v>0.57986111111111116</v>
      </c>
      <c r="AL22" s="20" t="s">
        <v>51</v>
      </c>
      <c r="AM22" s="20" t="str">
        <f>+TEXT(Carro1[[#This Row],[Column1]],"hh:mm")&amp;" | " &amp;TEXT(Carro1[[#This Row],[Hora Fim]],"hh:mm")</f>
        <v>13:55 | 13:55</v>
      </c>
      <c r="AN22" s="20">
        <f>INDEX($E$3:$AA$3,MATCH(Carro1[[#This Row],[Nó]],$E$1:$AA$1,0))</f>
        <v>0</v>
      </c>
      <c r="AO22" s="7">
        <f>+IF(AND(Carro1[[#This Row],[Nó]]=AI21,Carro1[[#This Row],[Nó]]=AI23),AO21,Carro1[[#This Row],[Hora Início]])</f>
        <v>0.57986111111111116</v>
      </c>
      <c r="AP22" s="20">
        <f t="shared" si="0"/>
        <v>2</v>
      </c>
      <c r="AQ22" s="20" cm="1">
        <f t="array" ref="AQ22">IFERROR(_xlfn.IFS(AP22=AP21,AQ21,AQ21="Ramo",1),AQ21+1)</f>
        <v>1</v>
      </c>
      <c r="AR22" s="20">
        <f t="shared" si="1"/>
        <v>0</v>
      </c>
      <c r="AS22" s="20" t="str">
        <f>IF(AND(Carro1[[#This Row],[Nó]]=AI23,Carro1[[#This Row],[Nó]]=AI24),"",AQ22&amp;"|"&amp;AN22)</f>
        <v/>
      </c>
      <c r="AT22" s="20" t="str">
        <f t="shared" si="2"/>
        <v>1|0</v>
      </c>
      <c r="AU22" s="20" t="str">
        <f>IF(Carro1[[#This Row],[Tipo]]="Início",AQ22&amp;"|"&amp;AN22,"")</f>
        <v/>
      </c>
    </row>
    <row r="23" spans="4:47" x14ac:dyDescent="0.25">
      <c r="D23" s="11">
        <f t="shared" si="3"/>
        <v>20</v>
      </c>
      <c r="E23" s="12" t="str">
        <f>IF(F$2=0,IFERROR(INDEX($AM:$AM,MATCH($D23&amp;"|"&amp;E$3,$AS:$AS,0)),""),IFERROR(INDEX($AR:$AR,MATCH($D23&amp;"|"&amp;E$3,$AS:$AS,0)),""))</f>
        <v/>
      </c>
      <c r="F23" s="12" t="str">
        <f>IF(G$2=0,IFERROR(INDEX($AM:$AM,MATCH($D23&amp;"|"&amp;F$3,$AS:$AS,0)),""),IFERROR(INDEX($AR:$AR,MATCH($D23&amp;"|"&amp;F$3,$AS:$AS,0)),""))</f>
        <v/>
      </c>
      <c r="G23" s="12" t="str">
        <f>IF(H$2=0,IFERROR(INDEX($AM:$AM,MATCH($D23&amp;"|"&amp;G$3,$AS:$AS,0)),""),IFERROR(INDEX($AR:$AR,MATCH($D23&amp;"|"&amp;G$3,$AS:$AS,0)),""))</f>
        <v/>
      </c>
      <c r="H23" s="12" t="str">
        <f>IF(I$2=0,IFERROR(INDEX($AM:$AM,MATCH($D23&amp;"|"&amp;H$3,$AS:$AS,0)),""),IFERROR(INDEX($AR:$AR,MATCH($D23&amp;"|"&amp;H$3,$AS:$AS,0)),""))</f>
        <v/>
      </c>
      <c r="I23" s="12" t="str">
        <f>IF(J$2=0,IFERROR(INDEX($AM:$AM,MATCH($D23&amp;"|"&amp;I$3,$AS:$AS,0)),""),IFERROR(INDEX($AR:$AR,MATCH($D23&amp;"|"&amp;I$3,$AS:$AS,0)),""))</f>
        <v/>
      </c>
      <c r="J23" s="12" t="str">
        <f>IF(K$2=0,IFERROR(INDEX($AM:$AM,MATCH($D23&amp;"|"&amp;J$3,$AS:$AS,0)),""),IFERROR(INDEX($AR:$AR,MATCH($D23&amp;"|"&amp;J$3,$AS:$AS,0)),""))</f>
        <v/>
      </c>
      <c r="K23" s="12" t="str">
        <f>IF(L$2=0,IFERROR(INDEX($AM:$AM,MATCH($D23&amp;"|"&amp;K$3,$AS:$AS,0)),""),IFERROR(INDEX($AR:$AR,MATCH($D23&amp;"|"&amp;K$3,$AS:$AS,0)),""))</f>
        <v/>
      </c>
      <c r="L23" s="12" t="str">
        <f>IF(M$2=0,IFERROR(INDEX($AM:$AM,MATCH($D23&amp;"|"&amp;L$3,$AS:$AS,0)),""),IFERROR(INDEX($AR:$AR,MATCH($D23&amp;"|"&amp;L$3,$AS:$AS,0)),""))</f>
        <v/>
      </c>
      <c r="M23" s="12" t="str">
        <f>IF(N$2=0,IFERROR(INDEX($AM:$AM,MATCH($D23&amp;"|"&amp;M$3,$AS:$AS,0)),""),IFERROR(INDEX($AR:$AR,MATCH($D23&amp;"|"&amp;M$3,$AS:$AS,0)),""))</f>
        <v/>
      </c>
      <c r="N23" s="12" t="str">
        <f>IF(O$2=0,IFERROR(INDEX($AM:$AM,MATCH($D23&amp;"|"&amp;N$3,$AS:$AS,0)),""),IFERROR(INDEX($AR:$AR,MATCH($D23&amp;"|"&amp;N$3,$AS:$AS,0)),""))</f>
        <v/>
      </c>
      <c r="O23" s="12" t="str">
        <f>IF(P$2=0,IFERROR(INDEX($AM:$AM,MATCH($D23&amp;"|"&amp;O$3,$AS:$AS,0)),""),IFERROR(INDEX($AR:$AR,MATCH($D23&amp;"|"&amp;O$3,$AS:$AS,0)),""))</f>
        <v/>
      </c>
      <c r="P23" s="12" t="str">
        <f>IF(Q$2=0,IFERROR(INDEX($AM:$AM,MATCH($D23&amp;"|"&amp;P$3,$AS:$AS,0)),""),IFERROR(INDEX($AR:$AR,MATCH($D23&amp;"|"&amp;P$3,$AS:$AS,0)),""))</f>
        <v/>
      </c>
      <c r="Q23" s="12" t="str">
        <f>IF(R$2=0,IFERROR(INDEX($AM:$AM,MATCH($D23&amp;"|"&amp;Q$3,$AS:$AS,0)),""),IFERROR(INDEX($AR:$AR,MATCH($D23&amp;"|"&amp;Q$3,$AS:$AS,0)),""))</f>
        <v/>
      </c>
      <c r="R23" s="12" t="str">
        <f>IF(S$2=0,IFERROR(INDEX($AM:$AM,MATCH($D23&amp;"|"&amp;R$3,$AS:$AS,0)),""),IFERROR(INDEX($AR:$AR,MATCH($D23&amp;"|"&amp;R$3,$AS:$AS,0)),""))</f>
        <v/>
      </c>
      <c r="S23" s="12" t="str">
        <f>IF(T$2=0,IFERROR(INDEX($AM:$AM,MATCH($D23&amp;"|"&amp;S$3,$AS:$AS,0)),""),IFERROR(INDEX($AR:$AR,MATCH($D23&amp;"|"&amp;S$3,$AS:$AS,0)),""))</f>
        <v/>
      </c>
      <c r="T23" s="12" t="str">
        <f>IF(U$2=0,IFERROR(INDEX($AM:$AM,MATCH($D23&amp;"|"&amp;T$3,$AS:$AS,0)),""),IFERROR(INDEX($AR:$AR,MATCH($D23&amp;"|"&amp;T$3,$AS:$AS,0)),""))</f>
        <v/>
      </c>
      <c r="U23" s="12" t="str">
        <f>IF(V$2=0,IFERROR(INDEX($AM:$AM,MATCH($D23&amp;"|"&amp;U$3,$AS:$AS,0)),""),IFERROR(INDEX($AR:$AR,MATCH($D23&amp;"|"&amp;U$3,$AS:$AS,0)),""))</f>
        <v/>
      </c>
      <c r="V23" s="12" t="str">
        <f>IF(W$2=0,IFERROR(INDEX($AM:$AM,MATCH($D23&amp;"|"&amp;V$3,$AS:$AS,0)),""),IFERROR(INDEX($AR:$AR,MATCH($D23&amp;"|"&amp;V$3,$AS:$AS,0)),""))</f>
        <v/>
      </c>
      <c r="W23" s="12" t="str">
        <f>IF(X$2=0,IFERROR(INDEX($AM:$AM,MATCH($D23&amp;"|"&amp;W$3,$AS:$AS,0)),""),IFERROR(INDEX($AR:$AR,MATCH($D23&amp;"|"&amp;W$3,$AS:$AS,0)),""))</f>
        <v/>
      </c>
      <c r="X23" s="12" t="str">
        <f>IF(Y$2=0,IFERROR(INDEX($AM:$AM,MATCH($D23&amp;"|"&amp;X$3,$AS:$AS,0)),""),IFERROR(INDEX($AR:$AR,MATCH($D23&amp;"|"&amp;X$3,$AS:$AS,0)),""))</f>
        <v/>
      </c>
      <c r="Y23" s="12" t="str">
        <f>IF(Z$2=0,IFERROR(INDEX($AM:$AM,MATCH($D23&amp;"|"&amp;Y$3,$AS:$AS,0)),""),IFERROR(INDEX($AR:$AR,MATCH($D23&amp;"|"&amp;Y$3,$AS:$AS,0)),""))</f>
        <v/>
      </c>
      <c r="Z23" s="12" t="str">
        <f>IF(AA$2=0,IFERROR(INDEX($AM:$AM,MATCH($D23&amp;"|"&amp;Z$3,$AS:$AS,0)),""),IFERROR(INDEX($AR:$AR,MATCH($D23&amp;"|"&amp;Z$3,$AS:$AS,0)),""))</f>
        <v/>
      </c>
      <c r="AA23" s="12" t="str">
        <f>IF(AB$2=0,IFERROR(INDEX($AM:$AM,MATCH($D23&amp;"|"&amp;AA$3,$AS:$AS,0)),""),IFERROR(INDEX($AR:$AR,MATCH($D23&amp;"|"&amp;AA$3,$AS:$AS,0)),""))</f>
        <v/>
      </c>
      <c r="AG23" s="20" t="s">
        <v>296</v>
      </c>
      <c r="AH23" s="20" t="s">
        <v>296</v>
      </c>
      <c r="AI23" s="20" t="s">
        <v>20</v>
      </c>
      <c r="AJ23" s="7">
        <v>0.57986111111111116</v>
      </c>
      <c r="AK23" s="7">
        <v>0.59027777777777779</v>
      </c>
      <c r="AL23" s="20" t="s">
        <v>50</v>
      </c>
      <c r="AM23" s="20" t="str">
        <f>+TEXT(Carro1[[#This Row],[Column1]],"hh:mm")&amp;" | " &amp;TEXT(Carro1[[#This Row],[Hora Fim]],"hh:mm")</f>
        <v>13:55 | 14:10</v>
      </c>
      <c r="AN23" s="20">
        <f>INDEX($E$3:$AA$3,MATCH(Carro1[[#This Row],[Nó]],$E$1:$AA$1,0))</f>
        <v>0</v>
      </c>
      <c r="AO23" s="7">
        <f>+IF(AND(Carro1[[#This Row],[Nó]]=AI22,Carro1[[#This Row],[Nó]]=AI24),AO22,Carro1[[#This Row],[Hora Início]])</f>
        <v>0.57986111111111116</v>
      </c>
      <c r="AP23" s="20">
        <f t="shared" si="0"/>
        <v>2</v>
      </c>
      <c r="AQ23" s="20" cm="1">
        <f t="array" ref="AQ23">IFERROR(_xlfn.IFS(AP23=AP22,AQ22,AQ22="Ramo",1),AQ22+1)</f>
        <v>1</v>
      </c>
      <c r="AR23" s="20">
        <f t="shared" si="1"/>
        <v>0</v>
      </c>
      <c r="AS23" s="20" t="str">
        <f>IF(AND(Carro1[[#This Row],[Nó]]=AI24,Carro1[[#This Row],[Nó]]=AI25),"",AQ23&amp;"|"&amp;AN23)</f>
        <v>1|0</v>
      </c>
      <c r="AT23" s="20" t="str">
        <f t="shared" si="2"/>
        <v>1|0</v>
      </c>
      <c r="AU23" s="20" t="str">
        <f>IF(Carro1[[#This Row],[Tipo]]="Início",AQ23&amp;"|"&amp;AN23,"")</f>
        <v/>
      </c>
    </row>
    <row r="24" spans="4:47" x14ac:dyDescent="0.25">
      <c r="D24" s="11">
        <f t="shared" si="3"/>
        <v>21</v>
      </c>
      <c r="E24" s="12" t="str">
        <f>IF(F$2=0,IFERROR(INDEX($AM:$AM,MATCH($D24&amp;"|"&amp;E$3,$AS:$AS,0)),""),IFERROR(INDEX($AR:$AR,MATCH($D24&amp;"|"&amp;E$3,$AS:$AS,0)),""))</f>
        <v/>
      </c>
      <c r="F24" s="12" t="str">
        <f>IF(G$2=0,IFERROR(INDEX($AM:$AM,MATCH($D24&amp;"|"&amp;F$3,$AS:$AS,0)),""),IFERROR(INDEX($AR:$AR,MATCH($D24&amp;"|"&amp;F$3,$AS:$AS,0)),""))</f>
        <v/>
      </c>
      <c r="G24" s="12" t="str">
        <f>IF(H$2=0,IFERROR(INDEX($AM:$AM,MATCH($D24&amp;"|"&amp;G$3,$AS:$AS,0)),""),IFERROR(INDEX($AR:$AR,MATCH($D24&amp;"|"&amp;G$3,$AS:$AS,0)),""))</f>
        <v/>
      </c>
      <c r="H24" s="12" t="str">
        <f>IF(I$2=0,IFERROR(INDEX($AM:$AM,MATCH($D24&amp;"|"&amp;H$3,$AS:$AS,0)),""),IFERROR(INDEX($AR:$AR,MATCH($D24&amp;"|"&amp;H$3,$AS:$AS,0)),""))</f>
        <v/>
      </c>
      <c r="I24" s="12" t="str">
        <f>IF(J$2=0,IFERROR(INDEX($AM:$AM,MATCH($D24&amp;"|"&amp;I$3,$AS:$AS,0)),""),IFERROR(INDEX($AR:$AR,MATCH($D24&amp;"|"&amp;I$3,$AS:$AS,0)),""))</f>
        <v/>
      </c>
      <c r="J24" s="12" t="str">
        <f>IF(K$2=0,IFERROR(INDEX($AM:$AM,MATCH($D24&amp;"|"&amp;J$3,$AS:$AS,0)),""),IFERROR(INDEX($AR:$AR,MATCH($D24&amp;"|"&amp;J$3,$AS:$AS,0)),""))</f>
        <v/>
      </c>
      <c r="K24" s="12" t="str">
        <f>IF(L$2=0,IFERROR(INDEX($AM:$AM,MATCH($D24&amp;"|"&amp;K$3,$AS:$AS,0)),""),IFERROR(INDEX($AR:$AR,MATCH($D24&amp;"|"&amp;K$3,$AS:$AS,0)),""))</f>
        <v/>
      </c>
      <c r="L24" s="12" t="str">
        <f>IF(M$2=0,IFERROR(INDEX($AM:$AM,MATCH($D24&amp;"|"&amp;L$3,$AS:$AS,0)),""),IFERROR(INDEX($AR:$AR,MATCH($D24&amp;"|"&amp;L$3,$AS:$AS,0)),""))</f>
        <v/>
      </c>
      <c r="M24" s="12" t="str">
        <f>IF(N$2=0,IFERROR(INDEX($AM:$AM,MATCH($D24&amp;"|"&amp;M$3,$AS:$AS,0)),""),IFERROR(INDEX($AR:$AR,MATCH($D24&amp;"|"&amp;M$3,$AS:$AS,0)),""))</f>
        <v/>
      </c>
      <c r="N24" s="12" t="str">
        <f>IF(O$2=0,IFERROR(INDEX($AM:$AM,MATCH($D24&amp;"|"&amp;N$3,$AS:$AS,0)),""),IFERROR(INDEX($AR:$AR,MATCH($D24&amp;"|"&amp;N$3,$AS:$AS,0)),""))</f>
        <v/>
      </c>
      <c r="O24" s="12" t="str">
        <f>IF(P$2=0,IFERROR(INDEX($AM:$AM,MATCH($D24&amp;"|"&amp;O$3,$AS:$AS,0)),""),IFERROR(INDEX($AR:$AR,MATCH($D24&amp;"|"&amp;O$3,$AS:$AS,0)),""))</f>
        <v/>
      </c>
      <c r="P24" s="12" t="str">
        <f>IF(Q$2=0,IFERROR(INDEX($AM:$AM,MATCH($D24&amp;"|"&amp;P$3,$AS:$AS,0)),""),IFERROR(INDEX($AR:$AR,MATCH($D24&amp;"|"&amp;P$3,$AS:$AS,0)),""))</f>
        <v/>
      </c>
      <c r="Q24" s="12" t="str">
        <f>IF(R$2=0,IFERROR(INDEX($AM:$AM,MATCH($D24&amp;"|"&amp;Q$3,$AS:$AS,0)),""),IFERROR(INDEX($AR:$AR,MATCH($D24&amp;"|"&amp;Q$3,$AS:$AS,0)),""))</f>
        <v/>
      </c>
      <c r="R24" s="12" t="str">
        <f>IF(S$2=0,IFERROR(INDEX($AM:$AM,MATCH($D24&amp;"|"&amp;R$3,$AS:$AS,0)),""),IFERROR(INDEX($AR:$AR,MATCH($D24&amp;"|"&amp;R$3,$AS:$AS,0)),""))</f>
        <v/>
      </c>
      <c r="S24" s="12" t="str">
        <f>IF(T$2=0,IFERROR(INDEX($AM:$AM,MATCH($D24&amp;"|"&amp;S$3,$AS:$AS,0)),""),IFERROR(INDEX($AR:$AR,MATCH($D24&amp;"|"&amp;S$3,$AS:$AS,0)),""))</f>
        <v/>
      </c>
      <c r="T24" s="12" t="str">
        <f>IF(U$2=0,IFERROR(INDEX($AM:$AM,MATCH($D24&amp;"|"&amp;T$3,$AS:$AS,0)),""),IFERROR(INDEX($AR:$AR,MATCH($D24&amp;"|"&amp;T$3,$AS:$AS,0)),""))</f>
        <v/>
      </c>
      <c r="U24" s="12" t="str">
        <f>IF(V$2=0,IFERROR(INDEX($AM:$AM,MATCH($D24&amp;"|"&amp;U$3,$AS:$AS,0)),""),IFERROR(INDEX($AR:$AR,MATCH($D24&amp;"|"&amp;U$3,$AS:$AS,0)),""))</f>
        <v/>
      </c>
      <c r="V24" s="12" t="str">
        <f>IF(W$2=0,IFERROR(INDEX($AM:$AM,MATCH($D24&amp;"|"&amp;V$3,$AS:$AS,0)),""),IFERROR(INDEX($AR:$AR,MATCH($D24&amp;"|"&amp;V$3,$AS:$AS,0)),""))</f>
        <v/>
      </c>
      <c r="W24" s="12" t="str">
        <f>IF(X$2=0,IFERROR(INDEX($AM:$AM,MATCH($D24&amp;"|"&amp;W$3,$AS:$AS,0)),""),IFERROR(INDEX($AR:$AR,MATCH($D24&amp;"|"&amp;W$3,$AS:$AS,0)),""))</f>
        <v/>
      </c>
      <c r="X24" s="12" t="str">
        <f>IF(Y$2=0,IFERROR(INDEX($AM:$AM,MATCH($D24&amp;"|"&amp;X$3,$AS:$AS,0)),""),IFERROR(INDEX($AR:$AR,MATCH($D24&amp;"|"&amp;X$3,$AS:$AS,0)),""))</f>
        <v/>
      </c>
      <c r="Y24" s="12" t="str">
        <f>IF(Z$2=0,IFERROR(INDEX($AM:$AM,MATCH($D24&amp;"|"&amp;Y$3,$AS:$AS,0)),""),IFERROR(INDEX($AR:$AR,MATCH($D24&amp;"|"&amp;Y$3,$AS:$AS,0)),""))</f>
        <v/>
      </c>
      <c r="Z24" s="12" t="str">
        <f>IF(AA$2=0,IFERROR(INDEX($AM:$AM,MATCH($D24&amp;"|"&amp;Z$3,$AS:$AS,0)),""),IFERROR(INDEX($AR:$AR,MATCH($D24&amp;"|"&amp;Z$3,$AS:$AS,0)),""))</f>
        <v/>
      </c>
      <c r="AA24" s="12" t="str">
        <f>IF(AB$2=0,IFERROR(INDEX($AM:$AM,MATCH($D24&amp;"|"&amp;AA$3,$AS:$AS,0)),""),IFERROR(INDEX($AR:$AR,MATCH($D24&amp;"|"&amp;AA$3,$AS:$AS,0)),""))</f>
        <v/>
      </c>
      <c r="AG24" s="20" t="s">
        <v>296</v>
      </c>
      <c r="AH24" s="20" t="s">
        <v>296</v>
      </c>
      <c r="AI24" s="20" t="s">
        <v>20</v>
      </c>
      <c r="AJ24" s="7">
        <v>0.59027777777777779</v>
      </c>
      <c r="AK24" s="7">
        <v>0.59027777777777779</v>
      </c>
      <c r="AL24" s="20" t="s">
        <v>51</v>
      </c>
      <c r="AM24" s="20" t="str">
        <f>+TEXT(Carro1[[#This Row],[Column1]],"hh:mm")&amp;" | " &amp;TEXT(Carro1[[#This Row],[Hora Fim]],"hh:mm")</f>
        <v>14:10 | 14:10</v>
      </c>
      <c r="AN24" s="20">
        <f>INDEX($E$3:$AA$3,MATCH(Carro1[[#This Row],[Nó]],$E$1:$AA$1,0))</f>
        <v>0</v>
      </c>
      <c r="AO24" s="7">
        <f>+IF(AND(Carro1[[#This Row],[Nó]]=AI23,Carro1[[#This Row],[Nó]]=AI25),AO23,Carro1[[#This Row],[Hora Início]])</f>
        <v>0.59027777777777779</v>
      </c>
      <c r="AP24" s="20">
        <f t="shared" si="0"/>
        <v>1</v>
      </c>
      <c r="AQ24" s="20" cm="1">
        <f t="array" ref="AQ24">IFERROR(_xlfn.IFS(AP24=AP23,AQ23,AQ23="Ramo",1),AQ23+1)</f>
        <v>2</v>
      </c>
      <c r="AR24" s="20">
        <f t="shared" si="1"/>
        <v>1</v>
      </c>
      <c r="AS24" s="20" t="str">
        <f>IF(AND(Carro1[[#This Row],[Nó]]=AI25,Carro1[[#This Row],[Nó]]=AI26),"",AQ24&amp;"|"&amp;AN24)</f>
        <v>2|0</v>
      </c>
      <c r="AT24" s="20" t="str">
        <f t="shared" si="2"/>
        <v>2|0</v>
      </c>
      <c r="AU24" s="20" t="str">
        <f>IF(Carro1[[#This Row],[Tipo]]="Início",AQ24&amp;"|"&amp;AN24,"")</f>
        <v/>
      </c>
    </row>
    <row r="25" spans="4:47" x14ac:dyDescent="0.25">
      <c r="D25" s="11">
        <f t="shared" si="3"/>
        <v>22</v>
      </c>
      <c r="E25" s="12" t="str">
        <f>IF(F$2=0,IFERROR(INDEX($AM:$AM,MATCH($D25&amp;"|"&amp;E$3,$AS:$AS,0)),""),IFERROR(INDEX($AR:$AR,MATCH($D25&amp;"|"&amp;E$3,$AS:$AS,0)),""))</f>
        <v/>
      </c>
      <c r="F25" s="12" t="str">
        <f>IF(G$2=0,IFERROR(INDEX($AM:$AM,MATCH($D25&amp;"|"&amp;F$3,$AS:$AS,0)),""),IFERROR(INDEX($AR:$AR,MATCH($D25&amp;"|"&amp;F$3,$AS:$AS,0)),""))</f>
        <v/>
      </c>
      <c r="G25" s="12" t="str">
        <f>IF(H$2=0,IFERROR(INDEX($AM:$AM,MATCH($D25&amp;"|"&amp;G$3,$AS:$AS,0)),""),IFERROR(INDEX($AR:$AR,MATCH($D25&amp;"|"&amp;G$3,$AS:$AS,0)),""))</f>
        <v/>
      </c>
      <c r="H25" s="12" t="str">
        <f>IF(I$2=0,IFERROR(INDEX($AM:$AM,MATCH($D25&amp;"|"&amp;H$3,$AS:$AS,0)),""),IFERROR(INDEX($AR:$AR,MATCH($D25&amp;"|"&amp;H$3,$AS:$AS,0)),""))</f>
        <v/>
      </c>
      <c r="I25" s="12" t="str">
        <f>IF(J$2=0,IFERROR(INDEX($AM:$AM,MATCH($D25&amp;"|"&amp;I$3,$AS:$AS,0)),""),IFERROR(INDEX($AR:$AR,MATCH($D25&amp;"|"&amp;I$3,$AS:$AS,0)),""))</f>
        <v/>
      </c>
      <c r="J25" s="12" t="str">
        <f>IF(K$2=0,IFERROR(INDEX($AM:$AM,MATCH($D25&amp;"|"&amp;J$3,$AS:$AS,0)),""),IFERROR(INDEX($AR:$AR,MATCH($D25&amp;"|"&amp;J$3,$AS:$AS,0)),""))</f>
        <v/>
      </c>
      <c r="K25" s="12" t="str">
        <f>IF(L$2=0,IFERROR(INDEX($AM:$AM,MATCH($D25&amp;"|"&amp;K$3,$AS:$AS,0)),""),IFERROR(INDEX($AR:$AR,MATCH($D25&amp;"|"&amp;K$3,$AS:$AS,0)),""))</f>
        <v/>
      </c>
      <c r="L25" s="12" t="str">
        <f>IF(M$2=0,IFERROR(INDEX($AM:$AM,MATCH($D25&amp;"|"&amp;L$3,$AS:$AS,0)),""),IFERROR(INDEX($AR:$AR,MATCH($D25&amp;"|"&amp;L$3,$AS:$AS,0)),""))</f>
        <v/>
      </c>
      <c r="M25" s="12" t="str">
        <f>IF(N$2=0,IFERROR(INDEX($AM:$AM,MATCH($D25&amp;"|"&amp;M$3,$AS:$AS,0)),""),IFERROR(INDEX($AR:$AR,MATCH($D25&amp;"|"&amp;M$3,$AS:$AS,0)),""))</f>
        <v/>
      </c>
      <c r="N25" s="12" t="str">
        <f>IF(O$2=0,IFERROR(INDEX($AM:$AM,MATCH($D25&amp;"|"&amp;N$3,$AS:$AS,0)),""),IFERROR(INDEX($AR:$AR,MATCH($D25&amp;"|"&amp;N$3,$AS:$AS,0)),""))</f>
        <v/>
      </c>
      <c r="O25" s="12" t="str">
        <f>IF(P$2=0,IFERROR(INDEX($AM:$AM,MATCH($D25&amp;"|"&amp;O$3,$AS:$AS,0)),""),IFERROR(INDEX($AR:$AR,MATCH($D25&amp;"|"&amp;O$3,$AS:$AS,0)),""))</f>
        <v/>
      </c>
      <c r="P25" s="12" t="str">
        <f>IF(Q$2=0,IFERROR(INDEX($AM:$AM,MATCH($D25&amp;"|"&amp;P$3,$AS:$AS,0)),""),IFERROR(INDEX($AR:$AR,MATCH($D25&amp;"|"&amp;P$3,$AS:$AS,0)),""))</f>
        <v/>
      </c>
      <c r="Q25" s="12" t="str">
        <f>IF(R$2=0,IFERROR(INDEX($AM:$AM,MATCH($D25&amp;"|"&amp;Q$3,$AS:$AS,0)),""),IFERROR(INDEX($AR:$AR,MATCH($D25&amp;"|"&amp;Q$3,$AS:$AS,0)),""))</f>
        <v/>
      </c>
      <c r="R25" s="12" t="str">
        <f>IF(S$2=0,IFERROR(INDEX($AM:$AM,MATCH($D25&amp;"|"&amp;R$3,$AS:$AS,0)),""),IFERROR(INDEX($AR:$AR,MATCH($D25&amp;"|"&amp;R$3,$AS:$AS,0)),""))</f>
        <v/>
      </c>
      <c r="S25" s="12" t="str">
        <f>IF(T$2=0,IFERROR(INDEX($AM:$AM,MATCH($D25&amp;"|"&amp;S$3,$AS:$AS,0)),""),IFERROR(INDEX($AR:$AR,MATCH($D25&amp;"|"&amp;S$3,$AS:$AS,0)),""))</f>
        <v/>
      </c>
      <c r="T25" s="12" t="str">
        <f>IF(U$2=0,IFERROR(INDEX($AM:$AM,MATCH($D25&amp;"|"&amp;T$3,$AS:$AS,0)),""),IFERROR(INDEX($AR:$AR,MATCH($D25&amp;"|"&amp;T$3,$AS:$AS,0)),""))</f>
        <v/>
      </c>
      <c r="U25" s="12" t="str">
        <f>IF(V$2=0,IFERROR(INDEX($AM:$AM,MATCH($D25&amp;"|"&amp;U$3,$AS:$AS,0)),""),IFERROR(INDEX($AR:$AR,MATCH($D25&amp;"|"&amp;U$3,$AS:$AS,0)),""))</f>
        <v/>
      </c>
      <c r="V25" s="12" t="str">
        <f>IF(W$2=0,IFERROR(INDEX($AM:$AM,MATCH($D25&amp;"|"&amp;V$3,$AS:$AS,0)),""),IFERROR(INDEX($AR:$AR,MATCH($D25&amp;"|"&amp;V$3,$AS:$AS,0)),""))</f>
        <v/>
      </c>
      <c r="W25" s="12" t="str">
        <f>IF(X$2=0,IFERROR(INDEX($AM:$AM,MATCH($D25&amp;"|"&amp;W$3,$AS:$AS,0)),""),IFERROR(INDEX($AR:$AR,MATCH($D25&amp;"|"&amp;W$3,$AS:$AS,0)),""))</f>
        <v/>
      </c>
      <c r="X25" s="12" t="str">
        <f>IF(Y$2=0,IFERROR(INDEX($AM:$AM,MATCH($D25&amp;"|"&amp;X$3,$AS:$AS,0)),""),IFERROR(INDEX($AR:$AR,MATCH($D25&amp;"|"&amp;X$3,$AS:$AS,0)),""))</f>
        <v/>
      </c>
      <c r="Y25" s="12" t="str">
        <f>IF(Z$2=0,IFERROR(INDEX($AM:$AM,MATCH($D25&amp;"|"&amp;Y$3,$AS:$AS,0)),""),IFERROR(INDEX($AR:$AR,MATCH($D25&amp;"|"&amp;Y$3,$AS:$AS,0)),""))</f>
        <v/>
      </c>
      <c r="Z25" s="12" t="str">
        <f>IF(AA$2=0,IFERROR(INDEX($AM:$AM,MATCH($D25&amp;"|"&amp;Z$3,$AS:$AS,0)),""),IFERROR(INDEX($AR:$AR,MATCH($D25&amp;"|"&amp;Z$3,$AS:$AS,0)),""))</f>
        <v/>
      </c>
      <c r="AA25" s="12" t="str">
        <f>IF(AB$2=0,IFERROR(INDEX($AM:$AM,MATCH($D25&amp;"|"&amp;AA$3,$AS:$AS,0)),""),IFERROR(INDEX($AR:$AR,MATCH($D25&amp;"|"&amp;AA$3,$AS:$AS,0)),""))</f>
        <v/>
      </c>
      <c r="AG25" s="20" t="s">
        <v>296</v>
      </c>
      <c r="AH25" s="20" t="s">
        <v>298</v>
      </c>
      <c r="AI25" s="20" t="s">
        <v>22</v>
      </c>
      <c r="AJ25" s="7">
        <v>0.59097222222222223</v>
      </c>
      <c r="AK25" s="7">
        <v>0.59444444444444444</v>
      </c>
      <c r="AL25" s="20" t="s">
        <v>50</v>
      </c>
      <c r="AM25" s="20" t="str">
        <f>+TEXT(Carro1[[#This Row],[Column1]],"hh:mm")&amp;" | " &amp;TEXT(Carro1[[#This Row],[Hora Fim]],"hh:mm")</f>
        <v>14:11 | 14:16</v>
      </c>
      <c r="AN25" s="20">
        <f>INDEX($E$3:$AA$3,MATCH(Carro1[[#This Row],[Nó]],$E$1:$AA$1,0))</f>
        <v>1</v>
      </c>
      <c r="AO25" s="7">
        <f>+IF(AND(Carro1[[#This Row],[Nó]]=AI24,Carro1[[#This Row],[Nó]]=AI26),AO24,Carro1[[#This Row],[Hora Início]])</f>
        <v>0.59097222222222223</v>
      </c>
      <c r="AP25" s="20">
        <f t="shared" si="0"/>
        <v>1</v>
      </c>
      <c r="AQ25" s="20" cm="1">
        <f t="array" ref="AQ25">IFERROR(_xlfn.IFS(AP25=AP24,AQ24,AQ24="Ramo",1),AQ24+1)</f>
        <v>2</v>
      </c>
      <c r="AR25" s="20">
        <f t="shared" si="1"/>
        <v>0</v>
      </c>
      <c r="AS25" s="20" t="str">
        <f>IF(AND(Carro1[[#This Row],[Nó]]=AI26,Carro1[[#This Row],[Nó]]=AI27),"",AQ25&amp;"|"&amp;AN25)</f>
        <v>2|1</v>
      </c>
      <c r="AT25" s="20" t="str">
        <f t="shared" si="2"/>
        <v>2|1</v>
      </c>
      <c r="AU25" s="20" t="str">
        <f>IF(Carro1[[#This Row],[Tipo]]="Início",AQ25&amp;"|"&amp;AN25,"")</f>
        <v/>
      </c>
    </row>
    <row r="26" spans="4:47" x14ac:dyDescent="0.25">
      <c r="D26" s="11">
        <f t="shared" si="3"/>
        <v>23</v>
      </c>
      <c r="E26" s="12" t="str">
        <f>IF(F$2=0,IFERROR(INDEX($AM:$AM,MATCH($D26&amp;"|"&amp;E$3,$AS:$AS,0)),""),IFERROR(INDEX($AR:$AR,MATCH($D26&amp;"|"&amp;E$3,$AS:$AS,0)),""))</f>
        <v/>
      </c>
      <c r="F26" s="12" t="str">
        <f>IF(G$2=0,IFERROR(INDEX($AM:$AM,MATCH($D26&amp;"|"&amp;F$3,$AS:$AS,0)),""),IFERROR(INDEX($AR:$AR,MATCH($D26&amp;"|"&amp;F$3,$AS:$AS,0)),""))</f>
        <v/>
      </c>
      <c r="G26" s="12" t="str">
        <f>IF(H$2=0,IFERROR(INDEX($AM:$AM,MATCH($D26&amp;"|"&amp;G$3,$AS:$AS,0)),""),IFERROR(INDEX($AR:$AR,MATCH($D26&amp;"|"&amp;G$3,$AS:$AS,0)),""))</f>
        <v/>
      </c>
      <c r="H26" s="12" t="str">
        <f>IF(I$2=0,IFERROR(INDEX($AM:$AM,MATCH($D26&amp;"|"&amp;H$3,$AS:$AS,0)),""),IFERROR(INDEX($AR:$AR,MATCH($D26&amp;"|"&amp;H$3,$AS:$AS,0)),""))</f>
        <v/>
      </c>
      <c r="I26" s="12" t="str">
        <f>IF(J$2=0,IFERROR(INDEX($AM:$AM,MATCH($D26&amp;"|"&amp;I$3,$AS:$AS,0)),""),IFERROR(INDEX($AR:$AR,MATCH($D26&amp;"|"&amp;I$3,$AS:$AS,0)),""))</f>
        <v/>
      </c>
      <c r="J26" s="12" t="str">
        <f>IF(K$2=0,IFERROR(INDEX($AM:$AM,MATCH($D26&amp;"|"&amp;J$3,$AS:$AS,0)),""),IFERROR(INDEX($AR:$AR,MATCH($D26&amp;"|"&amp;J$3,$AS:$AS,0)),""))</f>
        <v/>
      </c>
      <c r="K26" s="12" t="str">
        <f>IF(L$2=0,IFERROR(INDEX($AM:$AM,MATCH($D26&amp;"|"&amp;K$3,$AS:$AS,0)),""),IFERROR(INDEX($AR:$AR,MATCH($D26&amp;"|"&amp;K$3,$AS:$AS,0)),""))</f>
        <v/>
      </c>
      <c r="L26" s="12" t="str">
        <f>IF(M$2=0,IFERROR(INDEX($AM:$AM,MATCH($D26&amp;"|"&amp;L$3,$AS:$AS,0)),""),IFERROR(INDEX($AR:$AR,MATCH($D26&amp;"|"&amp;L$3,$AS:$AS,0)),""))</f>
        <v/>
      </c>
      <c r="M26" s="12" t="str">
        <f>IF(N$2=0,IFERROR(INDEX($AM:$AM,MATCH($D26&amp;"|"&amp;M$3,$AS:$AS,0)),""),IFERROR(INDEX($AR:$AR,MATCH($D26&amp;"|"&amp;M$3,$AS:$AS,0)),""))</f>
        <v/>
      </c>
      <c r="N26" s="12" t="str">
        <f>IF(O$2=0,IFERROR(INDEX($AM:$AM,MATCH($D26&amp;"|"&amp;N$3,$AS:$AS,0)),""),IFERROR(INDEX($AR:$AR,MATCH($D26&amp;"|"&amp;N$3,$AS:$AS,0)),""))</f>
        <v/>
      </c>
      <c r="O26" s="12" t="str">
        <f>IF(P$2=0,IFERROR(INDEX($AM:$AM,MATCH($D26&amp;"|"&amp;O$3,$AS:$AS,0)),""),IFERROR(INDEX($AR:$AR,MATCH($D26&amp;"|"&amp;O$3,$AS:$AS,0)),""))</f>
        <v/>
      </c>
      <c r="P26" s="12" t="str">
        <f>IF(Q$2=0,IFERROR(INDEX($AM:$AM,MATCH($D26&amp;"|"&amp;P$3,$AS:$AS,0)),""),IFERROR(INDEX($AR:$AR,MATCH($D26&amp;"|"&amp;P$3,$AS:$AS,0)),""))</f>
        <v/>
      </c>
      <c r="Q26" s="12" t="str">
        <f>IF(R$2=0,IFERROR(INDEX($AM:$AM,MATCH($D26&amp;"|"&amp;Q$3,$AS:$AS,0)),""),IFERROR(INDEX($AR:$AR,MATCH($D26&amp;"|"&amp;Q$3,$AS:$AS,0)),""))</f>
        <v/>
      </c>
      <c r="R26" s="12" t="str">
        <f>IF(S$2=0,IFERROR(INDEX($AM:$AM,MATCH($D26&amp;"|"&amp;R$3,$AS:$AS,0)),""),IFERROR(INDEX($AR:$AR,MATCH($D26&amp;"|"&amp;R$3,$AS:$AS,0)),""))</f>
        <v/>
      </c>
      <c r="S26" s="12" t="str">
        <f>IF(T$2=0,IFERROR(INDEX($AM:$AM,MATCH($D26&amp;"|"&amp;S$3,$AS:$AS,0)),""),IFERROR(INDEX($AR:$AR,MATCH($D26&amp;"|"&amp;S$3,$AS:$AS,0)),""))</f>
        <v/>
      </c>
      <c r="T26" s="12" t="str">
        <f>IF(U$2=0,IFERROR(INDEX($AM:$AM,MATCH($D26&amp;"|"&amp;T$3,$AS:$AS,0)),""),IFERROR(INDEX($AR:$AR,MATCH($D26&amp;"|"&amp;T$3,$AS:$AS,0)),""))</f>
        <v/>
      </c>
      <c r="U26" s="12" t="str">
        <f>IF(V$2=0,IFERROR(INDEX($AM:$AM,MATCH($D26&amp;"|"&amp;U$3,$AS:$AS,0)),""),IFERROR(INDEX($AR:$AR,MATCH($D26&amp;"|"&amp;U$3,$AS:$AS,0)),""))</f>
        <v/>
      </c>
      <c r="V26" s="12" t="str">
        <f>IF(W$2=0,IFERROR(INDEX($AM:$AM,MATCH($D26&amp;"|"&amp;V$3,$AS:$AS,0)),""),IFERROR(INDEX($AR:$AR,MATCH($D26&amp;"|"&amp;V$3,$AS:$AS,0)),""))</f>
        <v/>
      </c>
      <c r="W26" s="12" t="str">
        <f>IF(X$2=0,IFERROR(INDEX($AM:$AM,MATCH($D26&amp;"|"&amp;W$3,$AS:$AS,0)),""),IFERROR(INDEX($AR:$AR,MATCH($D26&amp;"|"&amp;W$3,$AS:$AS,0)),""))</f>
        <v/>
      </c>
      <c r="X26" s="12" t="str">
        <f>IF(Y$2=0,IFERROR(INDEX($AM:$AM,MATCH($D26&amp;"|"&amp;X$3,$AS:$AS,0)),""),IFERROR(INDEX($AR:$AR,MATCH($D26&amp;"|"&amp;X$3,$AS:$AS,0)),""))</f>
        <v/>
      </c>
      <c r="Y26" s="12" t="str">
        <f>IF(Z$2=0,IFERROR(INDEX($AM:$AM,MATCH($D26&amp;"|"&amp;Y$3,$AS:$AS,0)),""),IFERROR(INDEX($AR:$AR,MATCH($D26&amp;"|"&amp;Y$3,$AS:$AS,0)),""))</f>
        <v/>
      </c>
      <c r="Z26" s="12" t="str">
        <f>IF(AA$2=0,IFERROR(INDEX($AM:$AM,MATCH($D26&amp;"|"&amp;Z$3,$AS:$AS,0)),""),IFERROR(INDEX($AR:$AR,MATCH($D26&amp;"|"&amp;Z$3,$AS:$AS,0)),""))</f>
        <v/>
      </c>
      <c r="AA26" s="12" t="str">
        <f>IF(AB$2=0,IFERROR(INDEX($AM:$AM,MATCH($D26&amp;"|"&amp;AA$3,$AS:$AS,0)),""),IFERROR(INDEX($AR:$AR,MATCH($D26&amp;"|"&amp;AA$3,$AS:$AS,0)),""))</f>
        <v/>
      </c>
      <c r="AG26" s="20" t="s">
        <v>296</v>
      </c>
      <c r="AH26" s="20" t="s">
        <v>298</v>
      </c>
      <c r="AI26" s="20" t="s">
        <v>22</v>
      </c>
      <c r="AJ26" s="7">
        <v>0.59513888888888888</v>
      </c>
      <c r="AK26" s="7">
        <v>0.59513888888888888</v>
      </c>
      <c r="AL26" s="20" t="s">
        <v>51</v>
      </c>
      <c r="AM26" s="20" t="str">
        <f>+TEXT(Carro1[[#This Row],[Column1]],"hh:mm")&amp;" | " &amp;TEXT(Carro1[[#This Row],[Hora Fim]],"hh:mm")</f>
        <v>14:17 | 14:17</v>
      </c>
      <c r="AN26" s="20">
        <f>INDEX($E$3:$AA$3,MATCH(Carro1[[#This Row],[Nó]],$E$1:$AA$1,0))</f>
        <v>1</v>
      </c>
      <c r="AO26" s="7">
        <f>+IF(AND(Carro1[[#This Row],[Nó]]=AI25,Carro1[[#This Row],[Nó]]=AI27),AO25,Carro1[[#This Row],[Hora Início]])</f>
        <v>0.59513888888888888</v>
      </c>
      <c r="AP26" s="20">
        <f t="shared" si="0"/>
        <v>1</v>
      </c>
      <c r="AQ26" s="20" cm="1">
        <f t="array" ref="AQ26">IFERROR(_xlfn.IFS(AP26=AP25,AQ25,AQ25="Ramo",1),AQ25+1)</f>
        <v>2</v>
      </c>
      <c r="AR26" s="20">
        <f t="shared" si="1"/>
        <v>0</v>
      </c>
      <c r="AS26" s="20" t="str">
        <f>IF(AND(Carro1[[#This Row],[Nó]]=AI27,Carro1[[#This Row],[Nó]]=AI28),"",AQ26&amp;"|"&amp;AN26)</f>
        <v>2|1</v>
      </c>
      <c r="AT26" s="20" t="str">
        <f t="shared" si="2"/>
        <v>2|1</v>
      </c>
      <c r="AU26" s="20" t="str">
        <f>IF(Carro1[[#This Row],[Tipo]]="Início",AQ26&amp;"|"&amp;AN26,"")</f>
        <v/>
      </c>
    </row>
    <row r="27" spans="4:47" x14ac:dyDescent="0.25">
      <c r="D27" s="11">
        <f t="shared" si="3"/>
        <v>24</v>
      </c>
      <c r="E27" s="12" t="str">
        <f>IF(F$2=0,IFERROR(INDEX($AM:$AM,MATCH($D27&amp;"|"&amp;E$3,$AS:$AS,0)),""),IFERROR(INDEX($AR:$AR,MATCH($D27&amp;"|"&amp;E$3,$AS:$AS,0)),""))</f>
        <v/>
      </c>
      <c r="F27" s="12" t="str">
        <f>IF(G$2=0,IFERROR(INDEX($AM:$AM,MATCH($D27&amp;"|"&amp;F$3,$AS:$AS,0)),""),IFERROR(INDEX($AR:$AR,MATCH($D27&amp;"|"&amp;F$3,$AS:$AS,0)),""))</f>
        <v/>
      </c>
      <c r="G27" s="12" t="str">
        <f>IF(H$2=0,IFERROR(INDEX($AM:$AM,MATCH($D27&amp;"|"&amp;G$3,$AS:$AS,0)),""),IFERROR(INDEX($AR:$AR,MATCH($D27&amp;"|"&amp;G$3,$AS:$AS,0)),""))</f>
        <v/>
      </c>
      <c r="H27" s="12" t="str">
        <f>IF(I$2=0,IFERROR(INDEX($AM:$AM,MATCH($D27&amp;"|"&amp;H$3,$AS:$AS,0)),""),IFERROR(INDEX($AR:$AR,MATCH($D27&amp;"|"&amp;H$3,$AS:$AS,0)),""))</f>
        <v/>
      </c>
      <c r="I27" s="12" t="str">
        <f>IF(J$2=0,IFERROR(INDEX($AM:$AM,MATCH($D27&amp;"|"&amp;I$3,$AS:$AS,0)),""),IFERROR(INDEX($AR:$AR,MATCH($D27&amp;"|"&amp;I$3,$AS:$AS,0)),""))</f>
        <v/>
      </c>
      <c r="J27" s="12" t="str">
        <f>IF(K$2=0,IFERROR(INDEX($AM:$AM,MATCH($D27&amp;"|"&amp;J$3,$AS:$AS,0)),""),IFERROR(INDEX($AR:$AR,MATCH($D27&amp;"|"&amp;J$3,$AS:$AS,0)),""))</f>
        <v/>
      </c>
      <c r="K27" s="12" t="str">
        <f>IF(L$2=0,IFERROR(INDEX($AM:$AM,MATCH($D27&amp;"|"&amp;K$3,$AS:$AS,0)),""),IFERROR(INDEX($AR:$AR,MATCH($D27&amp;"|"&amp;K$3,$AS:$AS,0)),""))</f>
        <v/>
      </c>
      <c r="L27" s="12" t="str">
        <f>IF(M$2=0,IFERROR(INDEX($AM:$AM,MATCH($D27&amp;"|"&amp;L$3,$AS:$AS,0)),""),IFERROR(INDEX($AR:$AR,MATCH($D27&amp;"|"&amp;L$3,$AS:$AS,0)),""))</f>
        <v/>
      </c>
      <c r="M27" s="12" t="str">
        <f>IF(N$2=0,IFERROR(INDEX($AM:$AM,MATCH($D27&amp;"|"&amp;M$3,$AS:$AS,0)),""),IFERROR(INDEX($AR:$AR,MATCH($D27&amp;"|"&amp;M$3,$AS:$AS,0)),""))</f>
        <v/>
      </c>
      <c r="N27" s="12" t="str">
        <f>IF(O$2=0,IFERROR(INDEX($AM:$AM,MATCH($D27&amp;"|"&amp;N$3,$AS:$AS,0)),""),IFERROR(INDEX($AR:$AR,MATCH($D27&amp;"|"&amp;N$3,$AS:$AS,0)),""))</f>
        <v/>
      </c>
      <c r="O27" s="12" t="str">
        <f>IF(P$2=0,IFERROR(INDEX($AM:$AM,MATCH($D27&amp;"|"&amp;O$3,$AS:$AS,0)),""),IFERROR(INDEX($AR:$AR,MATCH($D27&amp;"|"&amp;O$3,$AS:$AS,0)),""))</f>
        <v/>
      </c>
      <c r="P27" s="12" t="str">
        <f>IF(Q$2=0,IFERROR(INDEX($AM:$AM,MATCH($D27&amp;"|"&amp;P$3,$AS:$AS,0)),""),IFERROR(INDEX($AR:$AR,MATCH($D27&amp;"|"&amp;P$3,$AS:$AS,0)),""))</f>
        <v/>
      </c>
      <c r="Q27" s="12" t="str">
        <f>IF(R$2=0,IFERROR(INDEX($AM:$AM,MATCH($D27&amp;"|"&amp;Q$3,$AS:$AS,0)),""),IFERROR(INDEX($AR:$AR,MATCH($D27&amp;"|"&amp;Q$3,$AS:$AS,0)),""))</f>
        <v/>
      </c>
      <c r="R27" s="12" t="str">
        <f>IF(S$2=0,IFERROR(INDEX($AM:$AM,MATCH($D27&amp;"|"&amp;R$3,$AS:$AS,0)),""),IFERROR(INDEX($AR:$AR,MATCH($D27&amp;"|"&amp;R$3,$AS:$AS,0)),""))</f>
        <v/>
      </c>
      <c r="S27" s="12" t="str">
        <f>IF(T$2=0,IFERROR(INDEX($AM:$AM,MATCH($D27&amp;"|"&amp;S$3,$AS:$AS,0)),""),IFERROR(INDEX($AR:$AR,MATCH($D27&amp;"|"&amp;S$3,$AS:$AS,0)),""))</f>
        <v/>
      </c>
      <c r="T27" s="12" t="str">
        <f>IF(U$2=0,IFERROR(INDEX($AM:$AM,MATCH($D27&amp;"|"&amp;T$3,$AS:$AS,0)),""),IFERROR(INDEX($AR:$AR,MATCH($D27&amp;"|"&amp;T$3,$AS:$AS,0)),""))</f>
        <v/>
      </c>
      <c r="U27" s="12" t="str">
        <f>IF(V$2=0,IFERROR(INDEX($AM:$AM,MATCH($D27&amp;"|"&amp;U$3,$AS:$AS,0)),""),IFERROR(INDEX($AR:$AR,MATCH($D27&amp;"|"&amp;U$3,$AS:$AS,0)),""))</f>
        <v/>
      </c>
      <c r="V27" s="12" t="str">
        <f>IF(W$2=0,IFERROR(INDEX($AM:$AM,MATCH($D27&amp;"|"&amp;V$3,$AS:$AS,0)),""),IFERROR(INDEX($AR:$AR,MATCH($D27&amp;"|"&amp;V$3,$AS:$AS,0)),""))</f>
        <v/>
      </c>
      <c r="W27" s="12" t="str">
        <f>IF(X$2=0,IFERROR(INDEX($AM:$AM,MATCH($D27&amp;"|"&amp;W$3,$AS:$AS,0)),""),IFERROR(INDEX($AR:$AR,MATCH($D27&amp;"|"&amp;W$3,$AS:$AS,0)),""))</f>
        <v/>
      </c>
      <c r="X27" s="12" t="str">
        <f>IF(Y$2=0,IFERROR(INDEX($AM:$AM,MATCH($D27&amp;"|"&amp;X$3,$AS:$AS,0)),""),IFERROR(INDEX($AR:$AR,MATCH($D27&amp;"|"&amp;X$3,$AS:$AS,0)),""))</f>
        <v/>
      </c>
      <c r="Y27" s="12" t="str">
        <f>IF(Z$2=0,IFERROR(INDEX($AM:$AM,MATCH($D27&amp;"|"&amp;Y$3,$AS:$AS,0)),""),IFERROR(INDEX($AR:$AR,MATCH($D27&amp;"|"&amp;Y$3,$AS:$AS,0)),""))</f>
        <v/>
      </c>
      <c r="Z27" s="12" t="str">
        <f>IF(AA$2=0,IFERROR(INDEX($AM:$AM,MATCH($D27&amp;"|"&amp;Z$3,$AS:$AS,0)),""),IFERROR(INDEX($AR:$AR,MATCH($D27&amp;"|"&amp;Z$3,$AS:$AS,0)),""))</f>
        <v/>
      </c>
      <c r="AA27" s="12" t="str">
        <f>IF(AB$2=0,IFERROR(INDEX($AM:$AM,MATCH($D27&amp;"|"&amp;AA$3,$AS:$AS,0)),""),IFERROR(INDEX($AR:$AR,MATCH($D27&amp;"|"&amp;AA$3,$AS:$AS,0)),""))</f>
        <v/>
      </c>
      <c r="AG27" s="20" t="s">
        <v>296</v>
      </c>
      <c r="AH27" s="20" t="s">
        <v>299</v>
      </c>
      <c r="AI27" s="20" t="s">
        <v>24</v>
      </c>
      <c r="AJ27" s="7">
        <v>0.6</v>
      </c>
      <c r="AK27" s="7">
        <v>0.60972222222222228</v>
      </c>
      <c r="AL27" s="20" t="s">
        <v>50</v>
      </c>
      <c r="AM27" s="20" t="str">
        <f>+TEXT(Carro1[[#This Row],[Column1]],"hh:mm")&amp;" | " &amp;TEXT(Carro1[[#This Row],[Hora Fim]],"hh:mm")</f>
        <v>14:24 | 14:38</v>
      </c>
      <c r="AN27" s="20">
        <f>INDEX($E$3:$AA$3,MATCH(Carro1[[#This Row],[Nó]],$E$1:$AA$1,0))</f>
        <v>2</v>
      </c>
      <c r="AO27" s="7">
        <f>+IF(AND(Carro1[[#This Row],[Nó]]=AI26,Carro1[[#This Row],[Nó]]=AI28),AO26,Carro1[[#This Row],[Hora Início]])</f>
        <v>0.6</v>
      </c>
      <c r="AP27" s="20">
        <f t="shared" si="0"/>
        <v>1</v>
      </c>
      <c r="AQ27" s="20" cm="1">
        <f t="array" ref="AQ27">IFERROR(_xlfn.IFS(AP27=AP26,AQ26,AQ26="Ramo",1),AQ26+1)</f>
        <v>2</v>
      </c>
      <c r="AR27" s="20">
        <f t="shared" si="1"/>
        <v>0</v>
      </c>
      <c r="AS27" s="20" t="str">
        <f>IF(AND(Carro1[[#This Row],[Nó]]=AI28,Carro1[[#This Row],[Nó]]=AI29),"",AQ27&amp;"|"&amp;AN27)</f>
        <v>2|2</v>
      </c>
      <c r="AT27" s="20" t="str">
        <f t="shared" si="2"/>
        <v>2|2</v>
      </c>
      <c r="AU27" s="20" t="str">
        <f>IF(Carro1[[#This Row],[Tipo]]="Início",AQ27&amp;"|"&amp;AN27,"")</f>
        <v/>
      </c>
    </row>
    <row r="28" spans="4:47" x14ac:dyDescent="0.25">
      <c r="D28" s="11">
        <f t="shared" si="3"/>
        <v>25</v>
      </c>
      <c r="E28" s="12" t="str">
        <f>IF(F$2=0,IFERROR(INDEX($AM:$AM,MATCH($D28&amp;"|"&amp;E$3,$AS:$AS,0)),""),IFERROR(INDEX($AR:$AR,MATCH($D28&amp;"|"&amp;E$3,$AS:$AS,0)),""))</f>
        <v/>
      </c>
      <c r="F28" s="12" t="str">
        <f>IF(G$2=0,IFERROR(INDEX($AM:$AM,MATCH($D28&amp;"|"&amp;F$3,$AS:$AS,0)),""),IFERROR(INDEX($AR:$AR,MATCH($D28&amp;"|"&amp;F$3,$AS:$AS,0)),""))</f>
        <v/>
      </c>
      <c r="G28" s="12" t="str">
        <f>IF(H$2=0,IFERROR(INDEX($AM:$AM,MATCH($D28&amp;"|"&amp;G$3,$AS:$AS,0)),""),IFERROR(INDEX($AR:$AR,MATCH($D28&amp;"|"&amp;G$3,$AS:$AS,0)),""))</f>
        <v/>
      </c>
      <c r="H28" s="12" t="str">
        <f>IF(I$2=0,IFERROR(INDEX($AM:$AM,MATCH($D28&amp;"|"&amp;H$3,$AS:$AS,0)),""),IFERROR(INDEX($AR:$AR,MATCH($D28&amp;"|"&amp;H$3,$AS:$AS,0)),""))</f>
        <v/>
      </c>
      <c r="I28" s="12" t="str">
        <f>IF(J$2=0,IFERROR(INDEX($AM:$AM,MATCH($D28&amp;"|"&amp;I$3,$AS:$AS,0)),""),IFERROR(INDEX($AR:$AR,MATCH($D28&amp;"|"&amp;I$3,$AS:$AS,0)),""))</f>
        <v/>
      </c>
      <c r="J28" s="12" t="str">
        <f>IF(K$2=0,IFERROR(INDEX($AM:$AM,MATCH($D28&amp;"|"&amp;J$3,$AS:$AS,0)),""),IFERROR(INDEX($AR:$AR,MATCH($D28&amp;"|"&amp;J$3,$AS:$AS,0)),""))</f>
        <v/>
      </c>
      <c r="K28" s="12" t="str">
        <f>IF(L$2=0,IFERROR(INDEX($AM:$AM,MATCH($D28&amp;"|"&amp;K$3,$AS:$AS,0)),""),IFERROR(INDEX($AR:$AR,MATCH($D28&amp;"|"&amp;K$3,$AS:$AS,0)),""))</f>
        <v/>
      </c>
      <c r="L28" s="12" t="str">
        <f>IF(M$2=0,IFERROR(INDEX($AM:$AM,MATCH($D28&amp;"|"&amp;L$3,$AS:$AS,0)),""),IFERROR(INDEX($AR:$AR,MATCH($D28&amp;"|"&amp;L$3,$AS:$AS,0)),""))</f>
        <v/>
      </c>
      <c r="M28" s="12" t="str">
        <f>IF(N$2=0,IFERROR(INDEX($AM:$AM,MATCH($D28&amp;"|"&amp;M$3,$AS:$AS,0)),""),IFERROR(INDEX($AR:$AR,MATCH($D28&amp;"|"&amp;M$3,$AS:$AS,0)),""))</f>
        <v/>
      </c>
      <c r="N28" s="12" t="str">
        <f>IF(O$2=0,IFERROR(INDEX($AM:$AM,MATCH($D28&amp;"|"&amp;N$3,$AS:$AS,0)),""),IFERROR(INDEX($AR:$AR,MATCH($D28&amp;"|"&amp;N$3,$AS:$AS,0)),""))</f>
        <v/>
      </c>
      <c r="O28" s="12" t="str">
        <f>IF(P$2=0,IFERROR(INDEX($AM:$AM,MATCH($D28&amp;"|"&amp;O$3,$AS:$AS,0)),""),IFERROR(INDEX($AR:$AR,MATCH($D28&amp;"|"&amp;O$3,$AS:$AS,0)),""))</f>
        <v/>
      </c>
      <c r="P28" s="12" t="str">
        <f>IF(Q$2=0,IFERROR(INDEX($AM:$AM,MATCH($D28&amp;"|"&amp;P$3,$AS:$AS,0)),""),IFERROR(INDEX($AR:$AR,MATCH($D28&amp;"|"&amp;P$3,$AS:$AS,0)),""))</f>
        <v/>
      </c>
      <c r="Q28" s="12" t="str">
        <f>IF(R$2=0,IFERROR(INDEX($AM:$AM,MATCH($D28&amp;"|"&amp;Q$3,$AS:$AS,0)),""),IFERROR(INDEX($AR:$AR,MATCH($D28&amp;"|"&amp;Q$3,$AS:$AS,0)),""))</f>
        <v/>
      </c>
      <c r="R28" s="12" t="str">
        <f>IF(S$2=0,IFERROR(INDEX($AM:$AM,MATCH($D28&amp;"|"&amp;R$3,$AS:$AS,0)),""),IFERROR(INDEX($AR:$AR,MATCH($D28&amp;"|"&amp;R$3,$AS:$AS,0)),""))</f>
        <v/>
      </c>
      <c r="S28" s="12" t="str">
        <f>IF(T$2=0,IFERROR(INDEX($AM:$AM,MATCH($D28&amp;"|"&amp;S$3,$AS:$AS,0)),""),IFERROR(INDEX($AR:$AR,MATCH($D28&amp;"|"&amp;S$3,$AS:$AS,0)),""))</f>
        <v/>
      </c>
      <c r="T28" s="12" t="str">
        <f>IF(U$2=0,IFERROR(INDEX($AM:$AM,MATCH($D28&amp;"|"&amp;T$3,$AS:$AS,0)),""),IFERROR(INDEX($AR:$AR,MATCH($D28&amp;"|"&amp;T$3,$AS:$AS,0)),""))</f>
        <v/>
      </c>
      <c r="U28" s="12" t="str">
        <f>IF(V$2=0,IFERROR(INDEX($AM:$AM,MATCH($D28&amp;"|"&amp;U$3,$AS:$AS,0)),""),IFERROR(INDEX($AR:$AR,MATCH($D28&amp;"|"&amp;U$3,$AS:$AS,0)),""))</f>
        <v/>
      </c>
      <c r="V28" s="12" t="str">
        <f>IF(W$2=0,IFERROR(INDEX($AM:$AM,MATCH($D28&amp;"|"&amp;V$3,$AS:$AS,0)),""),IFERROR(INDEX($AR:$AR,MATCH($D28&amp;"|"&amp;V$3,$AS:$AS,0)),""))</f>
        <v/>
      </c>
      <c r="W28" s="12" t="str">
        <f>IF(X$2=0,IFERROR(INDEX($AM:$AM,MATCH($D28&amp;"|"&amp;W$3,$AS:$AS,0)),""),IFERROR(INDEX($AR:$AR,MATCH($D28&amp;"|"&amp;W$3,$AS:$AS,0)),""))</f>
        <v/>
      </c>
      <c r="X28" s="12" t="str">
        <f>IF(Y$2=0,IFERROR(INDEX($AM:$AM,MATCH($D28&amp;"|"&amp;X$3,$AS:$AS,0)),""),IFERROR(INDEX($AR:$AR,MATCH($D28&amp;"|"&amp;X$3,$AS:$AS,0)),""))</f>
        <v/>
      </c>
      <c r="Y28" s="12" t="str">
        <f>IF(Z$2=0,IFERROR(INDEX($AM:$AM,MATCH($D28&amp;"|"&amp;Y$3,$AS:$AS,0)),""),IFERROR(INDEX($AR:$AR,MATCH($D28&amp;"|"&amp;Y$3,$AS:$AS,0)),""))</f>
        <v/>
      </c>
      <c r="Z28" s="12" t="str">
        <f>IF(AA$2=0,IFERROR(INDEX($AM:$AM,MATCH($D28&amp;"|"&amp;Z$3,$AS:$AS,0)),""),IFERROR(INDEX($AR:$AR,MATCH($D28&amp;"|"&amp;Z$3,$AS:$AS,0)),""))</f>
        <v/>
      </c>
      <c r="AA28" s="12" t="str">
        <f>IF(AB$2=0,IFERROR(INDEX($AM:$AM,MATCH($D28&amp;"|"&amp;AA$3,$AS:$AS,0)),""),IFERROR(INDEX($AR:$AR,MATCH($D28&amp;"|"&amp;AA$3,$AS:$AS,0)),""))</f>
        <v/>
      </c>
      <c r="AG28" s="20" t="s">
        <v>296</v>
      </c>
      <c r="AH28" s="20" t="s">
        <v>299</v>
      </c>
      <c r="AI28" s="20" t="s">
        <v>24</v>
      </c>
      <c r="AJ28" s="7">
        <v>0.61458333333333337</v>
      </c>
      <c r="AK28" s="7">
        <v>0.61458333333333337</v>
      </c>
      <c r="AL28" s="20" t="s">
        <v>51</v>
      </c>
      <c r="AM28" s="20" t="str">
        <f>+TEXT(Carro1[[#This Row],[Column1]],"hh:mm")&amp;" | " &amp;TEXT(Carro1[[#This Row],[Hora Fim]],"hh:mm")</f>
        <v>14:45 | 14:45</v>
      </c>
      <c r="AN28" s="20">
        <f>INDEX($E$3:$AA$3,MATCH(Carro1[[#This Row],[Nó]],$E$1:$AA$1,0))</f>
        <v>2</v>
      </c>
      <c r="AO28" s="7">
        <f>+IF(AND(Carro1[[#This Row],[Nó]]=AI27,Carro1[[#This Row],[Nó]]=AI29),AO27,Carro1[[#This Row],[Hora Início]])</f>
        <v>0.61458333333333337</v>
      </c>
      <c r="AP28" s="20">
        <f t="shared" si="0"/>
        <v>1</v>
      </c>
      <c r="AQ28" s="20" cm="1">
        <f t="array" ref="AQ28">IFERROR(_xlfn.IFS(AP28=AP27,AQ27,AQ27="Ramo",1),AQ27+1)</f>
        <v>2</v>
      </c>
      <c r="AR28" s="20">
        <f t="shared" si="1"/>
        <v>0</v>
      </c>
      <c r="AS28" s="20" t="str">
        <f>IF(AND(Carro1[[#This Row],[Nó]]=AI29,Carro1[[#This Row],[Nó]]=AI30),"",AQ28&amp;"|"&amp;AN28)</f>
        <v>2|2</v>
      </c>
      <c r="AT28" s="20" t="str">
        <f t="shared" si="2"/>
        <v>2|2</v>
      </c>
      <c r="AU28" s="20" t="str">
        <f>IF(Carro1[[#This Row],[Tipo]]="Início",AQ28&amp;"|"&amp;AN28,"")</f>
        <v/>
      </c>
    </row>
    <row r="29" spans="4:47" x14ac:dyDescent="0.25">
      <c r="D29" s="11">
        <f t="shared" si="3"/>
        <v>26</v>
      </c>
      <c r="E29" s="12" t="str">
        <f>IF(F$2=0,IFERROR(INDEX($AM:$AM,MATCH($D29&amp;"|"&amp;E$3,$AS:$AS,0)),""),IFERROR(INDEX($AR:$AR,MATCH($D29&amp;"|"&amp;E$3,$AS:$AS,0)),""))</f>
        <v/>
      </c>
      <c r="F29" s="12" t="str">
        <f>IF(G$2=0,IFERROR(INDEX($AM:$AM,MATCH($D29&amp;"|"&amp;F$3,$AS:$AS,0)),""),IFERROR(INDEX($AR:$AR,MATCH($D29&amp;"|"&amp;F$3,$AS:$AS,0)),""))</f>
        <v/>
      </c>
      <c r="G29" s="12" t="str">
        <f>IF(H$2=0,IFERROR(INDEX($AM:$AM,MATCH($D29&amp;"|"&amp;G$3,$AS:$AS,0)),""),IFERROR(INDEX($AR:$AR,MATCH($D29&amp;"|"&amp;G$3,$AS:$AS,0)),""))</f>
        <v/>
      </c>
      <c r="H29" s="12" t="str">
        <f>IF(I$2=0,IFERROR(INDEX($AM:$AM,MATCH($D29&amp;"|"&amp;H$3,$AS:$AS,0)),""),IFERROR(INDEX($AR:$AR,MATCH($D29&amp;"|"&amp;H$3,$AS:$AS,0)),""))</f>
        <v/>
      </c>
      <c r="I29" s="12" t="str">
        <f>IF(J$2=0,IFERROR(INDEX($AM:$AM,MATCH($D29&amp;"|"&amp;I$3,$AS:$AS,0)),""),IFERROR(INDEX($AR:$AR,MATCH($D29&amp;"|"&amp;I$3,$AS:$AS,0)),""))</f>
        <v/>
      </c>
      <c r="J29" s="12" t="str">
        <f>IF(K$2=0,IFERROR(INDEX($AM:$AM,MATCH($D29&amp;"|"&amp;J$3,$AS:$AS,0)),""),IFERROR(INDEX($AR:$AR,MATCH($D29&amp;"|"&amp;J$3,$AS:$AS,0)),""))</f>
        <v/>
      </c>
      <c r="K29" s="12" t="str">
        <f>IF(L$2=0,IFERROR(INDEX($AM:$AM,MATCH($D29&amp;"|"&amp;K$3,$AS:$AS,0)),""),IFERROR(INDEX($AR:$AR,MATCH($D29&amp;"|"&amp;K$3,$AS:$AS,0)),""))</f>
        <v/>
      </c>
      <c r="L29" s="12" t="str">
        <f>IF(M$2=0,IFERROR(INDEX($AM:$AM,MATCH($D29&amp;"|"&amp;L$3,$AS:$AS,0)),""),IFERROR(INDEX($AR:$AR,MATCH($D29&amp;"|"&amp;L$3,$AS:$AS,0)),""))</f>
        <v/>
      </c>
      <c r="M29" s="12" t="str">
        <f>IF(N$2=0,IFERROR(INDEX($AM:$AM,MATCH($D29&amp;"|"&amp;M$3,$AS:$AS,0)),""),IFERROR(INDEX($AR:$AR,MATCH($D29&amp;"|"&amp;M$3,$AS:$AS,0)),""))</f>
        <v/>
      </c>
      <c r="N29" s="12" t="str">
        <f>IF(O$2=0,IFERROR(INDEX($AM:$AM,MATCH($D29&amp;"|"&amp;N$3,$AS:$AS,0)),""),IFERROR(INDEX($AR:$AR,MATCH($D29&amp;"|"&amp;N$3,$AS:$AS,0)),""))</f>
        <v/>
      </c>
      <c r="O29" s="12" t="str">
        <f>IF(P$2=0,IFERROR(INDEX($AM:$AM,MATCH($D29&amp;"|"&amp;O$3,$AS:$AS,0)),""),IFERROR(INDEX($AR:$AR,MATCH($D29&amp;"|"&amp;O$3,$AS:$AS,0)),""))</f>
        <v/>
      </c>
      <c r="P29" s="12" t="str">
        <f>IF(Q$2=0,IFERROR(INDEX($AM:$AM,MATCH($D29&amp;"|"&amp;P$3,$AS:$AS,0)),""),IFERROR(INDEX($AR:$AR,MATCH($D29&amp;"|"&amp;P$3,$AS:$AS,0)),""))</f>
        <v/>
      </c>
      <c r="Q29" s="12" t="str">
        <f>IF(R$2=0,IFERROR(INDEX($AM:$AM,MATCH($D29&amp;"|"&amp;Q$3,$AS:$AS,0)),""),IFERROR(INDEX($AR:$AR,MATCH($D29&amp;"|"&amp;Q$3,$AS:$AS,0)),""))</f>
        <v/>
      </c>
      <c r="R29" s="12" t="str">
        <f>IF(S$2=0,IFERROR(INDEX($AM:$AM,MATCH($D29&amp;"|"&amp;R$3,$AS:$AS,0)),""),IFERROR(INDEX($AR:$AR,MATCH($D29&amp;"|"&amp;R$3,$AS:$AS,0)),""))</f>
        <v/>
      </c>
      <c r="S29" s="12" t="str">
        <f>IF(T$2=0,IFERROR(INDEX($AM:$AM,MATCH($D29&amp;"|"&amp;S$3,$AS:$AS,0)),""),IFERROR(INDEX($AR:$AR,MATCH($D29&amp;"|"&amp;S$3,$AS:$AS,0)),""))</f>
        <v/>
      </c>
      <c r="T29" s="12" t="str">
        <f>IF(U$2=0,IFERROR(INDEX($AM:$AM,MATCH($D29&amp;"|"&amp;T$3,$AS:$AS,0)),""),IFERROR(INDEX($AR:$AR,MATCH($D29&amp;"|"&amp;T$3,$AS:$AS,0)),""))</f>
        <v/>
      </c>
      <c r="U29" s="12" t="str">
        <f>IF(V$2=0,IFERROR(INDEX($AM:$AM,MATCH($D29&amp;"|"&amp;U$3,$AS:$AS,0)),""),IFERROR(INDEX($AR:$AR,MATCH($D29&amp;"|"&amp;U$3,$AS:$AS,0)),""))</f>
        <v/>
      </c>
      <c r="V29" s="12" t="str">
        <f>IF(W$2=0,IFERROR(INDEX($AM:$AM,MATCH($D29&amp;"|"&amp;V$3,$AS:$AS,0)),""),IFERROR(INDEX($AR:$AR,MATCH($D29&amp;"|"&amp;V$3,$AS:$AS,0)),""))</f>
        <v/>
      </c>
      <c r="W29" s="12" t="str">
        <f>IF(X$2=0,IFERROR(INDEX($AM:$AM,MATCH($D29&amp;"|"&amp;W$3,$AS:$AS,0)),""),IFERROR(INDEX($AR:$AR,MATCH($D29&amp;"|"&amp;W$3,$AS:$AS,0)),""))</f>
        <v/>
      </c>
      <c r="X29" s="12" t="str">
        <f>IF(Y$2=0,IFERROR(INDEX($AM:$AM,MATCH($D29&amp;"|"&amp;X$3,$AS:$AS,0)),""),IFERROR(INDEX($AR:$AR,MATCH($D29&amp;"|"&amp;X$3,$AS:$AS,0)),""))</f>
        <v/>
      </c>
      <c r="Y29" s="12" t="str">
        <f>IF(Z$2=0,IFERROR(INDEX($AM:$AM,MATCH($D29&amp;"|"&amp;Y$3,$AS:$AS,0)),""),IFERROR(INDEX($AR:$AR,MATCH($D29&amp;"|"&amp;Y$3,$AS:$AS,0)),""))</f>
        <v/>
      </c>
      <c r="Z29" s="12" t="str">
        <f>IF(AA$2=0,IFERROR(INDEX($AM:$AM,MATCH($D29&amp;"|"&amp;Z$3,$AS:$AS,0)),""),IFERROR(INDEX($AR:$AR,MATCH($D29&amp;"|"&amp;Z$3,$AS:$AS,0)),""))</f>
        <v/>
      </c>
      <c r="AA29" s="12" t="str">
        <f>IF(AB$2=0,IFERROR(INDEX($AM:$AM,MATCH($D29&amp;"|"&amp;AA$3,$AS:$AS,0)),""),IFERROR(INDEX($AR:$AR,MATCH($D29&amp;"|"&amp;AA$3,$AS:$AS,0)),""))</f>
        <v/>
      </c>
      <c r="AG29" s="20" t="s">
        <v>296</v>
      </c>
      <c r="AH29" s="20" t="s">
        <v>300</v>
      </c>
      <c r="AI29" s="20" t="s">
        <v>26</v>
      </c>
      <c r="AJ29" s="7">
        <v>0.61527777777777781</v>
      </c>
      <c r="AK29" s="7">
        <v>0.62222222222222223</v>
      </c>
      <c r="AL29" s="20" t="s">
        <v>50</v>
      </c>
      <c r="AM29" s="20" t="str">
        <f>+TEXT(Carro1[[#This Row],[Column1]],"hh:mm")&amp;" | " &amp;TEXT(Carro1[[#This Row],[Hora Fim]],"hh:mm")</f>
        <v>14:46 | 14:56</v>
      </c>
      <c r="AN29" s="20">
        <f>INDEX($E$3:$AA$3,MATCH(Carro1[[#This Row],[Nó]],$E$1:$AA$1,0))</f>
        <v>3</v>
      </c>
      <c r="AO29" s="7">
        <f>+IF(AND(Carro1[[#This Row],[Nó]]=AI28,Carro1[[#This Row],[Nó]]=AI30),AO28,Carro1[[#This Row],[Hora Início]])</f>
        <v>0.61527777777777781</v>
      </c>
      <c r="AP29" s="20">
        <f t="shared" si="0"/>
        <v>1</v>
      </c>
      <c r="AQ29" s="20" cm="1">
        <f t="array" ref="AQ29">IFERROR(_xlfn.IFS(AP29=AP28,AQ28,AQ28="Ramo",1),AQ28+1)</f>
        <v>2</v>
      </c>
      <c r="AR29" s="20">
        <f t="shared" si="1"/>
        <v>0</v>
      </c>
      <c r="AS29" s="20" t="str">
        <f>IF(AND(Carro1[[#This Row],[Nó]]=AI30,Carro1[[#This Row],[Nó]]=AI31),"",AQ29&amp;"|"&amp;AN29)</f>
        <v>2|3</v>
      </c>
      <c r="AT29" s="20" t="str">
        <f t="shared" si="2"/>
        <v>2|3</v>
      </c>
      <c r="AU29" s="20" t="str">
        <f>IF(Carro1[[#This Row],[Tipo]]="Início",AQ29&amp;"|"&amp;AN29,"")</f>
        <v/>
      </c>
    </row>
    <row r="30" spans="4:47" x14ac:dyDescent="0.25">
      <c r="D30" s="11">
        <f t="shared" si="3"/>
        <v>27</v>
      </c>
      <c r="E30" s="12" t="str">
        <f>IF(F$2=0,IFERROR(INDEX($AM:$AM,MATCH($D30&amp;"|"&amp;E$3,$AS:$AS,0)),""),IFERROR(INDEX($AR:$AR,MATCH($D30&amp;"|"&amp;E$3,$AS:$AS,0)),""))</f>
        <v/>
      </c>
      <c r="F30" s="12" t="str">
        <f>IF(G$2=0,IFERROR(INDEX($AM:$AM,MATCH($D30&amp;"|"&amp;F$3,$AS:$AS,0)),""),IFERROR(INDEX($AR:$AR,MATCH($D30&amp;"|"&amp;F$3,$AS:$AS,0)),""))</f>
        <v/>
      </c>
      <c r="G30" s="12" t="str">
        <f>IF(H$2=0,IFERROR(INDEX($AM:$AM,MATCH($D30&amp;"|"&amp;G$3,$AS:$AS,0)),""),IFERROR(INDEX($AR:$AR,MATCH($D30&amp;"|"&amp;G$3,$AS:$AS,0)),""))</f>
        <v/>
      </c>
      <c r="H30" s="12" t="str">
        <f>IF(I$2=0,IFERROR(INDEX($AM:$AM,MATCH($D30&amp;"|"&amp;H$3,$AS:$AS,0)),""),IFERROR(INDEX($AR:$AR,MATCH($D30&amp;"|"&amp;H$3,$AS:$AS,0)),""))</f>
        <v/>
      </c>
      <c r="I30" s="12" t="str">
        <f>IF(J$2=0,IFERROR(INDEX($AM:$AM,MATCH($D30&amp;"|"&amp;I$3,$AS:$AS,0)),""),IFERROR(INDEX($AR:$AR,MATCH($D30&amp;"|"&amp;I$3,$AS:$AS,0)),""))</f>
        <v/>
      </c>
      <c r="J30" s="12" t="str">
        <f>IF(K$2=0,IFERROR(INDEX($AM:$AM,MATCH($D30&amp;"|"&amp;J$3,$AS:$AS,0)),""),IFERROR(INDEX($AR:$AR,MATCH($D30&amp;"|"&amp;J$3,$AS:$AS,0)),""))</f>
        <v/>
      </c>
      <c r="K30" s="12" t="str">
        <f>IF(L$2=0,IFERROR(INDEX($AM:$AM,MATCH($D30&amp;"|"&amp;K$3,$AS:$AS,0)),""),IFERROR(INDEX($AR:$AR,MATCH($D30&amp;"|"&amp;K$3,$AS:$AS,0)),""))</f>
        <v/>
      </c>
      <c r="L30" s="12" t="str">
        <f>IF(M$2=0,IFERROR(INDEX($AM:$AM,MATCH($D30&amp;"|"&amp;L$3,$AS:$AS,0)),""),IFERROR(INDEX($AR:$AR,MATCH($D30&amp;"|"&amp;L$3,$AS:$AS,0)),""))</f>
        <v/>
      </c>
      <c r="M30" s="12" t="str">
        <f>IF(N$2=0,IFERROR(INDEX($AM:$AM,MATCH($D30&amp;"|"&amp;M$3,$AS:$AS,0)),""),IFERROR(INDEX($AR:$AR,MATCH($D30&amp;"|"&amp;M$3,$AS:$AS,0)),""))</f>
        <v/>
      </c>
      <c r="N30" s="12" t="str">
        <f>IF(O$2=0,IFERROR(INDEX($AM:$AM,MATCH($D30&amp;"|"&amp;N$3,$AS:$AS,0)),""),IFERROR(INDEX($AR:$AR,MATCH($D30&amp;"|"&amp;N$3,$AS:$AS,0)),""))</f>
        <v/>
      </c>
      <c r="O30" s="12" t="str">
        <f>IF(P$2=0,IFERROR(INDEX($AM:$AM,MATCH($D30&amp;"|"&amp;O$3,$AS:$AS,0)),""),IFERROR(INDEX($AR:$AR,MATCH($D30&amp;"|"&amp;O$3,$AS:$AS,0)),""))</f>
        <v/>
      </c>
      <c r="P30" s="12" t="str">
        <f>IF(Q$2=0,IFERROR(INDEX($AM:$AM,MATCH($D30&amp;"|"&amp;P$3,$AS:$AS,0)),""),IFERROR(INDEX($AR:$AR,MATCH($D30&amp;"|"&amp;P$3,$AS:$AS,0)),""))</f>
        <v/>
      </c>
      <c r="Q30" s="12" t="str">
        <f>IF(R$2=0,IFERROR(INDEX($AM:$AM,MATCH($D30&amp;"|"&amp;Q$3,$AS:$AS,0)),""),IFERROR(INDEX($AR:$AR,MATCH($D30&amp;"|"&amp;Q$3,$AS:$AS,0)),""))</f>
        <v/>
      </c>
      <c r="R30" s="12" t="str">
        <f>IF(S$2=0,IFERROR(INDEX($AM:$AM,MATCH($D30&amp;"|"&amp;R$3,$AS:$AS,0)),""),IFERROR(INDEX($AR:$AR,MATCH($D30&amp;"|"&amp;R$3,$AS:$AS,0)),""))</f>
        <v/>
      </c>
      <c r="S30" s="12" t="str">
        <f>IF(T$2=0,IFERROR(INDEX($AM:$AM,MATCH($D30&amp;"|"&amp;S$3,$AS:$AS,0)),""),IFERROR(INDEX($AR:$AR,MATCH($D30&amp;"|"&amp;S$3,$AS:$AS,0)),""))</f>
        <v/>
      </c>
      <c r="T30" s="12" t="str">
        <f>IF(U$2=0,IFERROR(INDEX($AM:$AM,MATCH($D30&amp;"|"&amp;T$3,$AS:$AS,0)),""),IFERROR(INDEX($AR:$AR,MATCH($D30&amp;"|"&amp;T$3,$AS:$AS,0)),""))</f>
        <v/>
      </c>
      <c r="U30" s="12" t="str">
        <f>IF(V$2=0,IFERROR(INDEX($AM:$AM,MATCH($D30&amp;"|"&amp;U$3,$AS:$AS,0)),""),IFERROR(INDEX($AR:$AR,MATCH($D30&amp;"|"&amp;U$3,$AS:$AS,0)),""))</f>
        <v/>
      </c>
      <c r="V30" s="12" t="str">
        <f>IF(W$2=0,IFERROR(INDEX($AM:$AM,MATCH($D30&amp;"|"&amp;V$3,$AS:$AS,0)),""),IFERROR(INDEX($AR:$AR,MATCH($D30&amp;"|"&amp;V$3,$AS:$AS,0)),""))</f>
        <v/>
      </c>
      <c r="W30" s="12" t="str">
        <f>IF(X$2=0,IFERROR(INDEX($AM:$AM,MATCH($D30&amp;"|"&amp;W$3,$AS:$AS,0)),""),IFERROR(INDEX($AR:$AR,MATCH($D30&amp;"|"&amp;W$3,$AS:$AS,0)),""))</f>
        <v/>
      </c>
      <c r="X30" s="12" t="str">
        <f>IF(Y$2=0,IFERROR(INDEX($AM:$AM,MATCH($D30&amp;"|"&amp;X$3,$AS:$AS,0)),""),IFERROR(INDEX($AR:$AR,MATCH($D30&amp;"|"&amp;X$3,$AS:$AS,0)),""))</f>
        <v/>
      </c>
      <c r="Y30" s="12" t="str">
        <f>IF(Z$2=0,IFERROR(INDEX($AM:$AM,MATCH($D30&amp;"|"&amp;Y$3,$AS:$AS,0)),""),IFERROR(INDEX($AR:$AR,MATCH($D30&amp;"|"&amp;Y$3,$AS:$AS,0)),""))</f>
        <v/>
      </c>
      <c r="Z30" s="12" t="str">
        <f>IF(AA$2=0,IFERROR(INDEX($AM:$AM,MATCH($D30&amp;"|"&amp;Z$3,$AS:$AS,0)),""),IFERROR(INDEX($AR:$AR,MATCH($D30&amp;"|"&amp;Z$3,$AS:$AS,0)),""))</f>
        <v/>
      </c>
      <c r="AA30" s="12" t="str">
        <f>IF(AB$2=0,IFERROR(INDEX($AM:$AM,MATCH($D30&amp;"|"&amp;AA$3,$AS:$AS,0)),""),IFERROR(INDEX($AR:$AR,MATCH($D30&amp;"|"&amp;AA$3,$AS:$AS,0)),""))</f>
        <v/>
      </c>
      <c r="AG30" s="20" t="s">
        <v>296</v>
      </c>
      <c r="AH30" s="20" t="s">
        <v>300</v>
      </c>
      <c r="AI30" s="20" t="s">
        <v>26</v>
      </c>
      <c r="AJ30" s="7">
        <v>0.62291666666666667</v>
      </c>
      <c r="AK30" s="7">
        <v>0.62291666666666667</v>
      </c>
      <c r="AL30" s="20" t="s">
        <v>51</v>
      </c>
      <c r="AM30" s="20" t="str">
        <f>+TEXT(Carro1[[#This Row],[Column1]],"hh:mm")&amp;" | " &amp;TEXT(Carro1[[#This Row],[Hora Fim]],"hh:mm")</f>
        <v>14:57 | 14:57</v>
      </c>
      <c r="AN30" s="20">
        <f>INDEX($E$3:$AA$3,MATCH(Carro1[[#This Row],[Nó]],$E$1:$AA$1,0))</f>
        <v>3</v>
      </c>
      <c r="AO30" s="7">
        <f>+IF(AND(Carro1[[#This Row],[Nó]]=AI29,Carro1[[#This Row],[Nó]]=AI31),AO29,Carro1[[#This Row],[Hora Início]])</f>
        <v>0.62291666666666667</v>
      </c>
      <c r="AP30" s="20">
        <f t="shared" si="0"/>
        <v>1</v>
      </c>
      <c r="AQ30" s="20" cm="1">
        <f t="array" ref="AQ30">IFERROR(_xlfn.IFS(AP30=AP29,AQ29,AQ29="Ramo",1),AQ29+1)</f>
        <v>2</v>
      </c>
      <c r="AR30" s="20">
        <f t="shared" si="1"/>
        <v>0</v>
      </c>
      <c r="AS30" s="20" t="str">
        <f>IF(AND(Carro1[[#This Row],[Nó]]=AI31,Carro1[[#This Row],[Nó]]=AI32),"",AQ30&amp;"|"&amp;AN30)</f>
        <v>2|3</v>
      </c>
      <c r="AT30" s="20" t="str">
        <f t="shared" si="2"/>
        <v>2|3</v>
      </c>
      <c r="AU30" s="20" t="str">
        <f>IF(Carro1[[#This Row],[Tipo]]="Início",AQ30&amp;"|"&amp;AN30,"")</f>
        <v/>
      </c>
    </row>
    <row r="31" spans="4:47" x14ac:dyDescent="0.25">
      <c r="D31" s="11">
        <f t="shared" si="3"/>
        <v>28</v>
      </c>
      <c r="E31" s="12" t="str">
        <f>IF(F$2=0,IFERROR(INDEX($AM:$AM,MATCH($D31&amp;"|"&amp;E$3,$AS:$AS,0)),""),IFERROR(INDEX($AR:$AR,MATCH($D31&amp;"|"&amp;E$3,$AS:$AS,0)),""))</f>
        <v/>
      </c>
      <c r="F31" s="12" t="str">
        <f>IF(G$2=0,IFERROR(INDEX($AM:$AM,MATCH($D31&amp;"|"&amp;F$3,$AS:$AS,0)),""),IFERROR(INDEX($AR:$AR,MATCH($D31&amp;"|"&amp;F$3,$AS:$AS,0)),""))</f>
        <v/>
      </c>
      <c r="G31" s="12" t="str">
        <f>IF(H$2=0,IFERROR(INDEX($AM:$AM,MATCH($D31&amp;"|"&amp;G$3,$AS:$AS,0)),""),IFERROR(INDEX($AR:$AR,MATCH($D31&amp;"|"&amp;G$3,$AS:$AS,0)),""))</f>
        <v/>
      </c>
      <c r="H31" s="12" t="str">
        <f>IF(I$2=0,IFERROR(INDEX($AM:$AM,MATCH($D31&amp;"|"&amp;H$3,$AS:$AS,0)),""),IFERROR(INDEX($AR:$AR,MATCH($D31&amp;"|"&amp;H$3,$AS:$AS,0)),""))</f>
        <v/>
      </c>
      <c r="I31" s="12" t="str">
        <f>IF(J$2=0,IFERROR(INDEX($AM:$AM,MATCH($D31&amp;"|"&amp;I$3,$AS:$AS,0)),""),IFERROR(INDEX($AR:$AR,MATCH($D31&amp;"|"&amp;I$3,$AS:$AS,0)),""))</f>
        <v/>
      </c>
      <c r="J31" s="12" t="str">
        <f>IF(K$2=0,IFERROR(INDEX($AM:$AM,MATCH($D31&amp;"|"&amp;J$3,$AS:$AS,0)),""),IFERROR(INDEX($AR:$AR,MATCH($D31&amp;"|"&amp;J$3,$AS:$AS,0)),""))</f>
        <v/>
      </c>
      <c r="K31" s="12" t="str">
        <f>IF(L$2=0,IFERROR(INDEX($AM:$AM,MATCH($D31&amp;"|"&amp;K$3,$AS:$AS,0)),""),IFERROR(INDEX($AR:$AR,MATCH($D31&amp;"|"&amp;K$3,$AS:$AS,0)),""))</f>
        <v/>
      </c>
      <c r="L31" s="12" t="str">
        <f>IF(M$2=0,IFERROR(INDEX($AM:$AM,MATCH($D31&amp;"|"&amp;L$3,$AS:$AS,0)),""),IFERROR(INDEX($AR:$AR,MATCH($D31&amp;"|"&amp;L$3,$AS:$AS,0)),""))</f>
        <v/>
      </c>
      <c r="M31" s="12" t="str">
        <f>IF(N$2=0,IFERROR(INDEX($AM:$AM,MATCH($D31&amp;"|"&amp;M$3,$AS:$AS,0)),""),IFERROR(INDEX($AR:$AR,MATCH($D31&amp;"|"&amp;M$3,$AS:$AS,0)),""))</f>
        <v/>
      </c>
      <c r="N31" s="12" t="str">
        <f>IF(O$2=0,IFERROR(INDEX($AM:$AM,MATCH($D31&amp;"|"&amp;N$3,$AS:$AS,0)),""),IFERROR(INDEX($AR:$AR,MATCH($D31&amp;"|"&amp;N$3,$AS:$AS,0)),""))</f>
        <v/>
      </c>
      <c r="O31" s="12" t="str">
        <f>IF(P$2=0,IFERROR(INDEX($AM:$AM,MATCH($D31&amp;"|"&amp;O$3,$AS:$AS,0)),""),IFERROR(INDEX($AR:$AR,MATCH($D31&amp;"|"&amp;O$3,$AS:$AS,0)),""))</f>
        <v/>
      </c>
      <c r="P31" s="12" t="str">
        <f>IF(Q$2=0,IFERROR(INDEX($AM:$AM,MATCH($D31&amp;"|"&amp;P$3,$AS:$AS,0)),""),IFERROR(INDEX($AR:$AR,MATCH($D31&amp;"|"&amp;P$3,$AS:$AS,0)),""))</f>
        <v/>
      </c>
      <c r="Q31" s="12" t="str">
        <f>IF(R$2=0,IFERROR(INDEX($AM:$AM,MATCH($D31&amp;"|"&amp;Q$3,$AS:$AS,0)),""),IFERROR(INDEX($AR:$AR,MATCH($D31&amp;"|"&amp;Q$3,$AS:$AS,0)),""))</f>
        <v/>
      </c>
      <c r="R31" s="12" t="str">
        <f>IF(S$2=0,IFERROR(INDEX($AM:$AM,MATCH($D31&amp;"|"&amp;R$3,$AS:$AS,0)),""),IFERROR(INDEX($AR:$AR,MATCH($D31&amp;"|"&amp;R$3,$AS:$AS,0)),""))</f>
        <v/>
      </c>
      <c r="S31" s="12" t="str">
        <f>IF(T$2=0,IFERROR(INDEX($AM:$AM,MATCH($D31&amp;"|"&amp;S$3,$AS:$AS,0)),""),IFERROR(INDEX($AR:$AR,MATCH($D31&amp;"|"&amp;S$3,$AS:$AS,0)),""))</f>
        <v/>
      </c>
      <c r="T31" s="12" t="str">
        <f>IF(U$2=0,IFERROR(INDEX($AM:$AM,MATCH($D31&amp;"|"&amp;T$3,$AS:$AS,0)),""),IFERROR(INDEX($AR:$AR,MATCH($D31&amp;"|"&amp;T$3,$AS:$AS,0)),""))</f>
        <v/>
      </c>
      <c r="U31" s="12" t="str">
        <f>IF(V$2=0,IFERROR(INDEX($AM:$AM,MATCH($D31&amp;"|"&amp;U$3,$AS:$AS,0)),""),IFERROR(INDEX($AR:$AR,MATCH($D31&amp;"|"&amp;U$3,$AS:$AS,0)),""))</f>
        <v/>
      </c>
      <c r="V31" s="12" t="str">
        <f>IF(W$2=0,IFERROR(INDEX($AM:$AM,MATCH($D31&amp;"|"&amp;V$3,$AS:$AS,0)),""),IFERROR(INDEX($AR:$AR,MATCH($D31&amp;"|"&amp;V$3,$AS:$AS,0)),""))</f>
        <v/>
      </c>
      <c r="W31" s="12" t="str">
        <f>IF(X$2=0,IFERROR(INDEX($AM:$AM,MATCH($D31&amp;"|"&amp;W$3,$AS:$AS,0)),""),IFERROR(INDEX($AR:$AR,MATCH($D31&amp;"|"&amp;W$3,$AS:$AS,0)),""))</f>
        <v/>
      </c>
      <c r="X31" s="12" t="str">
        <f>IF(Y$2=0,IFERROR(INDEX($AM:$AM,MATCH($D31&amp;"|"&amp;X$3,$AS:$AS,0)),""),IFERROR(INDEX($AR:$AR,MATCH($D31&amp;"|"&amp;X$3,$AS:$AS,0)),""))</f>
        <v/>
      </c>
      <c r="Y31" s="12" t="str">
        <f>IF(Z$2=0,IFERROR(INDEX($AM:$AM,MATCH($D31&amp;"|"&amp;Y$3,$AS:$AS,0)),""),IFERROR(INDEX($AR:$AR,MATCH($D31&amp;"|"&amp;Y$3,$AS:$AS,0)),""))</f>
        <v/>
      </c>
      <c r="Z31" s="12" t="str">
        <f>IF(AA$2=0,IFERROR(INDEX($AM:$AM,MATCH($D31&amp;"|"&amp;Z$3,$AS:$AS,0)),""),IFERROR(INDEX($AR:$AR,MATCH($D31&amp;"|"&amp;Z$3,$AS:$AS,0)),""))</f>
        <v/>
      </c>
      <c r="AA31" s="12" t="str">
        <f>IF(AB$2=0,IFERROR(INDEX($AM:$AM,MATCH($D31&amp;"|"&amp;AA$3,$AS:$AS,0)),""),IFERROR(INDEX($AR:$AR,MATCH($D31&amp;"|"&amp;AA$3,$AS:$AS,0)),""))</f>
        <v/>
      </c>
      <c r="AG31" s="20" t="s">
        <v>296</v>
      </c>
      <c r="AH31" s="20" t="s">
        <v>301</v>
      </c>
      <c r="AI31" s="20" t="s">
        <v>27</v>
      </c>
      <c r="AJ31" s="7">
        <v>0.62361111111111112</v>
      </c>
      <c r="AK31" s="7">
        <v>0.63263888888888886</v>
      </c>
      <c r="AL31" s="20" t="s">
        <v>50</v>
      </c>
      <c r="AM31" s="20" t="str">
        <f>+TEXT(Carro1[[#This Row],[Column1]],"hh:mm")&amp;" | " &amp;TEXT(Carro1[[#This Row],[Hora Fim]],"hh:mm")</f>
        <v>14:58 | 15:11</v>
      </c>
      <c r="AN31" s="20">
        <f>INDEX($E$3:$AA$3,MATCH(Carro1[[#This Row],[Nó]],$E$1:$AA$1,0))</f>
        <v>4</v>
      </c>
      <c r="AO31" s="7">
        <f>+IF(AND(Carro1[[#This Row],[Nó]]=AI30,Carro1[[#This Row],[Nó]]=AI32),AO30,Carro1[[#This Row],[Hora Início]])</f>
        <v>0.62361111111111112</v>
      </c>
      <c r="AP31" s="20">
        <f t="shared" si="0"/>
        <v>1</v>
      </c>
      <c r="AQ31" s="20" cm="1">
        <f t="array" ref="AQ31">IFERROR(_xlfn.IFS(AP31=AP30,AQ30,AQ30="Ramo",1),AQ30+1)</f>
        <v>2</v>
      </c>
      <c r="AR31" s="20">
        <f t="shared" si="1"/>
        <v>0</v>
      </c>
      <c r="AS31" s="20" t="str">
        <f>IF(AND(Carro1[[#This Row],[Nó]]=AI32,Carro1[[#This Row],[Nó]]=AI33),"",AQ31&amp;"|"&amp;AN31)</f>
        <v>2|4</v>
      </c>
      <c r="AT31" s="20" t="str">
        <f t="shared" si="2"/>
        <v>2|4</v>
      </c>
      <c r="AU31" s="20" t="str">
        <f>IF(Carro1[[#This Row],[Tipo]]="Início",AQ31&amp;"|"&amp;AN31,"")</f>
        <v/>
      </c>
    </row>
    <row r="32" spans="4:47" x14ac:dyDescent="0.25">
      <c r="D32" s="11">
        <f t="shared" si="3"/>
        <v>29</v>
      </c>
      <c r="E32" s="12" t="str">
        <f>IF(F$2=0,IFERROR(INDEX($AM:$AM,MATCH($D32&amp;"|"&amp;E$3,$AS:$AS,0)),""),IFERROR(INDEX($AR:$AR,MATCH($D32&amp;"|"&amp;E$3,$AS:$AS,0)),""))</f>
        <v/>
      </c>
      <c r="F32" s="12" t="str">
        <f>IF(G$2=0,IFERROR(INDEX($AM:$AM,MATCH($D32&amp;"|"&amp;F$3,$AS:$AS,0)),""),IFERROR(INDEX($AR:$AR,MATCH($D32&amp;"|"&amp;F$3,$AS:$AS,0)),""))</f>
        <v/>
      </c>
      <c r="G32" s="12" t="str">
        <f>IF(H$2=0,IFERROR(INDEX($AM:$AM,MATCH($D32&amp;"|"&amp;G$3,$AS:$AS,0)),""),IFERROR(INDEX($AR:$AR,MATCH($D32&amp;"|"&amp;G$3,$AS:$AS,0)),""))</f>
        <v/>
      </c>
      <c r="H32" s="12" t="str">
        <f>IF(I$2=0,IFERROR(INDEX($AM:$AM,MATCH($D32&amp;"|"&amp;H$3,$AS:$AS,0)),""),IFERROR(INDEX($AR:$AR,MATCH($D32&amp;"|"&amp;H$3,$AS:$AS,0)),""))</f>
        <v/>
      </c>
      <c r="I32" s="12" t="str">
        <f>IF(J$2=0,IFERROR(INDEX($AM:$AM,MATCH($D32&amp;"|"&amp;I$3,$AS:$AS,0)),""),IFERROR(INDEX($AR:$AR,MATCH($D32&amp;"|"&amp;I$3,$AS:$AS,0)),""))</f>
        <v/>
      </c>
      <c r="J32" s="12" t="str">
        <f>IF(K$2=0,IFERROR(INDEX($AM:$AM,MATCH($D32&amp;"|"&amp;J$3,$AS:$AS,0)),""),IFERROR(INDEX($AR:$AR,MATCH($D32&amp;"|"&amp;J$3,$AS:$AS,0)),""))</f>
        <v/>
      </c>
      <c r="K32" s="12" t="str">
        <f>IF(L$2=0,IFERROR(INDEX($AM:$AM,MATCH($D32&amp;"|"&amp;K$3,$AS:$AS,0)),""),IFERROR(INDEX($AR:$AR,MATCH($D32&amp;"|"&amp;K$3,$AS:$AS,0)),""))</f>
        <v/>
      </c>
      <c r="L32" s="12" t="str">
        <f>IF(M$2=0,IFERROR(INDEX($AM:$AM,MATCH($D32&amp;"|"&amp;L$3,$AS:$AS,0)),""),IFERROR(INDEX($AR:$AR,MATCH($D32&amp;"|"&amp;L$3,$AS:$AS,0)),""))</f>
        <v/>
      </c>
      <c r="M32" s="12" t="str">
        <f>IF(N$2=0,IFERROR(INDEX($AM:$AM,MATCH($D32&amp;"|"&amp;M$3,$AS:$AS,0)),""),IFERROR(INDEX($AR:$AR,MATCH($D32&amp;"|"&amp;M$3,$AS:$AS,0)),""))</f>
        <v/>
      </c>
      <c r="N32" s="12" t="str">
        <f>IF(O$2=0,IFERROR(INDEX($AM:$AM,MATCH($D32&amp;"|"&amp;N$3,$AS:$AS,0)),""),IFERROR(INDEX($AR:$AR,MATCH($D32&amp;"|"&amp;N$3,$AS:$AS,0)),""))</f>
        <v/>
      </c>
      <c r="O32" s="12" t="str">
        <f>IF(P$2=0,IFERROR(INDEX($AM:$AM,MATCH($D32&amp;"|"&amp;O$3,$AS:$AS,0)),""),IFERROR(INDEX($AR:$AR,MATCH($D32&amp;"|"&amp;O$3,$AS:$AS,0)),""))</f>
        <v/>
      </c>
      <c r="P32" s="12" t="str">
        <f>IF(Q$2=0,IFERROR(INDEX($AM:$AM,MATCH($D32&amp;"|"&amp;P$3,$AS:$AS,0)),""),IFERROR(INDEX($AR:$AR,MATCH($D32&amp;"|"&amp;P$3,$AS:$AS,0)),""))</f>
        <v/>
      </c>
      <c r="Q32" s="12" t="str">
        <f>IF(R$2=0,IFERROR(INDEX($AM:$AM,MATCH($D32&amp;"|"&amp;Q$3,$AS:$AS,0)),""),IFERROR(INDEX($AR:$AR,MATCH($D32&amp;"|"&amp;Q$3,$AS:$AS,0)),""))</f>
        <v/>
      </c>
      <c r="R32" s="12" t="str">
        <f>IF(S$2=0,IFERROR(INDEX($AM:$AM,MATCH($D32&amp;"|"&amp;R$3,$AS:$AS,0)),""),IFERROR(INDEX($AR:$AR,MATCH($D32&amp;"|"&amp;R$3,$AS:$AS,0)),""))</f>
        <v/>
      </c>
      <c r="S32" s="12" t="str">
        <f>IF(T$2=0,IFERROR(INDEX($AM:$AM,MATCH($D32&amp;"|"&amp;S$3,$AS:$AS,0)),""),IFERROR(INDEX($AR:$AR,MATCH($D32&amp;"|"&amp;S$3,$AS:$AS,0)),""))</f>
        <v/>
      </c>
      <c r="T32" s="12" t="str">
        <f>IF(U$2=0,IFERROR(INDEX($AM:$AM,MATCH($D32&amp;"|"&amp;T$3,$AS:$AS,0)),""),IFERROR(INDEX($AR:$AR,MATCH($D32&amp;"|"&amp;T$3,$AS:$AS,0)),""))</f>
        <v/>
      </c>
      <c r="U32" s="12" t="str">
        <f>IF(V$2=0,IFERROR(INDEX($AM:$AM,MATCH($D32&amp;"|"&amp;U$3,$AS:$AS,0)),""),IFERROR(INDEX($AR:$AR,MATCH($D32&amp;"|"&amp;U$3,$AS:$AS,0)),""))</f>
        <v/>
      </c>
      <c r="V32" s="12" t="str">
        <f>IF(W$2=0,IFERROR(INDEX($AM:$AM,MATCH($D32&amp;"|"&amp;V$3,$AS:$AS,0)),""),IFERROR(INDEX($AR:$AR,MATCH($D32&amp;"|"&amp;V$3,$AS:$AS,0)),""))</f>
        <v/>
      </c>
      <c r="W32" s="12" t="str">
        <f>IF(X$2=0,IFERROR(INDEX($AM:$AM,MATCH($D32&amp;"|"&amp;W$3,$AS:$AS,0)),""),IFERROR(INDEX($AR:$AR,MATCH($D32&amp;"|"&amp;W$3,$AS:$AS,0)),""))</f>
        <v/>
      </c>
      <c r="X32" s="12" t="str">
        <f>IF(Y$2=0,IFERROR(INDEX($AM:$AM,MATCH($D32&amp;"|"&amp;X$3,$AS:$AS,0)),""),IFERROR(INDEX($AR:$AR,MATCH($D32&amp;"|"&amp;X$3,$AS:$AS,0)),""))</f>
        <v/>
      </c>
      <c r="Y32" s="12" t="str">
        <f>IF(Z$2=0,IFERROR(INDEX($AM:$AM,MATCH($D32&amp;"|"&amp;Y$3,$AS:$AS,0)),""),IFERROR(INDEX($AR:$AR,MATCH($D32&amp;"|"&amp;Y$3,$AS:$AS,0)),""))</f>
        <v/>
      </c>
      <c r="Z32" s="12" t="str">
        <f>IF(AA$2=0,IFERROR(INDEX($AM:$AM,MATCH($D32&amp;"|"&amp;Z$3,$AS:$AS,0)),""),IFERROR(INDEX($AR:$AR,MATCH($D32&amp;"|"&amp;Z$3,$AS:$AS,0)),""))</f>
        <v/>
      </c>
      <c r="AA32" s="12" t="str">
        <f>IF(AB$2=0,IFERROR(INDEX($AM:$AM,MATCH($D32&amp;"|"&amp;AA$3,$AS:$AS,0)),""),IFERROR(INDEX($AR:$AR,MATCH($D32&amp;"|"&amp;AA$3,$AS:$AS,0)),""))</f>
        <v/>
      </c>
      <c r="AG32" s="20" t="s">
        <v>296</v>
      </c>
      <c r="AH32" s="20" t="s">
        <v>301</v>
      </c>
      <c r="AI32" s="20" t="s">
        <v>27</v>
      </c>
      <c r="AJ32" s="7">
        <v>0.6333333333333333</v>
      </c>
      <c r="AK32" s="7">
        <v>0.6333333333333333</v>
      </c>
      <c r="AL32" s="20" t="s">
        <v>51</v>
      </c>
      <c r="AM32" s="20" t="str">
        <f>+TEXT(Carro1[[#This Row],[Column1]],"hh:mm")&amp;" | " &amp;TEXT(Carro1[[#This Row],[Hora Fim]],"hh:mm")</f>
        <v>15:12 | 15:12</v>
      </c>
      <c r="AN32" s="20">
        <f>INDEX($E$3:$AA$3,MATCH(Carro1[[#This Row],[Nó]],$E$1:$AA$1,0))</f>
        <v>4</v>
      </c>
      <c r="AO32" s="7">
        <f>+IF(AND(Carro1[[#This Row],[Nó]]=AI31,Carro1[[#This Row],[Nó]]=AI33),AO31,Carro1[[#This Row],[Hora Início]])</f>
        <v>0.6333333333333333</v>
      </c>
      <c r="AP32" s="20">
        <f t="shared" si="0"/>
        <v>1</v>
      </c>
      <c r="AQ32" s="20" cm="1">
        <f t="array" ref="AQ32">IFERROR(_xlfn.IFS(AP32=AP31,AQ31,AQ31="Ramo",1),AQ31+1)</f>
        <v>2</v>
      </c>
      <c r="AR32" s="20">
        <f t="shared" si="1"/>
        <v>0</v>
      </c>
      <c r="AS32" s="20" t="str">
        <f>IF(AND(Carro1[[#This Row],[Nó]]=AI33,Carro1[[#This Row],[Nó]]=AI34),"",AQ32&amp;"|"&amp;AN32)</f>
        <v>2|4</v>
      </c>
      <c r="AT32" s="20" t="str">
        <f t="shared" si="2"/>
        <v>2|4</v>
      </c>
      <c r="AU32" s="20" t="str">
        <f>IF(Carro1[[#This Row],[Tipo]]="Início",AQ32&amp;"|"&amp;AN32,"")</f>
        <v/>
      </c>
    </row>
    <row r="33" spans="5:47" x14ac:dyDescent="0.25"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G33" s="20" t="s">
        <v>296</v>
      </c>
      <c r="AH33" s="20" t="s">
        <v>308</v>
      </c>
      <c r="AI33" s="20" t="s">
        <v>29</v>
      </c>
      <c r="AJ33" s="7">
        <v>0.63541666666666663</v>
      </c>
      <c r="AK33" s="7">
        <v>0.64236111111111116</v>
      </c>
      <c r="AL33" s="20" t="s">
        <v>297</v>
      </c>
      <c r="AM33" s="20" t="str">
        <f>+TEXT(Carro1[[#This Row],[Column1]],"hh:mm")&amp;" | " &amp;TEXT(Carro1[[#This Row],[Hora Fim]],"hh:mm")</f>
        <v>15:15 | 15:25</v>
      </c>
      <c r="AN33" s="20">
        <f>INDEX($E$3:$AA$3,MATCH(Carro1[[#This Row],[Nó]],$E$1:$AA$1,0))</f>
        <v>5</v>
      </c>
      <c r="AO33" s="7">
        <f>+IF(AND(Carro1[[#This Row],[Nó]]=AI32,Carro1[[#This Row],[Nó]]=AI34),AO32,Carro1[[#This Row],[Hora Início]])</f>
        <v>0.63541666666666663</v>
      </c>
      <c r="AP33" s="20">
        <f t="shared" si="0"/>
        <v>1</v>
      </c>
      <c r="AQ33" s="20" cm="1">
        <f t="array" ref="AQ33">IFERROR(_xlfn.IFS(AP33=AP32,AQ32,AQ32="Ramo",1),AQ32+1)</f>
        <v>2</v>
      </c>
      <c r="AR33" s="20">
        <f t="shared" si="1"/>
        <v>0</v>
      </c>
      <c r="AS33" s="20" t="str">
        <f>IF(AND(Carro1[[#This Row],[Nó]]=AI34,Carro1[[#This Row],[Nó]]=AI35),"",AQ33&amp;"|"&amp;AN33)</f>
        <v/>
      </c>
      <c r="AT33" s="20" t="str">
        <f t="shared" si="2"/>
        <v>2|5</v>
      </c>
      <c r="AU33" s="20" t="str">
        <f>IF(Carro1[[#This Row],[Tipo]]="Início",AQ33&amp;"|"&amp;AN33,"")</f>
        <v/>
      </c>
    </row>
    <row r="34" spans="5:47" x14ac:dyDescent="0.25"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G34" s="20" t="s">
        <v>296</v>
      </c>
      <c r="AH34" s="20" t="s">
        <v>308</v>
      </c>
      <c r="AI34" s="20" t="s">
        <v>29</v>
      </c>
      <c r="AJ34" s="7">
        <v>0.64444444444444449</v>
      </c>
      <c r="AK34" s="7">
        <v>0.66388888888888886</v>
      </c>
      <c r="AL34" s="20" t="s">
        <v>50</v>
      </c>
      <c r="AM34" s="20" t="str">
        <f>+TEXT(Carro1[[#This Row],[Column1]],"hh:mm")&amp;" | " &amp;TEXT(Carro1[[#This Row],[Hora Fim]],"hh:mm")</f>
        <v>15:15 | 15:56</v>
      </c>
      <c r="AN34" s="20">
        <f>INDEX($E$3:$AA$3,MATCH(Carro1[[#This Row],[Nó]],$E$1:$AA$1,0))</f>
        <v>5</v>
      </c>
      <c r="AO34" s="7">
        <f>+IF(AND(Carro1[[#This Row],[Nó]]=AI33,Carro1[[#This Row],[Nó]]=AI35),AO33,Carro1[[#This Row],[Hora Início]])</f>
        <v>0.63541666666666663</v>
      </c>
      <c r="AP34" s="20">
        <f t="shared" ref="AP34:AP65" si="4">IF(AN34=AN33,IF(AN34&lt;&gt;AN35,IF(AN35&gt;=AN33,1,2),AP33),IF(AN34&gt;=AN33,1,2))</f>
        <v>1</v>
      </c>
      <c r="AQ34" s="20" cm="1">
        <f t="array" ref="AQ34">IFERROR(_xlfn.IFS(AP34=AP33,AQ33,AQ33="Ramo",1),AQ33+1)</f>
        <v>2</v>
      </c>
      <c r="AR34" s="20">
        <f t="shared" ref="AR34:AR65" si="5">IF(AQ34&lt;&gt;AQ33,1,0)</f>
        <v>0</v>
      </c>
      <c r="AS34" s="20" t="str">
        <f>IF(AND(Carro1[[#This Row],[Nó]]=AI35,Carro1[[#This Row],[Nó]]=AI36),"",AQ34&amp;"|"&amp;AN34)</f>
        <v>2|5</v>
      </c>
      <c r="AT34" s="20" t="str">
        <f t="shared" ref="AT34:AT65" si="6">AQ34&amp;"|"&amp;AN34</f>
        <v>2|5</v>
      </c>
      <c r="AU34" s="20" t="str">
        <f>IF(Carro1[[#This Row],[Tipo]]="Início",AQ34&amp;"|"&amp;AN34,"")</f>
        <v/>
      </c>
    </row>
    <row r="35" spans="5:47" x14ac:dyDescent="0.25"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G35" s="20" t="s">
        <v>296</v>
      </c>
      <c r="AH35" s="20" t="s">
        <v>308</v>
      </c>
      <c r="AI35" s="20" t="s">
        <v>29</v>
      </c>
      <c r="AJ35" s="7">
        <v>0.66597222222222219</v>
      </c>
      <c r="AK35" s="7">
        <v>0.66597222222222219</v>
      </c>
      <c r="AL35" s="20" t="s">
        <v>51</v>
      </c>
      <c r="AM35" s="20" t="str">
        <f>+TEXT(Carro1[[#This Row],[Column1]],"hh:mm")&amp;" | " &amp;TEXT(Carro1[[#This Row],[Hora Fim]],"hh:mm")</f>
        <v>15:59 | 15:59</v>
      </c>
      <c r="AN35" s="20">
        <f>INDEX($E$3:$AA$3,MATCH(Carro1[[#This Row],[Nó]],$E$1:$AA$1,0))</f>
        <v>5</v>
      </c>
      <c r="AO35" s="7">
        <f>+IF(AND(Carro1[[#This Row],[Nó]]=AI34,Carro1[[#This Row],[Nó]]=AI36),AO34,Carro1[[#This Row],[Hora Início]])</f>
        <v>0.66597222222222219</v>
      </c>
      <c r="AP35" s="20">
        <f t="shared" si="4"/>
        <v>1</v>
      </c>
      <c r="AQ35" s="20" cm="1">
        <f t="array" ref="AQ35">IFERROR(_xlfn.IFS(AP35=AP34,AQ34,AQ34="Ramo",1),AQ34+1)</f>
        <v>2</v>
      </c>
      <c r="AR35" s="20">
        <f t="shared" si="5"/>
        <v>0</v>
      </c>
      <c r="AS35" s="20" t="str">
        <f>IF(AND(Carro1[[#This Row],[Nó]]=AI36,Carro1[[#This Row],[Nó]]=AI37),"",AQ35&amp;"|"&amp;AN35)</f>
        <v>2|5</v>
      </c>
      <c r="AT35" s="20" t="str">
        <f t="shared" si="6"/>
        <v>2|5</v>
      </c>
      <c r="AU35" s="20" t="str">
        <f>IF(Carro1[[#This Row],[Tipo]]="Início",AQ35&amp;"|"&amp;AN35,"")</f>
        <v/>
      </c>
    </row>
    <row r="36" spans="5:47" x14ac:dyDescent="0.25"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G36" s="20" t="s">
        <v>296</v>
      </c>
      <c r="AH36" s="20" t="s">
        <v>309</v>
      </c>
      <c r="AI36" s="20" t="s">
        <v>31</v>
      </c>
      <c r="AJ36" s="7">
        <v>0.66805555555555551</v>
      </c>
      <c r="AK36" s="7">
        <v>0.6743055555555556</v>
      </c>
      <c r="AL36" s="20" t="s">
        <v>50</v>
      </c>
      <c r="AM36" s="20" t="str">
        <f>+TEXT(Carro1[[#This Row],[Column1]],"hh:mm")&amp;" | " &amp;TEXT(Carro1[[#This Row],[Hora Fim]],"hh:mm")</f>
        <v>16:02 | 16:11</v>
      </c>
      <c r="AN36" s="20">
        <f>INDEX($E$3:$AA$3,MATCH(Carro1[[#This Row],[Nó]],$E$1:$AA$1,0))</f>
        <v>6</v>
      </c>
      <c r="AO36" s="7">
        <f>+IF(AND(Carro1[[#This Row],[Nó]]=AI35,Carro1[[#This Row],[Nó]]=AI37),AO35,Carro1[[#This Row],[Hora Início]])</f>
        <v>0.66805555555555551</v>
      </c>
      <c r="AP36" s="20">
        <f t="shared" si="4"/>
        <v>1</v>
      </c>
      <c r="AQ36" s="20" cm="1">
        <f t="array" ref="AQ36">IFERROR(_xlfn.IFS(AP36=AP35,AQ35,AQ35="Ramo",1),AQ35+1)</f>
        <v>2</v>
      </c>
      <c r="AR36" s="20">
        <f t="shared" si="5"/>
        <v>0</v>
      </c>
      <c r="AS36" s="20" t="str">
        <f>IF(AND(Carro1[[#This Row],[Nó]]=AI37,Carro1[[#This Row],[Nó]]=AI38),"",AQ36&amp;"|"&amp;AN36)</f>
        <v>2|6</v>
      </c>
      <c r="AT36" s="20" t="str">
        <f t="shared" si="6"/>
        <v>2|6</v>
      </c>
      <c r="AU36" s="20" t="str">
        <f>IF(Carro1[[#This Row],[Tipo]]="Início",AQ36&amp;"|"&amp;AN36,"")</f>
        <v/>
      </c>
    </row>
    <row r="37" spans="5:47" x14ac:dyDescent="0.25"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G37" s="20" t="s">
        <v>296</v>
      </c>
      <c r="AH37" s="20" t="s">
        <v>309</v>
      </c>
      <c r="AI37" s="20" t="s">
        <v>31</v>
      </c>
      <c r="AJ37" s="7">
        <v>0.67638888888888893</v>
      </c>
      <c r="AK37" s="7">
        <v>0.67638888888888893</v>
      </c>
      <c r="AL37" s="20" t="s">
        <v>51</v>
      </c>
      <c r="AM37" s="20" t="str">
        <f>+TEXT(Carro1[[#This Row],[Column1]],"hh:mm")&amp;" | " &amp;TEXT(Carro1[[#This Row],[Hora Fim]],"hh:mm")</f>
        <v>16:14 | 16:14</v>
      </c>
      <c r="AN37" s="20">
        <f>INDEX($E$3:$AA$3,MATCH(Carro1[[#This Row],[Nó]],$E$1:$AA$1,0))</f>
        <v>6</v>
      </c>
      <c r="AO37" s="7">
        <f>+IF(AND(Carro1[[#This Row],[Nó]]=AI36,Carro1[[#This Row],[Nó]]=AI38),AO36,Carro1[[#This Row],[Hora Início]])</f>
        <v>0.67638888888888893</v>
      </c>
      <c r="AP37" s="20">
        <f t="shared" si="4"/>
        <v>1</v>
      </c>
      <c r="AQ37" s="20" cm="1">
        <f t="array" ref="AQ37">IFERROR(_xlfn.IFS(AP37=AP36,AQ36,AQ36="Ramo",1),AQ36+1)</f>
        <v>2</v>
      </c>
      <c r="AR37" s="20">
        <f t="shared" si="5"/>
        <v>0</v>
      </c>
      <c r="AS37" s="20" t="str">
        <f>IF(AND(Carro1[[#This Row],[Nó]]=AI38,Carro1[[#This Row],[Nó]]=AI39),"",AQ37&amp;"|"&amp;AN37)</f>
        <v>2|6</v>
      </c>
      <c r="AT37" s="20" t="str">
        <f t="shared" si="6"/>
        <v>2|6</v>
      </c>
      <c r="AU37" s="20" t="str">
        <f>IF(Carro1[[#This Row],[Tipo]]="Início",AQ37&amp;"|"&amp;AN37,"")</f>
        <v/>
      </c>
    </row>
    <row r="38" spans="5:47" x14ac:dyDescent="0.25"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G38" s="20" t="s">
        <v>296</v>
      </c>
      <c r="AH38" s="20" t="s">
        <v>310</v>
      </c>
      <c r="AI38" s="20" t="s">
        <v>33</v>
      </c>
      <c r="AJ38" s="7">
        <v>0.67847222222222225</v>
      </c>
      <c r="AK38" s="7">
        <v>0.67847222222222225</v>
      </c>
      <c r="AL38" s="20" t="s">
        <v>51</v>
      </c>
      <c r="AM38" s="20" t="str">
        <f>+TEXT(Carro1[[#This Row],[Column1]],"hh:mm")&amp;" | " &amp;TEXT(Carro1[[#This Row],[Hora Fim]],"hh:mm")</f>
        <v>16:17 | 16:17</v>
      </c>
      <c r="AN38" s="20">
        <f>INDEX($E$3:$AA$3,MATCH(Carro1[[#This Row],[Nó]],$E$1:$AA$1,0))</f>
        <v>7</v>
      </c>
      <c r="AO38" s="7">
        <f>+IF(AND(Carro1[[#This Row],[Nó]]=AI37,Carro1[[#This Row],[Nó]]=AI39),AO37,Carro1[[#This Row],[Hora Início]])</f>
        <v>0.67847222222222225</v>
      </c>
      <c r="AP38" s="20">
        <f t="shared" si="4"/>
        <v>1</v>
      </c>
      <c r="AQ38" s="20" cm="1">
        <f t="array" ref="AQ38">IFERROR(_xlfn.IFS(AP38=AP37,AQ37,AQ37="Ramo",1),AQ37+1)</f>
        <v>2</v>
      </c>
      <c r="AR38" s="20">
        <f t="shared" si="5"/>
        <v>0</v>
      </c>
      <c r="AS38" s="20" t="str">
        <f>IF(AND(Carro1[[#This Row],[Nó]]=AI39,Carro1[[#This Row],[Nó]]=AI40),"",AQ38&amp;"|"&amp;AN38)</f>
        <v>2|7</v>
      </c>
      <c r="AT38" s="20" t="str">
        <f t="shared" si="6"/>
        <v>2|7</v>
      </c>
      <c r="AU38" s="20" t="str">
        <f>IF(Carro1[[#This Row],[Tipo]]="Início",AQ38&amp;"|"&amp;AN38,"")</f>
        <v/>
      </c>
    </row>
    <row r="39" spans="5:47" x14ac:dyDescent="0.25"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G39" s="20" t="s">
        <v>296</v>
      </c>
      <c r="AH39" s="20" t="s">
        <v>310</v>
      </c>
      <c r="AI39" s="20" t="s">
        <v>33</v>
      </c>
      <c r="AJ39" s="7">
        <v>0.67847222222222225</v>
      </c>
      <c r="AK39" s="7">
        <v>0.67847222222222225</v>
      </c>
      <c r="AL39" s="20" t="s">
        <v>51</v>
      </c>
      <c r="AM39" s="20" t="str">
        <f>+TEXT(Carro1[[#This Row],[Column1]],"hh:mm")&amp;" | " &amp;TEXT(Carro1[[#This Row],[Hora Fim]],"hh:mm")</f>
        <v>16:17 | 16:17</v>
      </c>
      <c r="AN39" s="20">
        <f>INDEX($E$3:$AA$3,MATCH(Carro1[[#This Row],[Nó]],$E$1:$AA$1,0))</f>
        <v>7</v>
      </c>
      <c r="AO39" s="7">
        <f>+IF(AND(Carro1[[#This Row],[Nó]]=AI38,Carro1[[#This Row],[Nó]]=AI40),AO38,Carro1[[#This Row],[Hora Início]])</f>
        <v>0.67847222222222225</v>
      </c>
      <c r="AP39" s="20">
        <f t="shared" si="4"/>
        <v>2</v>
      </c>
      <c r="AQ39" s="20" cm="1">
        <f t="array" ref="AQ39">IFERROR(_xlfn.IFS(AP39=AP38,AQ38,AQ38="Ramo",1),AQ38+1)</f>
        <v>3</v>
      </c>
      <c r="AR39" s="20">
        <f t="shared" si="5"/>
        <v>1</v>
      </c>
      <c r="AS39" s="20" t="str">
        <f>IF(AND(Carro1[[#This Row],[Nó]]=AI40,Carro1[[#This Row],[Nó]]=AI41),"",AQ39&amp;"|"&amp;AN39)</f>
        <v>3|7</v>
      </c>
      <c r="AT39" s="20" t="str">
        <f t="shared" si="6"/>
        <v>3|7</v>
      </c>
      <c r="AU39" s="20" t="str">
        <f>IF(Carro1[[#This Row],[Tipo]]="Início",AQ39&amp;"|"&amp;AN39,"")</f>
        <v/>
      </c>
    </row>
    <row r="40" spans="5:47" x14ac:dyDescent="0.25"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G40" s="20" t="s">
        <v>296</v>
      </c>
      <c r="AH40" s="20" t="s">
        <v>309</v>
      </c>
      <c r="AI40" s="20" t="s">
        <v>31</v>
      </c>
      <c r="AJ40" s="7">
        <v>0.68055555555555558</v>
      </c>
      <c r="AK40" s="7">
        <v>0.68055555555555558</v>
      </c>
      <c r="AL40" s="20" t="s">
        <v>51</v>
      </c>
      <c r="AM40" s="20" t="str">
        <f>+TEXT(Carro1[[#This Row],[Column1]],"hh:mm")&amp;" | " &amp;TEXT(Carro1[[#This Row],[Hora Fim]],"hh:mm")</f>
        <v>16:20 | 16:20</v>
      </c>
      <c r="AN40" s="20">
        <f>INDEX($E$3:$AA$3,MATCH(Carro1[[#This Row],[Nó]],$E$1:$AA$1,0))</f>
        <v>6</v>
      </c>
      <c r="AO40" s="7">
        <f>+IF(AND(Carro1[[#This Row],[Nó]]=AI39,Carro1[[#This Row],[Nó]]=AI41),AO39,Carro1[[#This Row],[Hora Início]])</f>
        <v>0.68055555555555558</v>
      </c>
      <c r="AP40" s="20">
        <f t="shared" si="4"/>
        <v>2</v>
      </c>
      <c r="AQ40" s="20" cm="1">
        <f t="array" ref="AQ40">IFERROR(_xlfn.IFS(AP40=AP39,AQ39,AQ39="Ramo",1),AQ39+1)</f>
        <v>3</v>
      </c>
      <c r="AR40" s="20">
        <f t="shared" si="5"/>
        <v>0</v>
      </c>
      <c r="AS40" s="20" t="str">
        <f>IF(AND(Carro1[[#This Row],[Nó]]=AI41,Carro1[[#This Row],[Nó]]=AI42),"",AQ40&amp;"|"&amp;AN40)</f>
        <v>3|6</v>
      </c>
      <c r="AT40" s="20" t="str">
        <f t="shared" si="6"/>
        <v>3|6</v>
      </c>
      <c r="AU40" s="20" t="str">
        <f>IF(Carro1[[#This Row],[Tipo]]="Início",AQ40&amp;"|"&amp;AN40,"")</f>
        <v/>
      </c>
    </row>
    <row r="41" spans="5:47" x14ac:dyDescent="0.25"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G41" s="20" t="s">
        <v>296</v>
      </c>
      <c r="AH41" s="20" t="s">
        <v>308</v>
      </c>
      <c r="AI41" s="20" t="s">
        <v>29</v>
      </c>
      <c r="AJ41" s="7">
        <v>0.68263888888888891</v>
      </c>
      <c r="AK41" s="7">
        <v>0.68263888888888891</v>
      </c>
      <c r="AL41" s="20" t="s">
        <v>51</v>
      </c>
      <c r="AM41" s="20" t="str">
        <f>+TEXT(Carro1[[#This Row],[Column1]],"hh:mm")&amp;" | " &amp;TEXT(Carro1[[#This Row],[Hora Fim]],"hh:mm")</f>
        <v>16:23 | 16:23</v>
      </c>
      <c r="AN41" s="20">
        <f>INDEX($E$3:$AA$3,MATCH(Carro1[[#This Row],[Nó]],$E$1:$AA$1,0))</f>
        <v>5</v>
      </c>
      <c r="AO41" s="7">
        <f>+IF(AND(Carro1[[#This Row],[Nó]]=AI40,Carro1[[#This Row],[Nó]]=AI42),AO40,Carro1[[#This Row],[Hora Início]])</f>
        <v>0.68263888888888891</v>
      </c>
      <c r="AP41" s="20">
        <f t="shared" si="4"/>
        <v>2</v>
      </c>
      <c r="AQ41" s="20" cm="1">
        <f t="array" ref="AQ41">IFERROR(_xlfn.IFS(AP41=AP40,AQ40,AQ40="Ramo",1),AQ40+1)</f>
        <v>3</v>
      </c>
      <c r="AR41" s="20">
        <f t="shared" si="5"/>
        <v>0</v>
      </c>
      <c r="AS41" s="20" t="str">
        <f>IF(AND(Carro1[[#This Row],[Nó]]=AI42,Carro1[[#This Row],[Nó]]=AI43),"",AQ41&amp;"|"&amp;AN41)</f>
        <v>3|5</v>
      </c>
      <c r="AT41" s="20" t="str">
        <f t="shared" si="6"/>
        <v>3|5</v>
      </c>
      <c r="AU41" s="20" t="str">
        <f>IF(Carro1[[#This Row],[Tipo]]="Início",AQ41&amp;"|"&amp;AN41,"")</f>
        <v/>
      </c>
    </row>
    <row r="42" spans="5:47" x14ac:dyDescent="0.25"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G42" s="20" t="s">
        <v>296</v>
      </c>
      <c r="AH42" s="20" t="s">
        <v>301</v>
      </c>
      <c r="AI42" s="20" t="s">
        <v>27</v>
      </c>
      <c r="AJ42" s="7">
        <v>0.68472222222222223</v>
      </c>
      <c r="AK42" s="7">
        <v>0.68472222222222223</v>
      </c>
      <c r="AL42" s="20" t="s">
        <v>51</v>
      </c>
      <c r="AM42" s="20" t="str">
        <f>+TEXT(Carro1[[#This Row],[Column1]],"hh:mm")&amp;" | " &amp;TEXT(Carro1[[#This Row],[Hora Fim]],"hh:mm")</f>
        <v>16:26 | 16:26</v>
      </c>
      <c r="AN42" s="20">
        <f>INDEX($E$3:$AA$3,MATCH(Carro1[[#This Row],[Nó]],$E$1:$AA$1,0))</f>
        <v>4</v>
      </c>
      <c r="AO42" s="7">
        <f>+IF(AND(Carro1[[#This Row],[Nó]]=AI41,Carro1[[#This Row],[Nó]]=AI43),AO41,Carro1[[#This Row],[Hora Início]])</f>
        <v>0.68472222222222223</v>
      </c>
      <c r="AP42" s="20">
        <f t="shared" si="4"/>
        <v>2</v>
      </c>
      <c r="AQ42" s="20" cm="1">
        <f t="array" ref="AQ42">IFERROR(_xlfn.IFS(AP42=AP41,AQ41,AQ41="Ramo",1),AQ41+1)</f>
        <v>3</v>
      </c>
      <c r="AR42" s="20">
        <f t="shared" si="5"/>
        <v>0</v>
      </c>
      <c r="AS42" s="20" t="str">
        <f>IF(AND(Carro1[[#This Row],[Nó]]=AI43,Carro1[[#This Row],[Nó]]=AI44),"",AQ42&amp;"|"&amp;AN42)</f>
        <v>3|4</v>
      </c>
      <c r="AT42" s="20" t="str">
        <f t="shared" si="6"/>
        <v>3|4</v>
      </c>
      <c r="AU42" s="20" t="str">
        <f>IF(Carro1[[#This Row],[Tipo]]="Início",AQ42&amp;"|"&amp;AN42,"")</f>
        <v/>
      </c>
    </row>
    <row r="43" spans="5:47" x14ac:dyDescent="0.25">
      <c r="E43" s="7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G43" s="20" t="s">
        <v>296</v>
      </c>
      <c r="AH43" s="20" t="s">
        <v>300</v>
      </c>
      <c r="AI43" s="20" t="s">
        <v>26</v>
      </c>
      <c r="AJ43" s="7">
        <v>0.68541666666666667</v>
      </c>
      <c r="AK43" s="7">
        <v>0.68541666666666667</v>
      </c>
      <c r="AL43" s="20" t="s">
        <v>51</v>
      </c>
      <c r="AM43" s="20" t="str">
        <f>+TEXT(Carro1[[#This Row],[Column1]],"hh:mm")&amp;" | " &amp;TEXT(Carro1[[#This Row],[Hora Fim]],"hh:mm")</f>
        <v>16:27 | 16:27</v>
      </c>
      <c r="AN43" s="20">
        <f>INDEX($E$3:$AA$3,MATCH(Carro1[[#This Row],[Nó]],$E$1:$AA$1,0))</f>
        <v>3</v>
      </c>
      <c r="AO43" s="7">
        <f>+IF(AND(Carro1[[#This Row],[Nó]]=AI42,Carro1[[#This Row],[Nó]]=AI44),AO42,Carro1[[#This Row],[Hora Início]])</f>
        <v>0.68541666666666667</v>
      </c>
      <c r="AP43" s="20">
        <f t="shared" si="4"/>
        <v>2</v>
      </c>
      <c r="AQ43" s="20" cm="1">
        <f t="array" ref="AQ43">IFERROR(_xlfn.IFS(AP43=AP42,AQ42,AQ42="Ramo",1),AQ42+1)</f>
        <v>3</v>
      </c>
      <c r="AR43" s="20">
        <f t="shared" si="5"/>
        <v>0</v>
      </c>
      <c r="AS43" s="20" t="str">
        <f>IF(AND(Carro1[[#This Row],[Nó]]=AI44,Carro1[[#This Row],[Nó]]=AI45),"",AQ43&amp;"|"&amp;AN43)</f>
        <v>3|3</v>
      </c>
      <c r="AT43" s="20" t="str">
        <f t="shared" si="6"/>
        <v>3|3</v>
      </c>
      <c r="AU43" s="20" t="str">
        <f>IF(Carro1[[#This Row],[Tipo]]="Início",AQ43&amp;"|"&amp;AN43,"")</f>
        <v/>
      </c>
    </row>
    <row r="44" spans="5:47" x14ac:dyDescent="0.25"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G44" s="20" t="s">
        <v>296</v>
      </c>
      <c r="AH44" s="20" t="s">
        <v>299</v>
      </c>
      <c r="AI44" s="20" t="s">
        <v>24</v>
      </c>
      <c r="AJ44" s="7">
        <v>0.68611111111111112</v>
      </c>
      <c r="AK44" s="7">
        <v>0.68611111111111112</v>
      </c>
      <c r="AL44" s="20" t="s">
        <v>51</v>
      </c>
      <c r="AM44" s="20" t="str">
        <f>+TEXT(Carro1[[#This Row],[Column1]],"hh:mm")&amp;" | " &amp;TEXT(Carro1[[#This Row],[Hora Fim]],"hh:mm")</f>
        <v>16:28 | 16:28</v>
      </c>
      <c r="AN44" s="20">
        <f>INDEX($E$3:$AA$3,MATCH(Carro1[[#This Row],[Nó]],$E$1:$AA$1,0))</f>
        <v>2</v>
      </c>
      <c r="AO44" s="7">
        <f>+IF(AND(Carro1[[#This Row],[Nó]]=AI43,Carro1[[#This Row],[Nó]]=AI45),AO43,Carro1[[#This Row],[Hora Início]])</f>
        <v>0.68611111111111112</v>
      </c>
      <c r="AP44" s="20">
        <f t="shared" si="4"/>
        <v>2</v>
      </c>
      <c r="AQ44" s="20" cm="1">
        <f t="array" ref="AQ44">IFERROR(_xlfn.IFS(AP44=AP43,AQ43,AQ43="Ramo",1),AQ43+1)</f>
        <v>3</v>
      </c>
      <c r="AR44" s="20">
        <f t="shared" si="5"/>
        <v>0</v>
      </c>
      <c r="AS44" s="20" t="str">
        <f>IF(AND(Carro1[[#This Row],[Nó]]=AI45,Carro1[[#This Row],[Nó]]=AI46),"",AQ44&amp;"|"&amp;AN44)</f>
        <v>3|2</v>
      </c>
      <c r="AT44" s="20" t="str">
        <f t="shared" si="6"/>
        <v>3|2</v>
      </c>
      <c r="AU44" s="20" t="str">
        <f>IF(Carro1[[#This Row],[Tipo]]="Início",AQ44&amp;"|"&amp;AN44,"")</f>
        <v/>
      </c>
    </row>
    <row r="45" spans="5:47" x14ac:dyDescent="0.25"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G45" s="20" t="s">
        <v>296</v>
      </c>
      <c r="AH45" s="20" t="s">
        <v>298</v>
      </c>
      <c r="AI45" s="20" t="s">
        <v>22</v>
      </c>
      <c r="AJ45" s="7">
        <v>0.69097222222222221</v>
      </c>
      <c r="AK45" s="7">
        <v>0.69097222222222221</v>
      </c>
      <c r="AL45" s="20" t="s">
        <v>51</v>
      </c>
      <c r="AM45" s="20" t="str">
        <f>+TEXT(Carro1[[#This Row],[Column1]],"hh:mm")&amp;" | " &amp;TEXT(Carro1[[#This Row],[Hora Fim]],"hh:mm")</f>
        <v>16:35 | 16:35</v>
      </c>
      <c r="AN45" s="20">
        <f>INDEX($E$3:$AA$3,MATCH(Carro1[[#This Row],[Nó]],$E$1:$AA$1,0))</f>
        <v>1</v>
      </c>
      <c r="AO45" s="7">
        <f>+IF(AND(Carro1[[#This Row],[Nó]]=AI44,Carro1[[#This Row],[Nó]]=AI46),AO44,Carro1[[#This Row],[Hora Início]])</f>
        <v>0.69097222222222221</v>
      </c>
      <c r="AP45" s="20">
        <f t="shared" si="4"/>
        <v>2</v>
      </c>
      <c r="AQ45" s="20" cm="1">
        <f t="array" ref="AQ45">IFERROR(_xlfn.IFS(AP45=AP44,AQ44,AQ44="Ramo",1),AQ44+1)</f>
        <v>3</v>
      </c>
      <c r="AR45" s="20">
        <f t="shared" si="5"/>
        <v>0</v>
      </c>
      <c r="AS45" s="20" t="str">
        <f>IF(AND(Carro1[[#This Row],[Nó]]=AI46,Carro1[[#This Row],[Nó]]=AI47),"",AQ45&amp;"|"&amp;AN45)</f>
        <v>3|1</v>
      </c>
      <c r="AT45" s="20" t="str">
        <f t="shared" si="6"/>
        <v>3|1</v>
      </c>
      <c r="AU45" s="20" t="str">
        <f>IF(Carro1[[#This Row],[Tipo]]="Início",AQ45&amp;"|"&amp;AN45,"")</f>
        <v/>
      </c>
    </row>
    <row r="46" spans="5:47" x14ac:dyDescent="0.25"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G46" s="20" t="s">
        <v>296</v>
      </c>
      <c r="AH46" s="20" t="s">
        <v>296</v>
      </c>
      <c r="AI46" s="20" t="s">
        <v>20</v>
      </c>
      <c r="AJ46" s="7">
        <v>0.69166666666666665</v>
      </c>
      <c r="AK46" s="7">
        <v>0.69166666666666665</v>
      </c>
      <c r="AL46" s="20" t="s">
        <v>51</v>
      </c>
      <c r="AM46" s="20" t="str">
        <f>+TEXT(Carro1[[#This Row],[Column1]],"hh:mm")&amp;" | " &amp;TEXT(Carro1[[#This Row],[Hora Fim]],"hh:mm")</f>
        <v>16:36 | 16:36</v>
      </c>
      <c r="AN46" s="20">
        <f>INDEX($E$3:$AA$3,MATCH(Carro1[[#This Row],[Nó]],$E$1:$AA$1,0))</f>
        <v>0</v>
      </c>
      <c r="AO46" s="7">
        <f>+IF(AND(Carro1[[#This Row],[Nó]]=AI45,Carro1[[#This Row],[Nó]]=AI47),AO45,Carro1[[#This Row],[Hora Início]])</f>
        <v>0.69166666666666665</v>
      </c>
      <c r="AP46" s="20">
        <f t="shared" si="4"/>
        <v>2</v>
      </c>
      <c r="AQ46" s="20" cm="1">
        <f t="array" ref="AQ46">IFERROR(_xlfn.IFS(AP46=AP45,AQ45,AQ45="Ramo",1),AQ45+1)</f>
        <v>3</v>
      </c>
      <c r="AR46" s="20">
        <f t="shared" si="5"/>
        <v>0</v>
      </c>
      <c r="AS46" s="20" t="str">
        <f>IF(AND(Carro1[[#This Row],[Nó]]=AI47,Carro1[[#This Row],[Nó]]=AI48),"",AQ46&amp;"|"&amp;AN46)</f>
        <v>3|0</v>
      </c>
      <c r="AT46" s="20" t="str">
        <f t="shared" si="6"/>
        <v>3|0</v>
      </c>
      <c r="AU46" s="20" t="str">
        <f>IF(Carro1[[#This Row],[Tipo]]="Início",AQ46&amp;"|"&amp;AN46,"")</f>
        <v/>
      </c>
    </row>
    <row r="47" spans="5:47" x14ac:dyDescent="0.25"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G47" s="20" t="s">
        <v>296</v>
      </c>
      <c r="AH47" s="20" t="s">
        <v>296</v>
      </c>
      <c r="AI47" s="20" t="s">
        <v>20</v>
      </c>
      <c r="AJ47" s="7">
        <v>0.69166666666666665</v>
      </c>
      <c r="AK47" s="7">
        <v>0.69166666666666665</v>
      </c>
      <c r="AL47" s="20" t="s">
        <v>51</v>
      </c>
      <c r="AM47" s="20" t="str">
        <f>+TEXT(Carro1[[#This Row],[Column1]],"hh:mm")&amp;" | " &amp;TEXT(Carro1[[#This Row],[Hora Fim]],"hh:mm")</f>
        <v>16:36 | 16:36</v>
      </c>
      <c r="AN47" s="20">
        <f>INDEX($E$3:$AA$3,MATCH(Carro1[[#This Row],[Nó]],$E$1:$AA$1,0))</f>
        <v>0</v>
      </c>
      <c r="AO47" s="7">
        <f>+IF(AND(Carro1[[#This Row],[Nó]]=AI46,Carro1[[#This Row],[Nó]]=AI48),AO46,Carro1[[#This Row],[Hora Início]])</f>
        <v>0.69166666666666665</v>
      </c>
      <c r="AP47" s="20">
        <f t="shared" si="4"/>
        <v>1</v>
      </c>
      <c r="AQ47" s="20" cm="1">
        <f t="array" ref="AQ47">IFERROR(_xlfn.IFS(AP47=AP46,AQ46,AQ46="Ramo",1),AQ46+1)</f>
        <v>4</v>
      </c>
      <c r="AR47" s="20">
        <f t="shared" si="5"/>
        <v>1</v>
      </c>
      <c r="AS47" s="20" t="str">
        <f>IF(AND(Carro1[[#This Row],[Nó]]=AI48,Carro1[[#This Row],[Nó]]=AI49),"",AQ47&amp;"|"&amp;AN47)</f>
        <v>4|0</v>
      </c>
      <c r="AT47" s="20" t="str">
        <f t="shared" si="6"/>
        <v>4|0</v>
      </c>
      <c r="AU47" s="20" t="str">
        <f>IF(Carro1[[#This Row],[Tipo]]="Início",AQ47&amp;"|"&amp;AN47,"")</f>
        <v/>
      </c>
    </row>
    <row r="48" spans="5:47" x14ac:dyDescent="0.25"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G48" s="20" t="s">
        <v>296</v>
      </c>
      <c r="AH48" s="20" t="s">
        <v>298</v>
      </c>
      <c r="AI48" s="20" t="s">
        <v>22</v>
      </c>
      <c r="AJ48" s="7">
        <v>0.69236111111111109</v>
      </c>
      <c r="AK48" s="7">
        <v>0.69236111111111109</v>
      </c>
      <c r="AL48" s="20" t="s">
        <v>51</v>
      </c>
      <c r="AM48" s="20" t="str">
        <f>+TEXT(Carro1[[#This Row],[Column1]],"hh:mm")&amp;" | " &amp;TEXT(Carro1[[#This Row],[Hora Fim]],"hh:mm")</f>
        <v>16:37 | 16:37</v>
      </c>
      <c r="AN48" s="20">
        <f>INDEX($E$3:$AA$3,MATCH(Carro1[[#This Row],[Nó]],$E$1:$AA$1,0))</f>
        <v>1</v>
      </c>
      <c r="AO48" s="7">
        <f>+IF(AND(Carro1[[#This Row],[Nó]]=AI47,Carro1[[#This Row],[Nó]]=AI49),AO47,Carro1[[#This Row],[Hora Início]])</f>
        <v>0.69236111111111109</v>
      </c>
      <c r="AP48" s="20">
        <f t="shared" si="4"/>
        <v>1</v>
      </c>
      <c r="AQ48" s="20" cm="1">
        <f t="array" ref="AQ48">IFERROR(_xlfn.IFS(AP48=AP47,AQ47,AQ47="Ramo",1),AQ47+1)</f>
        <v>4</v>
      </c>
      <c r="AR48" s="20">
        <f t="shared" si="5"/>
        <v>0</v>
      </c>
      <c r="AS48" s="20" t="str">
        <f>IF(AND(Carro1[[#This Row],[Nó]]=AI49,Carro1[[#This Row],[Nó]]=AI50),"",AQ48&amp;"|"&amp;AN48)</f>
        <v>4|1</v>
      </c>
      <c r="AT48" s="20" t="str">
        <f t="shared" si="6"/>
        <v>4|1</v>
      </c>
      <c r="AU48" s="20" t="str">
        <f>IF(Carro1[[#This Row],[Tipo]]="Início",AQ48&amp;"|"&amp;AN48,"")</f>
        <v/>
      </c>
    </row>
    <row r="49" spans="8:47" x14ac:dyDescent="0.25"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G49" s="20" t="s">
        <v>296</v>
      </c>
      <c r="AH49" s="20" t="s">
        <v>299</v>
      </c>
      <c r="AI49" s="20" t="s">
        <v>24</v>
      </c>
      <c r="AJ49" s="7">
        <v>0.69722222222222219</v>
      </c>
      <c r="AK49" s="7">
        <v>0.69722222222222219</v>
      </c>
      <c r="AL49" s="20" t="s">
        <v>51</v>
      </c>
      <c r="AM49" s="20" t="str">
        <f>+TEXT(Carro1[[#This Row],[Column1]],"hh:mm")&amp;" | " &amp;TEXT(Carro1[[#This Row],[Hora Fim]],"hh:mm")</f>
        <v>16:44 | 16:44</v>
      </c>
      <c r="AN49" s="20">
        <f>INDEX($E$3:$AA$3,MATCH(Carro1[[#This Row],[Nó]],$E$1:$AA$1,0))</f>
        <v>2</v>
      </c>
      <c r="AO49" s="7">
        <f>+IF(AND(Carro1[[#This Row],[Nó]]=AI48,Carro1[[#This Row],[Nó]]=AI50),AO48,Carro1[[#This Row],[Hora Início]])</f>
        <v>0.69722222222222219</v>
      </c>
      <c r="AP49" s="20">
        <f t="shared" si="4"/>
        <v>1</v>
      </c>
      <c r="AQ49" s="20" cm="1">
        <f t="array" ref="AQ49">IFERROR(_xlfn.IFS(AP49=AP48,AQ48,AQ48="Ramo",1),AQ48+1)</f>
        <v>4</v>
      </c>
      <c r="AR49" s="20">
        <f t="shared" si="5"/>
        <v>0</v>
      </c>
      <c r="AS49" s="20" t="str">
        <f>IF(AND(Carro1[[#This Row],[Nó]]=AI50,Carro1[[#This Row],[Nó]]=AI51),"",AQ49&amp;"|"&amp;AN49)</f>
        <v>4|2</v>
      </c>
      <c r="AT49" s="20" t="str">
        <f t="shared" si="6"/>
        <v>4|2</v>
      </c>
      <c r="AU49" s="20" t="str">
        <f>IF(Carro1[[#This Row],[Tipo]]="Início",AQ49&amp;"|"&amp;AN49,"")</f>
        <v/>
      </c>
    </row>
    <row r="50" spans="8:47" x14ac:dyDescent="0.25"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G50" s="20" t="s">
        <v>296</v>
      </c>
      <c r="AH50" s="20" t="s">
        <v>300</v>
      </c>
      <c r="AI50" s="20" t="s">
        <v>26</v>
      </c>
      <c r="AJ50" s="7">
        <v>0.69791666666666663</v>
      </c>
      <c r="AK50" s="7">
        <v>0.69791666666666663</v>
      </c>
      <c r="AL50" s="20" t="s">
        <v>51</v>
      </c>
      <c r="AM50" s="20" t="str">
        <f>+TEXT(Carro1[[#This Row],[Column1]],"hh:mm")&amp;" | " &amp;TEXT(Carro1[[#This Row],[Hora Fim]],"hh:mm")</f>
        <v>16:45 | 16:45</v>
      </c>
      <c r="AN50" s="20">
        <f>INDEX($E$3:$AA$3,MATCH(Carro1[[#This Row],[Nó]],$E$1:$AA$1,0))</f>
        <v>3</v>
      </c>
      <c r="AO50" s="7">
        <f>+IF(AND(Carro1[[#This Row],[Nó]]=AI49,Carro1[[#This Row],[Nó]]=AI51),AO49,Carro1[[#This Row],[Hora Início]])</f>
        <v>0.69791666666666663</v>
      </c>
      <c r="AP50" s="20">
        <f t="shared" si="4"/>
        <v>1</v>
      </c>
      <c r="AQ50" s="20" cm="1">
        <f t="array" ref="AQ50">IFERROR(_xlfn.IFS(AP50=AP49,AQ49,AQ49="Ramo",1),AQ49+1)</f>
        <v>4</v>
      </c>
      <c r="AR50" s="20">
        <f t="shared" si="5"/>
        <v>0</v>
      </c>
      <c r="AS50" s="20" t="str">
        <f>IF(AND(Carro1[[#This Row],[Nó]]=AI51,Carro1[[#This Row],[Nó]]=AI52),"",AQ50&amp;"|"&amp;AN50)</f>
        <v>4|3</v>
      </c>
      <c r="AT50" s="20" t="str">
        <f t="shared" si="6"/>
        <v>4|3</v>
      </c>
      <c r="AU50" s="20" t="str">
        <f>IF(Carro1[[#This Row],[Tipo]]="Início",AQ50&amp;"|"&amp;AN50,"")</f>
        <v/>
      </c>
    </row>
    <row r="51" spans="8:47" x14ac:dyDescent="0.25"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G51" s="20" t="s">
        <v>296</v>
      </c>
      <c r="AH51" s="20" t="s">
        <v>301</v>
      </c>
      <c r="AI51" s="20" t="s">
        <v>27</v>
      </c>
      <c r="AJ51" s="7">
        <v>0.69861111111111107</v>
      </c>
      <c r="AK51" s="7">
        <v>0.69861111111111107</v>
      </c>
      <c r="AL51" s="20" t="s">
        <v>51</v>
      </c>
      <c r="AM51" s="20" t="str">
        <f>+TEXT(Carro1[[#This Row],[Column1]],"hh:mm")&amp;" | " &amp;TEXT(Carro1[[#This Row],[Hora Fim]],"hh:mm")</f>
        <v>16:46 | 16:46</v>
      </c>
      <c r="AN51" s="20">
        <f>INDEX($E$3:$AA$3,MATCH(Carro1[[#This Row],[Nó]],$E$1:$AA$1,0))</f>
        <v>4</v>
      </c>
      <c r="AO51" s="7">
        <f>+IF(AND(Carro1[[#This Row],[Nó]]=AI50,Carro1[[#This Row],[Nó]]=AI52),AO50,Carro1[[#This Row],[Hora Início]])</f>
        <v>0.69861111111111107</v>
      </c>
      <c r="AP51" s="20">
        <f t="shared" si="4"/>
        <v>1</v>
      </c>
      <c r="AQ51" s="20" cm="1">
        <f t="array" ref="AQ51">IFERROR(_xlfn.IFS(AP51=AP50,AQ50,AQ50="Ramo",1),AQ50+1)</f>
        <v>4</v>
      </c>
      <c r="AR51" s="20">
        <f t="shared" si="5"/>
        <v>0</v>
      </c>
      <c r="AS51" s="20" t="str">
        <f>IF(AND(Carro1[[#This Row],[Nó]]=AI52,Carro1[[#This Row],[Nó]]=AI53),"",AQ51&amp;"|"&amp;AN51)</f>
        <v>4|4</v>
      </c>
      <c r="AT51" s="20" t="str">
        <f t="shared" si="6"/>
        <v>4|4</v>
      </c>
      <c r="AU51" s="20" t="str">
        <f>IF(Carro1[[#This Row],[Tipo]]="Início",AQ51&amp;"|"&amp;AN51,"")</f>
        <v/>
      </c>
    </row>
    <row r="52" spans="8:47" x14ac:dyDescent="0.25"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G52" s="20" t="s">
        <v>296</v>
      </c>
      <c r="AH52" s="20" t="s">
        <v>308</v>
      </c>
      <c r="AI52" s="20" t="s">
        <v>29</v>
      </c>
      <c r="AJ52" s="7">
        <v>0.7006944444444444</v>
      </c>
      <c r="AK52" s="7">
        <v>0.7006944444444444</v>
      </c>
      <c r="AL52" s="20" t="s">
        <v>51</v>
      </c>
      <c r="AM52" s="20" t="str">
        <f>+TEXT(Carro1[[#This Row],[Column1]],"hh:mm")&amp;" | " &amp;TEXT(Carro1[[#This Row],[Hora Fim]],"hh:mm")</f>
        <v>16:49 | 16:49</v>
      </c>
      <c r="AN52" s="20">
        <f>INDEX($E$3:$AA$3,MATCH(Carro1[[#This Row],[Nó]],$E$1:$AA$1,0))</f>
        <v>5</v>
      </c>
      <c r="AO52" s="7">
        <f>+IF(AND(Carro1[[#This Row],[Nó]]=AI51,Carro1[[#This Row],[Nó]]=AI53),AO51,Carro1[[#This Row],[Hora Início]])</f>
        <v>0.7006944444444444</v>
      </c>
      <c r="AP52" s="20">
        <f t="shared" si="4"/>
        <v>1</v>
      </c>
      <c r="AQ52" s="20" cm="1">
        <f t="array" ref="AQ52">IFERROR(_xlfn.IFS(AP52=AP51,AQ51,AQ51="Ramo",1),AQ51+1)</f>
        <v>4</v>
      </c>
      <c r="AR52" s="20">
        <f t="shared" si="5"/>
        <v>0</v>
      </c>
      <c r="AS52" s="20" t="str">
        <f>IF(AND(Carro1[[#This Row],[Nó]]=AI53,Carro1[[#This Row],[Nó]]=AI54),"",AQ52&amp;"|"&amp;AN52)</f>
        <v>4|5</v>
      </c>
      <c r="AT52" s="20" t="str">
        <f t="shared" si="6"/>
        <v>4|5</v>
      </c>
      <c r="AU52" s="20" t="str">
        <f>IF(Carro1[[#This Row],[Tipo]]="Início",AQ52&amp;"|"&amp;AN52,"")</f>
        <v/>
      </c>
    </row>
    <row r="53" spans="8:47" x14ac:dyDescent="0.25"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G53" s="20" t="s">
        <v>296</v>
      </c>
      <c r="AH53" s="20" t="s">
        <v>309</v>
      </c>
      <c r="AI53" s="20" t="s">
        <v>31</v>
      </c>
      <c r="AJ53" s="7">
        <v>0.70277777777777772</v>
      </c>
      <c r="AK53" s="7">
        <v>0.70277777777777772</v>
      </c>
      <c r="AL53" s="20" t="s">
        <v>51</v>
      </c>
      <c r="AM53" s="20" t="str">
        <f>+TEXT(Carro1[[#This Row],[Column1]],"hh:mm")&amp;" | " &amp;TEXT(Carro1[[#This Row],[Hora Fim]],"hh:mm")</f>
        <v>16:52 | 16:52</v>
      </c>
      <c r="AN53" s="20">
        <f>INDEX($E$3:$AA$3,MATCH(Carro1[[#This Row],[Nó]],$E$1:$AA$1,0))</f>
        <v>6</v>
      </c>
      <c r="AO53" s="7">
        <f>+IF(AND(Carro1[[#This Row],[Nó]]=AI52,Carro1[[#This Row],[Nó]]=AI54),AO52,Carro1[[#This Row],[Hora Início]])</f>
        <v>0.70277777777777772</v>
      </c>
      <c r="AP53" s="20">
        <f t="shared" si="4"/>
        <v>1</v>
      </c>
      <c r="AQ53" s="20" cm="1">
        <f t="array" ref="AQ53">IFERROR(_xlfn.IFS(AP53=AP52,AQ52,AQ52="Ramo",1),AQ52+1)</f>
        <v>4</v>
      </c>
      <c r="AR53" s="20">
        <f t="shared" si="5"/>
        <v>0</v>
      </c>
      <c r="AS53" s="20" t="str">
        <f>IF(AND(Carro1[[#This Row],[Nó]]=AI54,Carro1[[#This Row],[Nó]]=AI55),"",AQ53&amp;"|"&amp;AN53)</f>
        <v>4|6</v>
      </c>
      <c r="AT53" s="20" t="str">
        <f t="shared" si="6"/>
        <v>4|6</v>
      </c>
      <c r="AU53" s="20" t="str">
        <f>IF(Carro1[[#This Row],[Tipo]]="Início",AQ53&amp;"|"&amp;AN53,"")</f>
        <v/>
      </c>
    </row>
    <row r="54" spans="8:47" x14ac:dyDescent="0.25"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G54" s="20" t="s">
        <v>296</v>
      </c>
      <c r="AH54" s="20" t="s">
        <v>310</v>
      </c>
      <c r="AI54" s="20" t="s">
        <v>33</v>
      </c>
      <c r="AJ54" s="7">
        <v>0.70486111111111116</v>
      </c>
      <c r="AK54" s="7">
        <v>0.70486111111111116</v>
      </c>
      <c r="AL54" s="20" t="s">
        <v>51</v>
      </c>
      <c r="AM54" s="20" t="str">
        <f>+TEXT(Carro1[[#This Row],[Column1]],"hh:mm")&amp;" | " &amp;TEXT(Carro1[[#This Row],[Hora Fim]],"hh:mm")</f>
        <v>16:55 | 16:55</v>
      </c>
      <c r="AN54" s="20">
        <f>INDEX($E$3:$AA$3,MATCH(Carro1[[#This Row],[Nó]],$E$1:$AA$1,0))</f>
        <v>7</v>
      </c>
      <c r="AO54" s="7">
        <f>+IF(AND(Carro1[[#This Row],[Nó]]=AI53,Carro1[[#This Row],[Nó]]=AI55),AO53,Carro1[[#This Row],[Hora Início]])</f>
        <v>0.70486111111111116</v>
      </c>
      <c r="AP54" s="20">
        <f t="shared" si="4"/>
        <v>1</v>
      </c>
      <c r="AQ54" s="20" cm="1">
        <f t="array" ref="AQ54">IFERROR(_xlfn.IFS(AP54=AP53,AQ53,AQ53="Ramo",1),AQ53+1)</f>
        <v>4</v>
      </c>
      <c r="AR54" s="20">
        <f t="shared" si="5"/>
        <v>0</v>
      </c>
      <c r="AS54" s="20" t="str">
        <f>IF(AND(Carro1[[#This Row],[Nó]]=AI55,Carro1[[#This Row],[Nó]]=AI56),"",AQ54&amp;"|"&amp;AN54)</f>
        <v/>
      </c>
      <c r="AT54" s="20" t="str">
        <f t="shared" si="6"/>
        <v>4|7</v>
      </c>
      <c r="AU54" s="20" t="str">
        <f>IF(Carro1[[#This Row],[Tipo]]="Início",AQ54&amp;"|"&amp;AN54,"")</f>
        <v/>
      </c>
    </row>
    <row r="55" spans="8:47" x14ac:dyDescent="0.25"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G55" s="20" t="s">
        <v>296</v>
      </c>
      <c r="AH55" s="20" t="s">
        <v>310</v>
      </c>
      <c r="AI55" s="20" t="s">
        <v>33</v>
      </c>
      <c r="AJ55" s="7">
        <v>0.70486111111111116</v>
      </c>
      <c r="AK55" s="7">
        <v>0.70486111111111116</v>
      </c>
      <c r="AL55" s="20" t="s">
        <v>51</v>
      </c>
      <c r="AM55" s="20" t="str">
        <f>+TEXT(Carro1[[#This Row],[Column1]],"hh:mm")&amp;" | " &amp;TEXT(Carro1[[#This Row],[Hora Fim]],"hh:mm")</f>
        <v>16:55 | 16:55</v>
      </c>
      <c r="AN55" s="20">
        <f>INDEX($E$3:$AA$3,MATCH(Carro1[[#This Row],[Nó]],$E$1:$AA$1,0))</f>
        <v>7</v>
      </c>
      <c r="AO55" s="7">
        <f>+IF(AND(Carro1[[#This Row],[Nó]]=AI54,Carro1[[#This Row],[Nó]]=AI56),AO54,Carro1[[#This Row],[Hora Início]])</f>
        <v>0.70486111111111116</v>
      </c>
      <c r="AP55" s="20">
        <f t="shared" si="4"/>
        <v>1</v>
      </c>
      <c r="AQ55" s="20" cm="1">
        <f t="array" ref="AQ55">IFERROR(_xlfn.IFS(AP55=AP54,AQ54,AQ54="Ramo",1),AQ54+1)</f>
        <v>4</v>
      </c>
      <c r="AR55" s="20">
        <f t="shared" si="5"/>
        <v>0</v>
      </c>
      <c r="AS55" s="20" t="str">
        <f>IF(AND(Carro1[[#This Row],[Nó]]=AI56,Carro1[[#This Row],[Nó]]=AI57),"",AQ55&amp;"|"&amp;AN55)</f>
        <v/>
      </c>
      <c r="AT55" s="20" t="str">
        <f t="shared" si="6"/>
        <v>4|7</v>
      </c>
      <c r="AU55" s="20" t="str">
        <f>IF(Carro1[[#This Row],[Tipo]]="Início",AQ55&amp;"|"&amp;AN55,"")</f>
        <v/>
      </c>
    </row>
    <row r="56" spans="8:47" x14ac:dyDescent="0.25"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G56" s="20" t="s">
        <v>296</v>
      </c>
      <c r="AH56" s="20" t="s">
        <v>310</v>
      </c>
      <c r="AI56" s="20" t="s">
        <v>33</v>
      </c>
      <c r="AJ56" s="7">
        <v>0.70486111111111116</v>
      </c>
      <c r="AK56" s="7">
        <v>0.70486111111111116</v>
      </c>
      <c r="AL56" s="20" t="s">
        <v>51</v>
      </c>
      <c r="AM56" s="20" t="str">
        <f>+TEXT(Carro1[[#This Row],[Column1]],"hh:mm")&amp;" | " &amp;TEXT(Carro1[[#This Row],[Hora Fim]],"hh:mm")</f>
        <v>16:55 | 16:55</v>
      </c>
      <c r="AN56" s="20">
        <f>INDEX($E$3:$AA$3,MATCH(Carro1[[#This Row],[Nó]],$E$1:$AA$1,0))</f>
        <v>7</v>
      </c>
      <c r="AO56" s="7">
        <f>+IF(AND(Carro1[[#This Row],[Nó]]=AI55,Carro1[[#This Row],[Nó]]=AI57),AO55,Carro1[[#This Row],[Hora Início]])</f>
        <v>0.70486111111111116</v>
      </c>
      <c r="AP56" s="20">
        <f t="shared" si="4"/>
        <v>1</v>
      </c>
      <c r="AQ56" s="20" cm="1">
        <f t="array" ref="AQ56">IFERROR(_xlfn.IFS(AP56=AP55,AQ55,AQ55="Ramo",1),AQ55+1)</f>
        <v>4</v>
      </c>
      <c r="AR56" s="20">
        <f t="shared" si="5"/>
        <v>0</v>
      </c>
      <c r="AS56" s="20" t="str">
        <f>IF(AND(Carro1[[#This Row],[Nó]]=AI57,Carro1[[#This Row],[Nó]]=AI58),"",AQ56&amp;"|"&amp;AN56)</f>
        <v/>
      </c>
      <c r="AT56" s="20" t="str">
        <f t="shared" si="6"/>
        <v>4|7</v>
      </c>
      <c r="AU56" s="20" t="str">
        <f>IF(Carro1[[#This Row],[Tipo]]="Início",AQ56&amp;"|"&amp;AN56,"")</f>
        <v/>
      </c>
    </row>
    <row r="57" spans="8:47" x14ac:dyDescent="0.25"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G57" s="20" t="s">
        <v>298</v>
      </c>
      <c r="AH57" s="20" t="s">
        <v>310</v>
      </c>
      <c r="AI57" s="20" t="s">
        <v>33</v>
      </c>
      <c r="AJ57" s="7">
        <v>0.64583333333333337</v>
      </c>
      <c r="AK57" s="7">
        <v>0.6875</v>
      </c>
      <c r="AL57" s="20" t="s">
        <v>54</v>
      </c>
      <c r="AM57" s="20" t="str">
        <f>+TEXT(Carro1[[#This Row],[Column1]],"hh:mm")&amp;" | " &amp;TEXT(Carro1[[#This Row],[Hora Fim]],"hh:mm")</f>
        <v>16:55 | 16:30</v>
      </c>
      <c r="AN57" s="20">
        <f>INDEX($E$3:$AA$3,MATCH(Carro1[[#This Row],[Nó]],$E$1:$AA$1,0))</f>
        <v>7</v>
      </c>
      <c r="AO57" s="7">
        <f>+IF(AND(Carro1[[#This Row],[Nó]]=AI56,Carro1[[#This Row],[Nó]]=AI58),AO56,Carro1[[#This Row],[Hora Início]])</f>
        <v>0.70486111111111116</v>
      </c>
      <c r="AP57" s="20">
        <f t="shared" si="4"/>
        <v>1</v>
      </c>
      <c r="AQ57" s="20" cm="1">
        <f t="array" ref="AQ57">IFERROR(_xlfn.IFS(AP57=AP56,AQ56,AQ56="Ramo",1),AQ56+1)</f>
        <v>4</v>
      </c>
      <c r="AR57" s="20">
        <f t="shared" si="5"/>
        <v>0</v>
      </c>
      <c r="AS57" s="20" t="str">
        <f>IF(AND(Carro1[[#This Row],[Nó]]=AI58,Carro1[[#This Row],[Nó]]=AI59),"",AQ57&amp;"|"&amp;AN57)</f>
        <v/>
      </c>
      <c r="AT57" s="20" t="str">
        <f t="shared" si="6"/>
        <v>4|7</v>
      </c>
      <c r="AU57" s="20" t="str">
        <f>IF(Carro1[[#This Row],[Tipo]]="Início",AQ57&amp;"|"&amp;AN57,"")</f>
        <v/>
      </c>
    </row>
    <row r="58" spans="8:47" x14ac:dyDescent="0.25"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G58" s="20" t="s">
        <v>298</v>
      </c>
      <c r="AH58" s="20" t="s">
        <v>310</v>
      </c>
      <c r="AI58" s="20" t="s">
        <v>33</v>
      </c>
      <c r="AJ58" s="7">
        <v>0.66666666666666663</v>
      </c>
      <c r="AK58" s="7">
        <v>0.6875</v>
      </c>
      <c r="AL58" s="20" t="s">
        <v>54</v>
      </c>
      <c r="AM58" s="20" t="str">
        <f>+TEXT(Carro1[[#This Row],[Column1]],"hh:mm")&amp;" | " &amp;TEXT(Carro1[[#This Row],[Hora Fim]],"hh:mm")</f>
        <v>16:55 | 16:30</v>
      </c>
      <c r="AN58" s="20">
        <f>INDEX($E$3:$AA$3,MATCH(Carro1[[#This Row],[Nó]],$E$1:$AA$1,0))</f>
        <v>7</v>
      </c>
      <c r="AO58" s="7">
        <f>+IF(AND(Carro1[[#This Row],[Nó]]=AI57,Carro1[[#This Row],[Nó]]=AI59),AO57,Carro1[[#This Row],[Hora Início]])</f>
        <v>0.70486111111111116</v>
      </c>
      <c r="AP58" s="20">
        <f t="shared" si="4"/>
        <v>1</v>
      </c>
      <c r="AQ58" s="20" cm="1">
        <f t="array" ref="AQ58">IFERROR(_xlfn.IFS(AP58=AP57,AQ57,AQ57="Ramo",1),AQ57+1)</f>
        <v>4</v>
      </c>
      <c r="AR58" s="20">
        <f t="shared" si="5"/>
        <v>0</v>
      </c>
      <c r="AS58" s="20" t="str">
        <f>IF(AND(Carro1[[#This Row],[Nó]]=AI59,Carro1[[#This Row],[Nó]]=AI60),"",AQ58&amp;"|"&amp;AN58)</f>
        <v/>
      </c>
      <c r="AT58" s="20" t="str">
        <f t="shared" si="6"/>
        <v>4|7</v>
      </c>
      <c r="AU58" s="20" t="str">
        <f>IF(Carro1[[#This Row],[Tipo]]="Início",AQ58&amp;"|"&amp;AN58,"")</f>
        <v/>
      </c>
    </row>
    <row r="59" spans="8:47" x14ac:dyDescent="0.25"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G59" s="20" t="s">
        <v>298</v>
      </c>
      <c r="AH59" s="20" t="s">
        <v>310</v>
      </c>
      <c r="AI59" s="20" t="s">
        <v>33</v>
      </c>
      <c r="AJ59" s="7">
        <v>0.6875</v>
      </c>
      <c r="AK59" s="7">
        <v>0.6875</v>
      </c>
      <c r="AL59" s="20" t="s">
        <v>49</v>
      </c>
      <c r="AM59" s="20" t="str">
        <f>+TEXT(Carro1[[#This Row],[Column1]],"hh:mm")&amp;" | " &amp;TEXT(Carro1[[#This Row],[Hora Fim]],"hh:mm")</f>
        <v>16:55 | 16:30</v>
      </c>
      <c r="AN59" s="20">
        <f>INDEX($E$3:$AA$3,MATCH(Carro1[[#This Row],[Nó]],$E$1:$AA$1,0))</f>
        <v>7</v>
      </c>
      <c r="AO59" s="7">
        <f>+IF(AND(Carro1[[#This Row],[Nó]]=AI58,Carro1[[#This Row],[Nó]]=AI60),AO58,Carro1[[#This Row],[Hora Início]])</f>
        <v>0.70486111111111116</v>
      </c>
      <c r="AP59" s="20">
        <f t="shared" si="4"/>
        <v>1</v>
      </c>
      <c r="AQ59" s="20" cm="1">
        <f t="array" ref="AQ59">IFERROR(_xlfn.IFS(AP59=AP58,AQ58,AQ58="Ramo",1),AQ58+1)</f>
        <v>4</v>
      </c>
      <c r="AR59" s="20">
        <f t="shared" si="5"/>
        <v>0</v>
      </c>
      <c r="AS59" s="20" t="str">
        <f>IF(AND(Carro1[[#This Row],[Nó]]=AI60,Carro1[[#This Row],[Nó]]=AI61),"",AQ59&amp;"|"&amp;AN59)</f>
        <v/>
      </c>
      <c r="AT59" s="20" t="str">
        <f t="shared" si="6"/>
        <v>4|7</v>
      </c>
      <c r="AU59" s="20" t="str">
        <f>IF(Carro1[[#This Row],[Tipo]]="Início",AQ59&amp;"|"&amp;AN59,"")</f>
        <v>4|7</v>
      </c>
    </row>
    <row r="60" spans="8:47" x14ac:dyDescent="0.25"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G60" s="20" t="s">
        <v>298</v>
      </c>
      <c r="AH60" s="20" t="s">
        <v>310</v>
      </c>
      <c r="AI60" s="20" t="s">
        <v>33</v>
      </c>
      <c r="AJ60" s="7">
        <v>0.6875</v>
      </c>
      <c r="AK60" s="7">
        <v>0.69652777777777775</v>
      </c>
      <c r="AL60" s="20" t="s">
        <v>50</v>
      </c>
      <c r="AM60" s="20" t="str">
        <f>+TEXT(Carro1[[#This Row],[Column1]],"hh:mm")&amp;" | " &amp;TEXT(Carro1[[#This Row],[Hora Fim]],"hh:mm")</f>
        <v>16:55 | 16:43</v>
      </c>
      <c r="AN60" s="20">
        <f>INDEX($E$3:$AA$3,MATCH(Carro1[[#This Row],[Nó]],$E$1:$AA$1,0))</f>
        <v>7</v>
      </c>
      <c r="AO60" s="7">
        <f>+IF(AND(Carro1[[#This Row],[Nó]]=AI59,Carro1[[#This Row],[Nó]]=AI61),AO59,Carro1[[#This Row],[Hora Início]])</f>
        <v>0.70486111111111116</v>
      </c>
      <c r="AP60" s="20">
        <f t="shared" si="4"/>
        <v>1</v>
      </c>
      <c r="AQ60" s="20" cm="1">
        <f t="array" ref="AQ60">IFERROR(_xlfn.IFS(AP60=AP59,AQ59,AQ59="Ramo",1),AQ59+1)</f>
        <v>4</v>
      </c>
      <c r="AR60" s="20">
        <f t="shared" si="5"/>
        <v>0</v>
      </c>
      <c r="AS60" s="20" t="str">
        <f>IF(AND(Carro1[[#This Row],[Nó]]=AI61,Carro1[[#This Row],[Nó]]=AI62),"",AQ60&amp;"|"&amp;AN60)</f>
        <v>4|7</v>
      </c>
      <c r="AT60" s="20" t="str">
        <f t="shared" si="6"/>
        <v>4|7</v>
      </c>
      <c r="AU60" s="20" t="str">
        <f>IF(Carro1[[#This Row],[Tipo]]="Início",AQ60&amp;"|"&amp;AN60,"")</f>
        <v/>
      </c>
    </row>
    <row r="61" spans="8:47" x14ac:dyDescent="0.25">
      <c r="AG61" s="20" t="s">
        <v>298</v>
      </c>
      <c r="AH61" s="20" t="s">
        <v>310</v>
      </c>
      <c r="AI61" s="20" t="s">
        <v>33</v>
      </c>
      <c r="AJ61" s="7">
        <v>0.69652777777777775</v>
      </c>
      <c r="AK61" s="7">
        <v>0.69652777777777775</v>
      </c>
      <c r="AL61" s="20" t="s">
        <v>51</v>
      </c>
      <c r="AM61" s="20" t="str">
        <f>+TEXT(Carro1[[#This Row],[Column1]],"hh:mm")&amp;" | " &amp;TEXT(Carro1[[#This Row],[Hora Fim]],"hh:mm")</f>
        <v>16:43 | 16:43</v>
      </c>
      <c r="AN61" s="20">
        <f>INDEX($E$3:$AA$3,MATCH(Carro1[[#This Row],[Nó]],$E$1:$AA$1,0))</f>
        <v>7</v>
      </c>
      <c r="AO61" s="7">
        <f>+IF(AND(Carro1[[#This Row],[Nó]]=AI60,Carro1[[#This Row],[Nó]]=AI62),AO60,Carro1[[#This Row],[Hora Início]])</f>
        <v>0.69652777777777775</v>
      </c>
      <c r="AP61" s="20">
        <f t="shared" si="4"/>
        <v>2</v>
      </c>
      <c r="AQ61" s="20" cm="1">
        <f t="array" ref="AQ61">IFERROR(_xlfn.IFS(AP61=AP60,AQ60,AQ60="Ramo",1),AQ60+1)</f>
        <v>5</v>
      </c>
      <c r="AR61" s="20">
        <f t="shared" si="5"/>
        <v>1</v>
      </c>
      <c r="AS61" s="20" t="str">
        <f>IF(AND(Carro1[[#This Row],[Nó]]=AI62,Carro1[[#This Row],[Nó]]=AI63),"",AQ61&amp;"|"&amp;AN61)</f>
        <v>5|7</v>
      </c>
      <c r="AT61" s="20" t="str">
        <f t="shared" si="6"/>
        <v>5|7</v>
      </c>
      <c r="AU61" s="20" t="str">
        <f>IF(Carro1[[#This Row],[Tipo]]="Início",AQ61&amp;"|"&amp;AN61,"")</f>
        <v/>
      </c>
    </row>
    <row r="62" spans="8:47" x14ac:dyDescent="0.25">
      <c r="AG62" s="20" t="s">
        <v>298</v>
      </c>
      <c r="AH62" s="20" t="s">
        <v>309</v>
      </c>
      <c r="AI62" s="20" t="s">
        <v>31</v>
      </c>
      <c r="AJ62" s="7">
        <v>0.69861111111111107</v>
      </c>
      <c r="AK62" s="7">
        <v>0.7055555555555556</v>
      </c>
      <c r="AL62" s="20" t="s">
        <v>297</v>
      </c>
      <c r="AM62" s="20" t="str">
        <f>+TEXT(Carro1[[#This Row],[Column1]],"hh:mm")&amp;" | " &amp;TEXT(Carro1[[#This Row],[Hora Fim]],"hh:mm")</f>
        <v>16:46 | 16:56</v>
      </c>
      <c r="AN62" s="20">
        <f>INDEX($E$3:$AA$3,MATCH(Carro1[[#This Row],[Nó]],$E$1:$AA$1,0))</f>
        <v>6</v>
      </c>
      <c r="AO62" s="7">
        <f>+IF(AND(Carro1[[#This Row],[Nó]]=AI61,Carro1[[#This Row],[Nó]]=AI63),AO61,Carro1[[#This Row],[Hora Início]])</f>
        <v>0.69861111111111107</v>
      </c>
      <c r="AP62" s="20">
        <f t="shared" si="4"/>
        <v>2</v>
      </c>
      <c r="AQ62" s="20" cm="1">
        <f t="array" ref="AQ62">IFERROR(_xlfn.IFS(AP62=AP61,AQ61,AQ61="Ramo",1),AQ61+1)</f>
        <v>5</v>
      </c>
      <c r="AR62" s="20">
        <f t="shared" si="5"/>
        <v>0</v>
      </c>
      <c r="AS62" s="20" t="str">
        <f>IF(AND(Carro1[[#This Row],[Nó]]=AI63,Carro1[[#This Row],[Nó]]=AI64),"",AQ62&amp;"|"&amp;AN62)</f>
        <v/>
      </c>
      <c r="AT62" s="20" t="str">
        <f t="shared" si="6"/>
        <v>5|6</v>
      </c>
      <c r="AU62" s="20" t="str">
        <f>IF(Carro1[[#This Row],[Tipo]]="Início",AQ62&amp;"|"&amp;AN62,"")</f>
        <v/>
      </c>
    </row>
    <row r="63" spans="8:47" x14ac:dyDescent="0.25">
      <c r="AG63" s="20" t="s">
        <v>298</v>
      </c>
      <c r="AH63" s="20" t="s">
        <v>309</v>
      </c>
      <c r="AI63" s="20" t="s">
        <v>31</v>
      </c>
      <c r="AJ63" s="7">
        <v>0.70763888888888893</v>
      </c>
      <c r="AK63" s="7">
        <v>0.71388888888888891</v>
      </c>
      <c r="AL63" s="20" t="s">
        <v>50</v>
      </c>
      <c r="AM63" s="20" t="str">
        <f>+TEXT(Carro1[[#This Row],[Column1]],"hh:mm")&amp;" | " &amp;TEXT(Carro1[[#This Row],[Hora Fim]],"hh:mm")</f>
        <v>16:46 | 17:08</v>
      </c>
      <c r="AN63" s="20">
        <f>INDEX($E$3:$AA$3,MATCH(Carro1[[#This Row],[Nó]],$E$1:$AA$1,0))</f>
        <v>6</v>
      </c>
      <c r="AO63" s="7">
        <f>+IF(AND(Carro1[[#This Row],[Nó]]=AI62,Carro1[[#This Row],[Nó]]=AI64),AO62,Carro1[[#This Row],[Hora Início]])</f>
        <v>0.69861111111111107</v>
      </c>
      <c r="AP63" s="20">
        <f t="shared" si="4"/>
        <v>2</v>
      </c>
      <c r="AQ63" s="20" cm="1">
        <f t="array" ref="AQ63">IFERROR(_xlfn.IFS(AP63=AP62,AQ62,AQ62="Ramo",1),AQ62+1)</f>
        <v>5</v>
      </c>
      <c r="AR63" s="20">
        <f t="shared" si="5"/>
        <v>0</v>
      </c>
      <c r="AS63" s="20" t="str">
        <f>IF(AND(Carro1[[#This Row],[Nó]]=AI64,Carro1[[#This Row],[Nó]]=AI65),"",AQ63&amp;"|"&amp;AN63)</f>
        <v>5|6</v>
      </c>
      <c r="AT63" s="20" t="str">
        <f t="shared" si="6"/>
        <v>5|6</v>
      </c>
      <c r="AU63" s="20" t="str">
        <f>IF(Carro1[[#This Row],[Tipo]]="Início",AQ63&amp;"|"&amp;AN63,"")</f>
        <v/>
      </c>
    </row>
    <row r="64" spans="8:47" x14ac:dyDescent="0.25">
      <c r="AG64" s="20" t="s">
        <v>298</v>
      </c>
      <c r="AH64" s="20" t="s">
        <v>309</v>
      </c>
      <c r="AI64" s="20" t="s">
        <v>31</v>
      </c>
      <c r="AJ64" s="7">
        <v>0.71597222222222223</v>
      </c>
      <c r="AK64" s="7">
        <v>0.71597222222222223</v>
      </c>
      <c r="AL64" s="20" t="s">
        <v>51</v>
      </c>
      <c r="AM64" s="20" t="str">
        <f>+TEXT(Carro1[[#This Row],[Column1]],"hh:mm")&amp;" | " &amp;TEXT(Carro1[[#This Row],[Hora Fim]],"hh:mm")</f>
        <v>17:11 | 17:11</v>
      </c>
      <c r="AN64" s="20">
        <f>INDEX($E$3:$AA$3,MATCH(Carro1[[#This Row],[Nó]],$E$1:$AA$1,0))</f>
        <v>6</v>
      </c>
      <c r="AO64" s="7">
        <f>+IF(AND(Carro1[[#This Row],[Nó]]=AI63,Carro1[[#This Row],[Nó]]=AI65),AO63,Carro1[[#This Row],[Hora Início]])</f>
        <v>0.71597222222222223</v>
      </c>
      <c r="AP64" s="20">
        <f t="shared" si="4"/>
        <v>2</v>
      </c>
      <c r="AQ64" s="20" cm="1">
        <f t="array" ref="AQ64">IFERROR(_xlfn.IFS(AP64=AP63,AQ63,AQ63="Ramo",1),AQ63+1)</f>
        <v>5</v>
      </c>
      <c r="AR64" s="20">
        <f t="shared" si="5"/>
        <v>0</v>
      </c>
      <c r="AS64" s="20" t="str">
        <f>IF(AND(Carro1[[#This Row],[Nó]]=AI65,Carro1[[#This Row],[Nó]]=AI66),"",AQ64&amp;"|"&amp;AN64)</f>
        <v>5|6</v>
      </c>
      <c r="AT64" s="20" t="str">
        <f t="shared" si="6"/>
        <v>5|6</v>
      </c>
      <c r="AU64" s="20" t="str">
        <f>IF(Carro1[[#This Row],[Tipo]]="Início",AQ64&amp;"|"&amp;AN64,"")</f>
        <v/>
      </c>
    </row>
    <row r="65" spans="33:47" x14ac:dyDescent="0.25">
      <c r="AG65" s="20" t="s">
        <v>298</v>
      </c>
      <c r="AH65" s="20" t="s">
        <v>308</v>
      </c>
      <c r="AI65" s="20" t="s">
        <v>29</v>
      </c>
      <c r="AJ65" s="7">
        <v>0.71805555555555556</v>
      </c>
      <c r="AK65" s="7">
        <v>0.73750000000000004</v>
      </c>
      <c r="AL65" s="20" t="s">
        <v>50</v>
      </c>
      <c r="AM65" s="20" t="str">
        <f>+TEXT(Carro1[[#This Row],[Column1]],"hh:mm")&amp;" | " &amp;TEXT(Carro1[[#This Row],[Hora Fim]],"hh:mm")</f>
        <v>17:14 | 17:42</v>
      </c>
      <c r="AN65" s="20">
        <f>INDEX($E$3:$AA$3,MATCH(Carro1[[#This Row],[Nó]],$E$1:$AA$1,0))</f>
        <v>5</v>
      </c>
      <c r="AO65" s="7">
        <f>+IF(AND(Carro1[[#This Row],[Nó]]=AI64,Carro1[[#This Row],[Nó]]=AI66),AO64,Carro1[[#This Row],[Hora Início]])</f>
        <v>0.71805555555555556</v>
      </c>
      <c r="AP65" s="20">
        <f t="shared" si="4"/>
        <v>2</v>
      </c>
      <c r="AQ65" s="20" cm="1">
        <f t="array" ref="AQ65">IFERROR(_xlfn.IFS(AP65=AP64,AQ64,AQ64="Ramo",1),AQ64+1)</f>
        <v>5</v>
      </c>
      <c r="AR65" s="20">
        <f t="shared" si="5"/>
        <v>0</v>
      </c>
      <c r="AS65" s="20" t="str">
        <f>IF(AND(Carro1[[#This Row],[Nó]]=AI66,Carro1[[#This Row],[Nó]]=AI67),"",AQ65&amp;"|"&amp;AN65)</f>
        <v>5|5</v>
      </c>
      <c r="AT65" s="20" t="str">
        <f t="shared" si="6"/>
        <v>5|5</v>
      </c>
      <c r="AU65" s="20" t="str">
        <f>IF(Carro1[[#This Row],[Tipo]]="Início",AQ65&amp;"|"&amp;AN65,"")</f>
        <v/>
      </c>
    </row>
    <row r="66" spans="33:47" x14ac:dyDescent="0.25">
      <c r="AG66" s="20" t="s">
        <v>298</v>
      </c>
      <c r="AH66" s="20" t="s">
        <v>308</v>
      </c>
      <c r="AI66" s="20" t="s">
        <v>29</v>
      </c>
      <c r="AJ66" s="7">
        <v>0.73958333333333337</v>
      </c>
      <c r="AK66" s="7">
        <v>0.73958333333333337</v>
      </c>
      <c r="AL66" s="20" t="s">
        <v>51</v>
      </c>
      <c r="AM66" s="20" t="str">
        <f>+TEXT(Carro1[[#This Row],[Column1]],"hh:mm")&amp;" | " &amp;TEXT(Carro1[[#This Row],[Hora Fim]],"hh:mm")</f>
        <v>17:45 | 17:45</v>
      </c>
      <c r="AN66" s="20">
        <f>INDEX($E$3:$AA$3,MATCH(Carro1[[#This Row],[Nó]],$E$1:$AA$1,0))</f>
        <v>5</v>
      </c>
      <c r="AO66" s="7">
        <f>+IF(AND(Carro1[[#This Row],[Nó]]=AI65,Carro1[[#This Row],[Nó]]=AI67),AO65,Carro1[[#This Row],[Hora Início]])</f>
        <v>0.73958333333333337</v>
      </c>
      <c r="AP66" s="20">
        <f t="shared" ref="AP66:AP97" si="7">IF(AN66=AN65,IF(AN66&lt;&gt;AN67,IF(AN67&gt;=AN65,1,2),AP65),IF(AN66&gt;=AN65,1,2))</f>
        <v>2</v>
      </c>
      <c r="AQ66" s="20" cm="1">
        <f t="array" ref="AQ66">IFERROR(_xlfn.IFS(AP66=AP65,AQ65,AQ65="Ramo",1),AQ65+1)</f>
        <v>5</v>
      </c>
      <c r="AR66" s="20">
        <f t="shared" ref="AR66:AR97" si="8">IF(AQ66&lt;&gt;AQ65,1,0)</f>
        <v>0</v>
      </c>
      <c r="AS66" s="20" t="str">
        <f>IF(AND(Carro1[[#This Row],[Nó]]=AI67,Carro1[[#This Row],[Nó]]=AI68),"",AQ66&amp;"|"&amp;AN66)</f>
        <v>5|5</v>
      </c>
      <c r="AT66" s="20" t="str">
        <f t="shared" ref="AT66:AT97" si="9">AQ66&amp;"|"&amp;AN66</f>
        <v>5|5</v>
      </c>
      <c r="AU66" s="20" t="str">
        <f>IF(Carro1[[#This Row],[Tipo]]="Início",AQ66&amp;"|"&amp;AN66,"")</f>
        <v/>
      </c>
    </row>
    <row r="67" spans="33:47" x14ac:dyDescent="0.25">
      <c r="AG67" s="20" t="s">
        <v>298</v>
      </c>
      <c r="AH67" s="20" t="s">
        <v>301</v>
      </c>
      <c r="AI67" s="20" t="s">
        <v>27</v>
      </c>
      <c r="AJ67" s="7">
        <v>0.7416666666666667</v>
      </c>
      <c r="AK67" s="7">
        <v>0.75069444444444444</v>
      </c>
      <c r="AL67" s="20" t="s">
        <v>50</v>
      </c>
      <c r="AM67" s="20" t="str">
        <f>+TEXT(Carro1[[#This Row],[Column1]],"hh:mm")&amp;" | " &amp;TEXT(Carro1[[#This Row],[Hora Fim]],"hh:mm")</f>
        <v>17:48 | 18:01</v>
      </c>
      <c r="AN67" s="20">
        <f>INDEX($E$3:$AA$3,MATCH(Carro1[[#This Row],[Nó]],$E$1:$AA$1,0))</f>
        <v>4</v>
      </c>
      <c r="AO67" s="7">
        <f>+IF(AND(Carro1[[#This Row],[Nó]]=AI66,Carro1[[#This Row],[Nó]]=AI68),AO66,Carro1[[#This Row],[Hora Início]])</f>
        <v>0.7416666666666667</v>
      </c>
      <c r="AP67" s="20">
        <f t="shared" si="7"/>
        <v>2</v>
      </c>
      <c r="AQ67" s="20" cm="1">
        <f t="array" ref="AQ67">IFERROR(_xlfn.IFS(AP67=AP66,AQ66,AQ66="Ramo",1),AQ66+1)</f>
        <v>5</v>
      </c>
      <c r="AR67" s="20">
        <f t="shared" si="8"/>
        <v>0</v>
      </c>
      <c r="AS67" s="20" t="str">
        <f>IF(AND(Carro1[[#This Row],[Nó]]=AI68,Carro1[[#This Row],[Nó]]=AI69),"",AQ67&amp;"|"&amp;AN67)</f>
        <v>5|4</v>
      </c>
      <c r="AT67" s="20" t="str">
        <f t="shared" si="9"/>
        <v>5|4</v>
      </c>
      <c r="AU67" s="20" t="str">
        <f>IF(Carro1[[#This Row],[Tipo]]="Início",AQ67&amp;"|"&amp;AN67,"")</f>
        <v/>
      </c>
    </row>
    <row r="68" spans="33:47" x14ac:dyDescent="0.25">
      <c r="AG68" s="20" t="s">
        <v>298</v>
      </c>
      <c r="AH68" s="20" t="s">
        <v>301</v>
      </c>
      <c r="AI68" s="20" t="s">
        <v>27</v>
      </c>
      <c r="AJ68" s="7">
        <v>0.75277777777777777</v>
      </c>
      <c r="AK68" s="7">
        <v>0.75277777777777777</v>
      </c>
      <c r="AL68" s="20" t="s">
        <v>51</v>
      </c>
      <c r="AM68" s="20" t="str">
        <f>+TEXT(Carro1[[#This Row],[Column1]],"hh:mm")&amp;" | " &amp;TEXT(Carro1[[#This Row],[Hora Fim]],"hh:mm")</f>
        <v>18:04 | 18:04</v>
      </c>
      <c r="AN68" s="20">
        <f>INDEX($E$3:$AA$3,MATCH(Carro1[[#This Row],[Nó]],$E$1:$AA$1,0))</f>
        <v>4</v>
      </c>
      <c r="AO68" s="7">
        <f>+IF(AND(Carro1[[#This Row],[Nó]]=AI67,Carro1[[#This Row],[Nó]]=AI69),AO67,Carro1[[#This Row],[Hora Início]])</f>
        <v>0.75277777777777777</v>
      </c>
      <c r="AP68" s="20">
        <f t="shared" si="7"/>
        <v>2</v>
      </c>
      <c r="AQ68" s="20" cm="1">
        <f t="array" ref="AQ68">IFERROR(_xlfn.IFS(AP68=AP67,AQ67,AQ67="Ramo",1),AQ67+1)</f>
        <v>5</v>
      </c>
      <c r="AR68" s="20">
        <f t="shared" si="8"/>
        <v>0</v>
      </c>
      <c r="AS68" s="20" t="str">
        <f>IF(AND(Carro1[[#This Row],[Nó]]=AI69,Carro1[[#This Row],[Nó]]=AI70),"",AQ68&amp;"|"&amp;AN68)</f>
        <v>5|4</v>
      </c>
      <c r="AT68" s="20" t="str">
        <f t="shared" si="9"/>
        <v>5|4</v>
      </c>
      <c r="AU68" s="20" t="str">
        <f>IF(Carro1[[#This Row],[Tipo]]="Início",AQ68&amp;"|"&amp;AN68,"")</f>
        <v/>
      </c>
    </row>
    <row r="69" spans="33:47" x14ac:dyDescent="0.25">
      <c r="AG69" s="20" t="s">
        <v>298</v>
      </c>
      <c r="AH69" s="20" t="s">
        <v>300</v>
      </c>
      <c r="AI69" s="20" t="s">
        <v>26</v>
      </c>
      <c r="AJ69" s="7">
        <v>0.75347222222222221</v>
      </c>
      <c r="AK69" s="7">
        <v>0.76041666666666663</v>
      </c>
      <c r="AL69" s="20" t="s">
        <v>50</v>
      </c>
      <c r="AM69" s="20" t="str">
        <f>+TEXT(Carro1[[#This Row],[Column1]],"hh:mm")&amp;" | " &amp;TEXT(Carro1[[#This Row],[Hora Fim]],"hh:mm")</f>
        <v>18:05 | 18:15</v>
      </c>
      <c r="AN69" s="20">
        <f>INDEX($E$3:$AA$3,MATCH(Carro1[[#This Row],[Nó]],$E$1:$AA$1,0))</f>
        <v>3</v>
      </c>
      <c r="AO69" s="7">
        <f>+IF(AND(Carro1[[#This Row],[Nó]]=AI68,Carro1[[#This Row],[Nó]]=AI70),AO68,Carro1[[#This Row],[Hora Início]])</f>
        <v>0.75347222222222221</v>
      </c>
      <c r="AP69" s="20">
        <f t="shared" si="7"/>
        <v>2</v>
      </c>
      <c r="AQ69" s="20" cm="1">
        <f t="array" ref="AQ69">IFERROR(_xlfn.IFS(AP69=AP68,AQ68,AQ68="Ramo",1),AQ68+1)</f>
        <v>5</v>
      </c>
      <c r="AR69" s="20">
        <f t="shared" si="8"/>
        <v>0</v>
      </c>
      <c r="AS69" s="20" t="str">
        <f>IF(AND(Carro1[[#This Row],[Nó]]=AI70,Carro1[[#This Row],[Nó]]=AI71),"",AQ69&amp;"|"&amp;AN69)</f>
        <v>5|3</v>
      </c>
      <c r="AT69" s="20" t="str">
        <f t="shared" si="9"/>
        <v>5|3</v>
      </c>
      <c r="AU69" s="20" t="str">
        <f>IF(Carro1[[#This Row],[Tipo]]="Início",AQ69&amp;"|"&amp;AN69,"")</f>
        <v/>
      </c>
    </row>
    <row r="70" spans="33:47" x14ac:dyDescent="0.25">
      <c r="AG70" s="20" t="s">
        <v>298</v>
      </c>
      <c r="AH70" s="20" t="s">
        <v>300</v>
      </c>
      <c r="AI70" s="20" t="s">
        <v>26</v>
      </c>
      <c r="AJ70" s="7">
        <v>0.76111111111111107</v>
      </c>
      <c r="AK70" s="7">
        <v>0.76111111111111107</v>
      </c>
      <c r="AL70" s="20" t="s">
        <v>51</v>
      </c>
      <c r="AM70" s="20" t="str">
        <f>+TEXT(Carro1[[#This Row],[Column1]],"hh:mm")&amp;" | " &amp;TEXT(Carro1[[#This Row],[Hora Fim]],"hh:mm")</f>
        <v>18:16 | 18:16</v>
      </c>
      <c r="AN70" s="20">
        <f>INDEX($E$3:$AA$3,MATCH(Carro1[[#This Row],[Nó]],$E$1:$AA$1,0))</f>
        <v>3</v>
      </c>
      <c r="AO70" s="7">
        <f>+IF(AND(Carro1[[#This Row],[Nó]]=AI69,Carro1[[#This Row],[Nó]]=AI71),AO69,Carro1[[#This Row],[Hora Início]])</f>
        <v>0.76111111111111107</v>
      </c>
      <c r="AP70" s="20">
        <f t="shared" si="7"/>
        <v>2</v>
      </c>
      <c r="AQ70" s="20" cm="1">
        <f t="array" ref="AQ70">IFERROR(_xlfn.IFS(AP70=AP69,AQ69,AQ69="Ramo",1),AQ69+1)</f>
        <v>5</v>
      </c>
      <c r="AR70" s="20">
        <f t="shared" si="8"/>
        <v>0</v>
      </c>
      <c r="AS70" s="20" t="str">
        <f>IF(AND(Carro1[[#This Row],[Nó]]=AI71,Carro1[[#This Row],[Nó]]=AI72),"",AQ70&amp;"|"&amp;AN70)</f>
        <v>5|3</v>
      </c>
      <c r="AT70" s="20" t="str">
        <f t="shared" si="9"/>
        <v>5|3</v>
      </c>
      <c r="AU70" s="20" t="str">
        <f>IF(Carro1[[#This Row],[Tipo]]="Início",AQ70&amp;"|"&amp;AN70,"")</f>
        <v/>
      </c>
    </row>
    <row r="71" spans="33:47" x14ac:dyDescent="0.25">
      <c r="AG71" s="20" t="s">
        <v>298</v>
      </c>
      <c r="AH71" s="20" t="s">
        <v>299</v>
      </c>
      <c r="AI71" s="20" t="s">
        <v>24</v>
      </c>
      <c r="AJ71" s="7">
        <v>0.76180555555555551</v>
      </c>
      <c r="AK71" s="7">
        <v>0.77152777777777781</v>
      </c>
      <c r="AL71" s="20" t="s">
        <v>50</v>
      </c>
      <c r="AM71" s="20" t="str">
        <f>+TEXT(Carro1[[#This Row],[Column1]],"hh:mm")&amp;" | " &amp;TEXT(Carro1[[#This Row],[Hora Fim]],"hh:mm")</f>
        <v>18:17 | 18:31</v>
      </c>
      <c r="AN71" s="20">
        <f>INDEX($E$3:$AA$3,MATCH(Carro1[[#This Row],[Nó]],$E$1:$AA$1,0))</f>
        <v>2</v>
      </c>
      <c r="AO71" s="7">
        <f>+IF(AND(Carro1[[#This Row],[Nó]]=AI70,Carro1[[#This Row],[Nó]]=AI72),AO70,Carro1[[#This Row],[Hora Início]])</f>
        <v>0.76180555555555551</v>
      </c>
      <c r="AP71" s="20">
        <f t="shared" si="7"/>
        <v>2</v>
      </c>
      <c r="AQ71" s="20" cm="1">
        <f t="array" ref="AQ71">IFERROR(_xlfn.IFS(AP71=AP70,AQ70,AQ70="Ramo",1),AQ70+1)</f>
        <v>5</v>
      </c>
      <c r="AR71" s="20">
        <f t="shared" si="8"/>
        <v>0</v>
      </c>
      <c r="AS71" s="20" t="str">
        <f>IF(AND(Carro1[[#This Row],[Nó]]=AI72,Carro1[[#This Row],[Nó]]=AI73),"",AQ71&amp;"|"&amp;AN71)</f>
        <v>5|2</v>
      </c>
      <c r="AT71" s="20" t="str">
        <f t="shared" si="9"/>
        <v>5|2</v>
      </c>
      <c r="AU71" s="20" t="str">
        <f>IF(Carro1[[#This Row],[Tipo]]="Início",AQ71&amp;"|"&amp;AN71,"")</f>
        <v/>
      </c>
    </row>
    <row r="72" spans="33:47" x14ac:dyDescent="0.25">
      <c r="AG72" s="20" t="s">
        <v>298</v>
      </c>
      <c r="AH72" s="20" t="s">
        <v>299</v>
      </c>
      <c r="AI72" s="20" t="s">
        <v>24</v>
      </c>
      <c r="AJ72" s="7">
        <v>0.77222222222222225</v>
      </c>
      <c r="AK72" s="7">
        <v>0.77222222222222225</v>
      </c>
      <c r="AL72" s="20" t="s">
        <v>51</v>
      </c>
      <c r="AM72" s="20" t="str">
        <f>+TEXT(Carro1[[#This Row],[Column1]],"hh:mm")&amp;" | " &amp;TEXT(Carro1[[#This Row],[Hora Fim]],"hh:mm")</f>
        <v>18:32 | 18:32</v>
      </c>
      <c r="AN72" s="20">
        <f>INDEX($E$3:$AA$3,MATCH(Carro1[[#This Row],[Nó]],$E$1:$AA$1,0))</f>
        <v>2</v>
      </c>
      <c r="AO72" s="7">
        <f>+IF(AND(Carro1[[#This Row],[Nó]]=AI71,Carro1[[#This Row],[Nó]]=AI73),AO71,Carro1[[#This Row],[Hora Início]])</f>
        <v>0.77222222222222225</v>
      </c>
      <c r="AP72" s="20">
        <f t="shared" si="7"/>
        <v>2</v>
      </c>
      <c r="AQ72" s="20" cm="1">
        <f t="array" ref="AQ72">IFERROR(_xlfn.IFS(AP72=AP71,AQ71,AQ71="Ramo",1),AQ71+1)</f>
        <v>5</v>
      </c>
      <c r="AR72" s="20">
        <f t="shared" si="8"/>
        <v>0</v>
      </c>
      <c r="AS72" s="20" t="str">
        <f>IF(AND(Carro1[[#This Row],[Nó]]=AI73,Carro1[[#This Row],[Nó]]=AI74),"",AQ72&amp;"|"&amp;AN72)</f>
        <v>5|2</v>
      </c>
      <c r="AT72" s="20" t="str">
        <f t="shared" si="9"/>
        <v>5|2</v>
      </c>
      <c r="AU72" s="20" t="str">
        <f>IF(Carro1[[#This Row],[Tipo]]="Início",AQ72&amp;"|"&amp;AN72,"")</f>
        <v/>
      </c>
    </row>
    <row r="73" spans="33:47" x14ac:dyDescent="0.25">
      <c r="AG73" s="20" t="s">
        <v>298</v>
      </c>
      <c r="AH73" s="20" t="s">
        <v>298</v>
      </c>
      <c r="AI73" s="20" t="s">
        <v>22</v>
      </c>
      <c r="AJ73" s="7">
        <v>0.77708333333333335</v>
      </c>
      <c r="AK73" s="7">
        <v>0.78055555555555556</v>
      </c>
      <c r="AL73" s="20" t="s">
        <v>50</v>
      </c>
      <c r="AM73" s="20" t="str">
        <f>+TEXT(Carro1[[#This Row],[Column1]],"hh:mm")&amp;" | " &amp;TEXT(Carro1[[#This Row],[Hora Fim]],"hh:mm")</f>
        <v>18:39 | 18:44</v>
      </c>
      <c r="AN73" s="20">
        <f>INDEX($E$3:$AA$3,MATCH(Carro1[[#This Row],[Nó]],$E$1:$AA$1,0))</f>
        <v>1</v>
      </c>
      <c r="AO73" s="7">
        <f>+IF(AND(Carro1[[#This Row],[Nó]]=AI72,Carro1[[#This Row],[Nó]]=AI74),AO72,Carro1[[#This Row],[Hora Início]])</f>
        <v>0.77708333333333335</v>
      </c>
      <c r="AP73" s="20">
        <f t="shared" si="7"/>
        <v>2</v>
      </c>
      <c r="AQ73" s="20" cm="1">
        <f t="array" ref="AQ73">IFERROR(_xlfn.IFS(AP73=AP72,AQ72,AQ72="Ramo",1),AQ72+1)</f>
        <v>5</v>
      </c>
      <c r="AR73" s="20">
        <f t="shared" si="8"/>
        <v>0</v>
      </c>
      <c r="AS73" s="20" t="str">
        <f>IF(AND(Carro1[[#This Row],[Nó]]=AI74,Carro1[[#This Row],[Nó]]=AI75),"",AQ73&amp;"|"&amp;AN73)</f>
        <v>5|1</v>
      </c>
      <c r="AT73" s="20" t="str">
        <f t="shared" si="9"/>
        <v>5|1</v>
      </c>
      <c r="AU73" s="20" t="str">
        <f>IF(Carro1[[#This Row],[Tipo]]="Início",AQ73&amp;"|"&amp;AN73,"")</f>
        <v/>
      </c>
    </row>
    <row r="74" spans="33:47" x14ac:dyDescent="0.25">
      <c r="AG74" s="20" t="s">
        <v>298</v>
      </c>
      <c r="AH74" s="20" t="s">
        <v>298</v>
      </c>
      <c r="AI74" s="20" t="s">
        <v>22</v>
      </c>
      <c r="AJ74" s="7">
        <v>0.78541666666666665</v>
      </c>
      <c r="AK74" s="7">
        <v>0.78541666666666665</v>
      </c>
      <c r="AL74" s="20" t="s">
        <v>51</v>
      </c>
      <c r="AM74" s="20" t="str">
        <f>+TEXT(Carro1[[#This Row],[Column1]],"hh:mm")&amp;" | " &amp;TEXT(Carro1[[#This Row],[Hora Fim]],"hh:mm")</f>
        <v>18:51 | 18:51</v>
      </c>
      <c r="AN74" s="20">
        <f>INDEX($E$3:$AA$3,MATCH(Carro1[[#This Row],[Nó]],$E$1:$AA$1,0))</f>
        <v>1</v>
      </c>
      <c r="AO74" s="7">
        <f>+IF(AND(Carro1[[#This Row],[Nó]]=AI73,Carro1[[#This Row],[Nó]]=AI75),AO73,Carro1[[#This Row],[Hora Início]])</f>
        <v>0.78541666666666665</v>
      </c>
      <c r="AP74" s="20">
        <f t="shared" si="7"/>
        <v>2</v>
      </c>
      <c r="AQ74" s="20" cm="1">
        <f t="array" ref="AQ74">IFERROR(_xlfn.IFS(AP74=AP73,AQ73,AQ73="Ramo",1),AQ73+1)</f>
        <v>5</v>
      </c>
      <c r="AR74" s="20">
        <f t="shared" si="8"/>
        <v>0</v>
      </c>
      <c r="AS74" s="20" t="str">
        <f>IF(AND(Carro1[[#This Row],[Nó]]=AI75,Carro1[[#This Row],[Nó]]=AI76),"",AQ74&amp;"|"&amp;AN74)</f>
        <v>5|1</v>
      </c>
      <c r="AT74" s="20" t="str">
        <f t="shared" si="9"/>
        <v>5|1</v>
      </c>
      <c r="AU74" s="20" t="str">
        <f>IF(Carro1[[#This Row],[Tipo]]="Início",AQ74&amp;"|"&amp;AN74,"")</f>
        <v/>
      </c>
    </row>
    <row r="75" spans="33:47" x14ac:dyDescent="0.25">
      <c r="AG75" s="20" t="s">
        <v>298</v>
      </c>
      <c r="AH75" s="20" t="s">
        <v>296</v>
      </c>
      <c r="AI75" s="20" t="s">
        <v>20</v>
      </c>
      <c r="AJ75" s="7">
        <v>0.78611111111111109</v>
      </c>
      <c r="AK75" s="7">
        <v>0.78611111111111109</v>
      </c>
      <c r="AL75" s="20" t="s">
        <v>51</v>
      </c>
      <c r="AM75" s="20" t="str">
        <f>+TEXT(Carro1[[#This Row],[Column1]],"hh:mm")&amp;" | " &amp;TEXT(Carro1[[#This Row],[Hora Fim]],"hh:mm")</f>
        <v>18:52 | 18:52</v>
      </c>
      <c r="AN75" s="20">
        <f>INDEX($E$3:$AA$3,MATCH(Carro1[[#This Row],[Nó]],$E$1:$AA$1,0))</f>
        <v>0</v>
      </c>
      <c r="AO75" s="7">
        <f>+IF(AND(Carro1[[#This Row],[Nó]]=AI74,Carro1[[#This Row],[Nó]]=AI76),AO74,Carro1[[#This Row],[Hora Início]])</f>
        <v>0.78611111111111109</v>
      </c>
      <c r="AP75" s="20">
        <f t="shared" si="7"/>
        <v>2</v>
      </c>
      <c r="AQ75" s="20" cm="1">
        <f t="array" ref="AQ75">IFERROR(_xlfn.IFS(AP75=AP74,AQ74,AQ74="Ramo",1),AQ74+1)</f>
        <v>5</v>
      </c>
      <c r="AR75" s="20">
        <f t="shared" si="8"/>
        <v>0</v>
      </c>
      <c r="AS75" s="20" t="str">
        <f>IF(AND(Carro1[[#This Row],[Nó]]=AI76,Carro1[[#This Row],[Nó]]=AI77),"",AQ75&amp;"|"&amp;AN75)</f>
        <v/>
      </c>
      <c r="AT75" s="20" t="str">
        <f t="shared" si="9"/>
        <v>5|0</v>
      </c>
      <c r="AU75" s="20" t="str">
        <f>IF(Carro1[[#This Row],[Tipo]]="Início",AQ75&amp;"|"&amp;AN75,"")</f>
        <v/>
      </c>
    </row>
    <row r="76" spans="33:47" x14ac:dyDescent="0.25">
      <c r="AG76" s="20" t="s">
        <v>298</v>
      </c>
      <c r="AH76" s="20" t="s">
        <v>296</v>
      </c>
      <c r="AI76" s="20" t="s">
        <v>20</v>
      </c>
      <c r="AJ76" s="7">
        <v>0.78611111111111109</v>
      </c>
      <c r="AK76" s="7">
        <v>0.79652777777777772</v>
      </c>
      <c r="AL76" s="20" t="s">
        <v>50</v>
      </c>
      <c r="AM76" s="20" t="str">
        <f>+TEXT(Carro1[[#This Row],[Column1]],"hh:mm")&amp;" | " &amp;TEXT(Carro1[[#This Row],[Hora Fim]],"hh:mm")</f>
        <v>18:52 | 19:07</v>
      </c>
      <c r="AN76" s="20">
        <f>INDEX($E$3:$AA$3,MATCH(Carro1[[#This Row],[Nó]],$E$1:$AA$1,0))</f>
        <v>0</v>
      </c>
      <c r="AO76" s="7">
        <f>+IF(AND(Carro1[[#This Row],[Nó]]=AI75,Carro1[[#This Row],[Nó]]=AI77),AO75,Carro1[[#This Row],[Hora Início]])</f>
        <v>0.78611111111111109</v>
      </c>
      <c r="AP76" s="20">
        <f t="shared" si="7"/>
        <v>2</v>
      </c>
      <c r="AQ76" s="20" cm="1">
        <f t="array" ref="AQ76">IFERROR(_xlfn.IFS(AP76=AP75,AQ75,AQ75="Ramo",1),AQ75+1)</f>
        <v>5</v>
      </c>
      <c r="AR76" s="20">
        <f t="shared" si="8"/>
        <v>0</v>
      </c>
      <c r="AS76" s="20" t="str">
        <f>IF(AND(Carro1[[#This Row],[Nó]]=AI77,Carro1[[#This Row],[Nó]]=AI78),"",AQ76&amp;"|"&amp;AN76)</f>
        <v>5|0</v>
      </c>
      <c r="AT76" s="20" t="str">
        <f t="shared" si="9"/>
        <v>5|0</v>
      </c>
      <c r="AU76" s="20" t="str">
        <f>IF(Carro1[[#This Row],[Tipo]]="Início",AQ76&amp;"|"&amp;AN76,"")</f>
        <v/>
      </c>
    </row>
    <row r="77" spans="33:47" x14ac:dyDescent="0.25">
      <c r="AG77" s="20" t="s">
        <v>298</v>
      </c>
      <c r="AH77" s="20" t="s">
        <v>296</v>
      </c>
      <c r="AI77" s="20" t="s">
        <v>20</v>
      </c>
      <c r="AJ77" s="7">
        <v>0.79652777777777772</v>
      </c>
      <c r="AK77" s="7">
        <v>0.79652777777777772</v>
      </c>
      <c r="AL77" s="20" t="s">
        <v>51</v>
      </c>
      <c r="AM77" s="20" t="str">
        <f>+TEXT(Carro1[[#This Row],[Column1]],"hh:mm")&amp;" | " &amp;TEXT(Carro1[[#This Row],[Hora Fim]],"hh:mm")</f>
        <v>19:07 | 19:07</v>
      </c>
      <c r="AN77" s="20">
        <f>INDEX($E$3:$AA$3,MATCH(Carro1[[#This Row],[Nó]],$E$1:$AA$1,0))</f>
        <v>0</v>
      </c>
      <c r="AO77" s="7">
        <f>+IF(AND(Carro1[[#This Row],[Nó]]=AI76,Carro1[[#This Row],[Nó]]=AI78),AO76,Carro1[[#This Row],[Hora Início]])</f>
        <v>0.79652777777777772</v>
      </c>
      <c r="AP77" s="20">
        <f t="shared" si="7"/>
        <v>1</v>
      </c>
      <c r="AQ77" s="20" cm="1">
        <f t="array" ref="AQ77">IFERROR(_xlfn.IFS(AP77=AP76,AQ76,AQ76="Ramo",1),AQ76+1)</f>
        <v>6</v>
      </c>
      <c r="AR77" s="20">
        <f t="shared" si="8"/>
        <v>1</v>
      </c>
      <c r="AS77" s="20" t="str">
        <f>IF(AND(Carro1[[#This Row],[Nó]]=AI78,Carro1[[#This Row],[Nó]]=AI79),"",AQ77&amp;"|"&amp;AN77)</f>
        <v>6|0</v>
      </c>
      <c r="AT77" s="20" t="str">
        <f t="shared" si="9"/>
        <v>6|0</v>
      </c>
      <c r="AU77" s="20" t="str">
        <f>IF(Carro1[[#This Row],[Tipo]]="Início",AQ77&amp;"|"&amp;AN77,"")</f>
        <v/>
      </c>
    </row>
    <row r="78" spans="33:47" x14ac:dyDescent="0.25">
      <c r="AG78" s="20" t="s">
        <v>298</v>
      </c>
      <c r="AH78" s="20" t="s">
        <v>298</v>
      </c>
      <c r="AI78" s="20" t="s">
        <v>22</v>
      </c>
      <c r="AJ78" s="7">
        <v>0.79722222222222228</v>
      </c>
      <c r="AK78" s="7">
        <v>0.80069444444444449</v>
      </c>
      <c r="AL78" s="20" t="s">
        <v>50</v>
      </c>
      <c r="AM78" s="20" t="str">
        <f>+TEXT(Carro1[[#This Row],[Column1]],"hh:mm")&amp;" | " &amp;TEXT(Carro1[[#This Row],[Hora Fim]],"hh:mm")</f>
        <v>19:08 | 19:13</v>
      </c>
      <c r="AN78" s="20">
        <f>INDEX($E$3:$AA$3,MATCH(Carro1[[#This Row],[Nó]],$E$1:$AA$1,0))</f>
        <v>1</v>
      </c>
      <c r="AO78" s="7">
        <f>+IF(AND(Carro1[[#This Row],[Nó]]=AI77,Carro1[[#This Row],[Nó]]=AI79),AO77,Carro1[[#This Row],[Hora Início]])</f>
        <v>0.79722222222222228</v>
      </c>
      <c r="AP78" s="20">
        <f t="shared" si="7"/>
        <v>1</v>
      </c>
      <c r="AQ78" s="20" cm="1">
        <f t="array" ref="AQ78">IFERROR(_xlfn.IFS(AP78=AP77,AQ77,AQ77="Ramo",1),AQ77+1)</f>
        <v>6</v>
      </c>
      <c r="AR78" s="20">
        <f t="shared" si="8"/>
        <v>0</v>
      </c>
      <c r="AS78" s="20" t="str">
        <f>IF(AND(Carro1[[#This Row],[Nó]]=AI79,Carro1[[#This Row],[Nó]]=AI80),"",AQ78&amp;"|"&amp;AN78)</f>
        <v>6|1</v>
      </c>
      <c r="AT78" s="20" t="str">
        <f t="shared" si="9"/>
        <v>6|1</v>
      </c>
      <c r="AU78" s="20" t="str">
        <f>IF(Carro1[[#This Row],[Tipo]]="Início",AQ78&amp;"|"&amp;AN78,"")</f>
        <v/>
      </c>
    </row>
    <row r="79" spans="33:47" x14ac:dyDescent="0.25">
      <c r="AG79" s="20" t="s">
        <v>298</v>
      </c>
      <c r="AH79" s="20" t="s">
        <v>298</v>
      </c>
      <c r="AI79" s="20" t="s">
        <v>22</v>
      </c>
      <c r="AJ79" s="7">
        <v>0.80138888888888893</v>
      </c>
      <c r="AK79" s="7">
        <v>0.80138888888888893</v>
      </c>
      <c r="AL79" s="20" t="s">
        <v>51</v>
      </c>
      <c r="AM79" s="20" t="str">
        <f>+TEXT(Carro1[[#This Row],[Column1]],"hh:mm")&amp;" | " &amp;TEXT(Carro1[[#This Row],[Hora Fim]],"hh:mm")</f>
        <v>19:14 | 19:14</v>
      </c>
      <c r="AN79" s="20">
        <f>INDEX($E$3:$AA$3,MATCH(Carro1[[#This Row],[Nó]],$E$1:$AA$1,0))</f>
        <v>1</v>
      </c>
      <c r="AO79" s="7">
        <f>+IF(AND(Carro1[[#This Row],[Nó]]=AI78,Carro1[[#This Row],[Nó]]=AI80),AO78,Carro1[[#This Row],[Hora Início]])</f>
        <v>0.80138888888888893</v>
      </c>
      <c r="AP79" s="20">
        <f t="shared" si="7"/>
        <v>1</v>
      </c>
      <c r="AQ79" s="20" cm="1">
        <f t="array" ref="AQ79">IFERROR(_xlfn.IFS(AP79=AP78,AQ78,AQ78="Ramo",1),AQ78+1)</f>
        <v>6</v>
      </c>
      <c r="AR79" s="20">
        <f t="shared" si="8"/>
        <v>0</v>
      </c>
      <c r="AS79" s="20" t="str">
        <f>IF(AND(Carro1[[#This Row],[Nó]]=AI80,Carro1[[#This Row],[Nó]]=AI81),"",AQ79&amp;"|"&amp;AN79)</f>
        <v>6|1</v>
      </c>
      <c r="AT79" s="20" t="str">
        <f t="shared" si="9"/>
        <v>6|1</v>
      </c>
      <c r="AU79" s="20" t="str">
        <f>IF(Carro1[[#This Row],[Tipo]]="Início",AQ79&amp;"|"&amp;AN79,"")</f>
        <v/>
      </c>
    </row>
    <row r="80" spans="33:47" x14ac:dyDescent="0.25">
      <c r="AG80" s="20" t="s">
        <v>298</v>
      </c>
      <c r="AH80" s="20" t="s">
        <v>299</v>
      </c>
      <c r="AI80" s="20" t="s">
        <v>24</v>
      </c>
      <c r="AJ80" s="7">
        <v>0.80625000000000002</v>
      </c>
      <c r="AK80" s="7">
        <v>0.81597222222222221</v>
      </c>
      <c r="AL80" s="20" t="s">
        <v>50</v>
      </c>
      <c r="AM80" s="20" t="str">
        <f>+TEXT(Carro1[[#This Row],[Column1]],"hh:mm")&amp;" | " &amp;TEXT(Carro1[[#This Row],[Hora Fim]],"hh:mm")</f>
        <v>19:21 | 19:35</v>
      </c>
      <c r="AN80" s="20">
        <f>INDEX($E$3:$AA$3,MATCH(Carro1[[#This Row],[Nó]],$E$1:$AA$1,0))</f>
        <v>2</v>
      </c>
      <c r="AO80" s="7">
        <f>+IF(AND(Carro1[[#This Row],[Nó]]=AI79,Carro1[[#This Row],[Nó]]=AI81),AO79,Carro1[[#This Row],[Hora Início]])</f>
        <v>0.80625000000000002</v>
      </c>
      <c r="AP80" s="20">
        <f t="shared" si="7"/>
        <v>1</v>
      </c>
      <c r="AQ80" s="20" cm="1">
        <f t="array" ref="AQ80">IFERROR(_xlfn.IFS(AP80=AP79,AQ79,AQ79="Ramo",1),AQ79+1)</f>
        <v>6</v>
      </c>
      <c r="AR80" s="20">
        <f t="shared" si="8"/>
        <v>0</v>
      </c>
      <c r="AS80" s="20" t="str">
        <f>IF(AND(Carro1[[#This Row],[Nó]]=AI81,Carro1[[#This Row],[Nó]]=AI82),"",AQ80&amp;"|"&amp;AN80)</f>
        <v>6|2</v>
      </c>
      <c r="AT80" s="20" t="str">
        <f t="shared" si="9"/>
        <v>6|2</v>
      </c>
      <c r="AU80" s="20" t="str">
        <f>IF(Carro1[[#This Row],[Tipo]]="Início",AQ80&amp;"|"&amp;AN80,"")</f>
        <v/>
      </c>
    </row>
    <row r="81" spans="33:47" x14ac:dyDescent="0.25">
      <c r="AG81" s="20" t="s">
        <v>298</v>
      </c>
      <c r="AH81" s="20" t="s">
        <v>299</v>
      </c>
      <c r="AI81" s="20" t="s">
        <v>24</v>
      </c>
      <c r="AJ81" s="7">
        <v>0.8208333333333333</v>
      </c>
      <c r="AK81" s="7">
        <v>0.8208333333333333</v>
      </c>
      <c r="AL81" s="20" t="s">
        <v>51</v>
      </c>
      <c r="AM81" s="20" t="str">
        <f>+TEXT(Carro1[[#This Row],[Column1]],"hh:mm")&amp;" | " &amp;TEXT(Carro1[[#This Row],[Hora Fim]],"hh:mm")</f>
        <v>19:42 | 19:42</v>
      </c>
      <c r="AN81" s="20">
        <f>INDEX($E$3:$AA$3,MATCH(Carro1[[#This Row],[Nó]],$E$1:$AA$1,0))</f>
        <v>2</v>
      </c>
      <c r="AO81" s="7">
        <f>+IF(AND(Carro1[[#This Row],[Nó]]=AI80,Carro1[[#This Row],[Nó]]=AI82),AO80,Carro1[[#This Row],[Hora Início]])</f>
        <v>0.8208333333333333</v>
      </c>
      <c r="AP81" s="20">
        <f t="shared" si="7"/>
        <v>1</v>
      </c>
      <c r="AQ81" s="20" cm="1">
        <f t="array" ref="AQ81">IFERROR(_xlfn.IFS(AP81=AP80,AQ80,AQ80="Ramo",1),AQ80+1)</f>
        <v>6</v>
      </c>
      <c r="AR81" s="20">
        <f t="shared" si="8"/>
        <v>0</v>
      </c>
      <c r="AS81" s="20" t="str">
        <f>IF(AND(Carro1[[#This Row],[Nó]]=AI82,Carro1[[#This Row],[Nó]]=AI83),"",AQ81&amp;"|"&amp;AN81)</f>
        <v>6|2</v>
      </c>
      <c r="AT81" s="20" t="str">
        <f t="shared" si="9"/>
        <v>6|2</v>
      </c>
      <c r="AU81" s="20" t="str">
        <f>IF(Carro1[[#This Row],[Tipo]]="Início",AQ81&amp;"|"&amp;AN81,"")</f>
        <v/>
      </c>
    </row>
    <row r="82" spans="33:47" x14ac:dyDescent="0.25">
      <c r="AG82" s="20" t="s">
        <v>298</v>
      </c>
      <c r="AH82" s="20" t="s">
        <v>300</v>
      </c>
      <c r="AI82" s="20" t="s">
        <v>26</v>
      </c>
      <c r="AJ82" s="7">
        <v>0.82152777777777775</v>
      </c>
      <c r="AK82" s="7">
        <v>0.82847222222222228</v>
      </c>
      <c r="AL82" s="20" t="s">
        <v>50</v>
      </c>
      <c r="AM82" s="20" t="str">
        <f>+TEXT(Carro1[[#This Row],[Column1]],"hh:mm")&amp;" | " &amp;TEXT(Carro1[[#This Row],[Hora Fim]],"hh:mm")</f>
        <v>19:43 | 19:53</v>
      </c>
      <c r="AN82" s="20">
        <f>INDEX($E$3:$AA$3,MATCH(Carro1[[#This Row],[Nó]],$E$1:$AA$1,0))</f>
        <v>3</v>
      </c>
      <c r="AO82" s="7">
        <f>+IF(AND(Carro1[[#This Row],[Nó]]=AI81,Carro1[[#This Row],[Nó]]=AI83),AO81,Carro1[[#This Row],[Hora Início]])</f>
        <v>0.82152777777777775</v>
      </c>
      <c r="AP82" s="20">
        <f t="shared" si="7"/>
        <v>1</v>
      </c>
      <c r="AQ82" s="20" cm="1">
        <f t="array" ref="AQ82">IFERROR(_xlfn.IFS(AP82=AP81,AQ81,AQ81="Ramo",1),AQ81+1)</f>
        <v>6</v>
      </c>
      <c r="AR82" s="20">
        <f t="shared" si="8"/>
        <v>0</v>
      </c>
      <c r="AS82" s="20" t="str">
        <f>IF(AND(Carro1[[#This Row],[Nó]]=AI83,Carro1[[#This Row],[Nó]]=AI84),"",AQ82&amp;"|"&amp;AN82)</f>
        <v>6|3</v>
      </c>
      <c r="AT82" s="20" t="str">
        <f t="shared" si="9"/>
        <v>6|3</v>
      </c>
      <c r="AU82" s="20" t="str">
        <f>IF(Carro1[[#This Row],[Tipo]]="Início",AQ82&amp;"|"&amp;AN82,"")</f>
        <v/>
      </c>
    </row>
    <row r="83" spans="33:47" x14ac:dyDescent="0.25">
      <c r="AG83" s="20" t="s">
        <v>298</v>
      </c>
      <c r="AH83" s="20" t="s">
        <v>300</v>
      </c>
      <c r="AI83" s="20" t="s">
        <v>26</v>
      </c>
      <c r="AJ83" s="7">
        <v>0.82916666666666672</v>
      </c>
      <c r="AK83" s="7">
        <v>0.82916666666666672</v>
      </c>
      <c r="AL83" s="20" t="s">
        <v>51</v>
      </c>
      <c r="AM83" s="20" t="str">
        <f>+TEXT(Carro1[[#This Row],[Column1]],"hh:mm")&amp;" | " &amp;TEXT(Carro1[[#This Row],[Hora Fim]],"hh:mm")</f>
        <v>19:54 | 19:54</v>
      </c>
      <c r="AN83" s="20">
        <f>INDEX($E$3:$AA$3,MATCH(Carro1[[#This Row],[Nó]],$E$1:$AA$1,0))</f>
        <v>3</v>
      </c>
      <c r="AO83" s="7">
        <f>+IF(AND(Carro1[[#This Row],[Nó]]=AI82,Carro1[[#This Row],[Nó]]=AI84),AO82,Carro1[[#This Row],[Hora Início]])</f>
        <v>0.82916666666666672</v>
      </c>
      <c r="AP83" s="20">
        <f t="shared" si="7"/>
        <v>1</v>
      </c>
      <c r="AQ83" s="20" cm="1">
        <f t="array" ref="AQ83">IFERROR(_xlfn.IFS(AP83=AP82,AQ82,AQ82="Ramo",1),AQ82+1)</f>
        <v>6</v>
      </c>
      <c r="AR83" s="20">
        <f t="shared" si="8"/>
        <v>0</v>
      </c>
      <c r="AS83" s="20" t="str">
        <f>IF(AND(Carro1[[#This Row],[Nó]]=AI84,Carro1[[#This Row],[Nó]]=AI85),"",AQ83&amp;"|"&amp;AN83)</f>
        <v>6|3</v>
      </c>
      <c r="AT83" s="20" t="str">
        <f t="shared" si="9"/>
        <v>6|3</v>
      </c>
      <c r="AU83" s="20" t="str">
        <f>IF(Carro1[[#This Row],[Tipo]]="Início",AQ83&amp;"|"&amp;AN83,"")</f>
        <v/>
      </c>
    </row>
    <row r="84" spans="33:47" x14ac:dyDescent="0.25">
      <c r="AG84" s="20" t="s">
        <v>298</v>
      </c>
      <c r="AH84" s="20" t="s">
        <v>301</v>
      </c>
      <c r="AI84" s="20" t="s">
        <v>27</v>
      </c>
      <c r="AJ84" s="7">
        <v>0.82986111111111116</v>
      </c>
      <c r="AK84" s="7">
        <v>0.83888888888888891</v>
      </c>
      <c r="AL84" s="20" t="s">
        <v>50</v>
      </c>
      <c r="AM84" s="20" t="str">
        <f>+TEXT(Carro1[[#This Row],[Column1]],"hh:mm")&amp;" | " &amp;TEXT(Carro1[[#This Row],[Hora Fim]],"hh:mm")</f>
        <v>19:55 | 20:08</v>
      </c>
      <c r="AN84" s="20">
        <f>INDEX($E$3:$AA$3,MATCH(Carro1[[#This Row],[Nó]],$E$1:$AA$1,0))</f>
        <v>4</v>
      </c>
      <c r="AO84" s="7">
        <f>+IF(AND(Carro1[[#This Row],[Nó]]=AI83,Carro1[[#This Row],[Nó]]=AI85),AO83,Carro1[[#This Row],[Hora Início]])</f>
        <v>0.82986111111111116</v>
      </c>
      <c r="AP84" s="20">
        <f t="shared" si="7"/>
        <v>1</v>
      </c>
      <c r="AQ84" s="20" cm="1">
        <f t="array" ref="AQ84">IFERROR(_xlfn.IFS(AP84=AP83,AQ83,AQ83="Ramo",1),AQ83+1)</f>
        <v>6</v>
      </c>
      <c r="AR84" s="20">
        <f t="shared" si="8"/>
        <v>0</v>
      </c>
      <c r="AS84" s="20" t="str">
        <f>IF(AND(Carro1[[#This Row],[Nó]]=AI85,Carro1[[#This Row],[Nó]]=AI86),"",AQ84&amp;"|"&amp;AN84)</f>
        <v>6|4</v>
      </c>
      <c r="AT84" s="20" t="str">
        <f t="shared" si="9"/>
        <v>6|4</v>
      </c>
      <c r="AU84" s="20" t="str">
        <f>IF(Carro1[[#This Row],[Tipo]]="Início",AQ84&amp;"|"&amp;AN84,"")</f>
        <v/>
      </c>
    </row>
    <row r="85" spans="33:47" x14ac:dyDescent="0.25">
      <c r="AG85" s="20" t="s">
        <v>298</v>
      </c>
      <c r="AH85" s="20" t="s">
        <v>301</v>
      </c>
      <c r="AI85" s="20" t="s">
        <v>27</v>
      </c>
      <c r="AJ85" s="7">
        <v>0.83958333333333335</v>
      </c>
      <c r="AK85" s="7">
        <v>0.83958333333333335</v>
      </c>
      <c r="AL85" s="20" t="s">
        <v>51</v>
      </c>
      <c r="AM85" s="20" t="str">
        <f>+TEXT(Carro1[[#This Row],[Column1]],"hh:mm")&amp;" | " &amp;TEXT(Carro1[[#This Row],[Hora Fim]],"hh:mm")</f>
        <v>20:09 | 20:09</v>
      </c>
      <c r="AN85" s="20">
        <f>INDEX($E$3:$AA$3,MATCH(Carro1[[#This Row],[Nó]],$E$1:$AA$1,0))</f>
        <v>4</v>
      </c>
      <c r="AO85" s="7">
        <f>+IF(AND(Carro1[[#This Row],[Nó]]=AI84,Carro1[[#This Row],[Nó]]=AI86),AO84,Carro1[[#This Row],[Hora Início]])</f>
        <v>0.83958333333333335</v>
      </c>
      <c r="AP85" s="20">
        <f t="shared" si="7"/>
        <v>1</v>
      </c>
      <c r="AQ85" s="20" cm="1">
        <f t="array" ref="AQ85">IFERROR(_xlfn.IFS(AP85=AP84,AQ84,AQ84="Ramo",1),AQ84+1)</f>
        <v>6</v>
      </c>
      <c r="AR85" s="20">
        <f t="shared" si="8"/>
        <v>0</v>
      </c>
      <c r="AS85" s="20" t="str">
        <f>IF(AND(Carro1[[#This Row],[Nó]]=AI86,Carro1[[#This Row],[Nó]]=AI87),"",AQ85&amp;"|"&amp;AN85)</f>
        <v>6|4</v>
      </c>
      <c r="AT85" s="20" t="str">
        <f t="shared" si="9"/>
        <v>6|4</v>
      </c>
      <c r="AU85" s="20" t="str">
        <f>IF(Carro1[[#This Row],[Tipo]]="Início",AQ85&amp;"|"&amp;AN85,"")</f>
        <v/>
      </c>
    </row>
    <row r="86" spans="33:47" x14ac:dyDescent="0.25">
      <c r="AG86" s="20" t="s">
        <v>298</v>
      </c>
      <c r="AH86" s="20" t="s">
        <v>308</v>
      </c>
      <c r="AI86" s="20" t="s">
        <v>29</v>
      </c>
      <c r="AJ86" s="7">
        <v>0.84166666666666667</v>
      </c>
      <c r="AK86" s="7">
        <v>0.84861111111111109</v>
      </c>
      <c r="AL86" s="20" t="s">
        <v>297</v>
      </c>
      <c r="AM86" s="20" t="str">
        <f>+TEXT(Carro1[[#This Row],[Column1]],"hh:mm")&amp;" | " &amp;TEXT(Carro1[[#This Row],[Hora Fim]],"hh:mm")</f>
        <v>20:12 | 20:22</v>
      </c>
      <c r="AN86" s="20">
        <f>INDEX($E$3:$AA$3,MATCH(Carro1[[#This Row],[Nó]],$E$1:$AA$1,0))</f>
        <v>5</v>
      </c>
      <c r="AO86" s="7">
        <f>+IF(AND(Carro1[[#This Row],[Nó]]=AI85,Carro1[[#This Row],[Nó]]=AI87),AO85,Carro1[[#This Row],[Hora Início]])</f>
        <v>0.84166666666666667</v>
      </c>
      <c r="AP86" s="20">
        <f t="shared" si="7"/>
        <v>1</v>
      </c>
      <c r="AQ86" s="20" cm="1">
        <f t="array" ref="AQ86">IFERROR(_xlfn.IFS(AP86=AP85,AQ85,AQ85="Ramo",1),AQ85+1)</f>
        <v>6</v>
      </c>
      <c r="AR86" s="20">
        <f t="shared" si="8"/>
        <v>0</v>
      </c>
      <c r="AS86" s="20" t="str">
        <f>IF(AND(Carro1[[#This Row],[Nó]]=AI87,Carro1[[#This Row],[Nó]]=AI88),"",AQ86&amp;"|"&amp;AN86)</f>
        <v/>
      </c>
      <c r="AT86" s="20" t="str">
        <f t="shared" si="9"/>
        <v>6|5</v>
      </c>
      <c r="AU86" s="20" t="str">
        <f>IF(Carro1[[#This Row],[Tipo]]="Início",AQ86&amp;"|"&amp;AN86,"")</f>
        <v/>
      </c>
    </row>
    <row r="87" spans="33:47" x14ac:dyDescent="0.25">
      <c r="AG87" s="20" t="s">
        <v>298</v>
      </c>
      <c r="AH87" s="20" t="s">
        <v>308</v>
      </c>
      <c r="AI87" s="20" t="s">
        <v>29</v>
      </c>
      <c r="AJ87" s="7">
        <v>0.85069444444444442</v>
      </c>
      <c r="AK87" s="7">
        <v>0.87013888888888891</v>
      </c>
      <c r="AL87" s="20" t="s">
        <v>50</v>
      </c>
      <c r="AM87" s="20" t="str">
        <f>+TEXT(Carro1[[#This Row],[Column1]],"hh:mm")&amp;" | " &amp;TEXT(Carro1[[#This Row],[Hora Fim]],"hh:mm")</f>
        <v>20:12 | 20:53</v>
      </c>
      <c r="AN87" s="20">
        <f>INDEX($E$3:$AA$3,MATCH(Carro1[[#This Row],[Nó]],$E$1:$AA$1,0))</f>
        <v>5</v>
      </c>
      <c r="AO87" s="7">
        <f>+IF(AND(Carro1[[#This Row],[Nó]]=AI86,Carro1[[#This Row],[Nó]]=AI88),AO86,Carro1[[#This Row],[Hora Início]])</f>
        <v>0.84166666666666667</v>
      </c>
      <c r="AP87" s="20">
        <f t="shared" si="7"/>
        <v>1</v>
      </c>
      <c r="AQ87" s="20" cm="1">
        <f t="array" ref="AQ87">IFERROR(_xlfn.IFS(AP87=AP86,AQ86,AQ86="Ramo",1),AQ86+1)</f>
        <v>6</v>
      </c>
      <c r="AR87" s="20">
        <f t="shared" si="8"/>
        <v>0</v>
      </c>
      <c r="AS87" s="20" t="str">
        <f>IF(AND(Carro1[[#This Row],[Nó]]=AI88,Carro1[[#This Row],[Nó]]=AI89),"",AQ87&amp;"|"&amp;AN87)</f>
        <v>6|5</v>
      </c>
      <c r="AT87" s="20" t="str">
        <f t="shared" si="9"/>
        <v>6|5</v>
      </c>
      <c r="AU87" s="20" t="str">
        <f>IF(Carro1[[#This Row],[Tipo]]="Início",AQ87&amp;"|"&amp;AN87,"")</f>
        <v/>
      </c>
    </row>
    <row r="88" spans="33:47" x14ac:dyDescent="0.25">
      <c r="AG88" s="20" t="s">
        <v>298</v>
      </c>
      <c r="AH88" s="20" t="s">
        <v>308</v>
      </c>
      <c r="AI88" s="20" t="s">
        <v>29</v>
      </c>
      <c r="AJ88" s="7">
        <v>0.87222222222222223</v>
      </c>
      <c r="AK88" s="7">
        <v>0.87222222222222223</v>
      </c>
      <c r="AL88" s="20" t="s">
        <v>51</v>
      </c>
      <c r="AM88" s="20" t="str">
        <f>+TEXT(Carro1[[#This Row],[Column1]],"hh:mm")&amp;" | " &amp;TEXT(Carro1[[#This Row],[Hora Fim]],"hh:mm")</f>
        <v>20:56 | 20:56</v>
      </c>
      <c r="AN88" s="20">
        <f>INDEX($E$3:$AA$3,MATCH(Carro1[[#This Row],[Nó]],$E$1:$AA$1,0))</f>
        <v>5</v>
      </c>
      <c r="AO88" s="7">
        <f>+IF(AND(Carro1[[#This Row],[Nó]]=AI87,Carro1[[#This Row],[Nó]]=AI89),AO87,Carro1[[#This Row],[Hora Início]])</f>
        <v>0.87222222222222223</v>
      </c>
      <c r="AP88" s="20">
        <f t="shared" si="7"/>
        <v>1</v>
      </c>
      <c r="AQ88" s="20" cm="1">
        <f t="array" ref="AQ88">IFERROR(_xlfn.IFS(AP88=AP87,AQ87,AQ87="Ramo",1),AQ87+1)</f>
        <v>6</v>
      </c>
      <c r="AR88" s="20">
        <f t="shared" si="8"/>
        <v>0</v>
      </c>
      <c r="AS88" s="20" t="str">
        <f>IF(AND(Carro1[[#This Row],[Nó]]=AI89,Carro1[[#This Row],[Nó]]=AI90),"",AQ88&amp;"|"&amp;AN88)</f>
        <v>6|5</v>
      </c>
      <c r="AT88" s="20" t="str">
        <f t="shared" si="9"/>
        <v>6|5</v>
      </c>
      <c r="AU88" s="20" t="str">
        <f>IF(Carro1[[#This Row],[Tipo]]="Início",AQ88&amp;"|"&amp;AN88,"")</f>
        <v/>
      </c>
    </row>
    <row r="89" spans="33:47" x14ac:dyDescent="0.25">
      <c r="AG89" s="20" t="s">
        <v>298</v>
      </c>
      <c r="AH89" s="20" t="s">
        <v>309</v>
      </c>
      <c r="AI89" s="20" t="s">
        <v>31</v>
      </c>
      <c r="AJ89" s="7">
        <v>0.87430555555555556</v>
      </c>
      <c r="AK89" s="7">
        <v>0.88055555555555554</v>
      </c>
      <c r="AL89" s="20" t="s">
        <v>50</v>
      </c>
      <c r="AM89" s="20" t="str">
        <f>+TEXT(Carro1[[#This Row],[Column1]],"hh:mm")&amp;" | " &amp;TEXT(Carro1[[#This Row],[Hora Fim]],"hh:mm")</f>
        <v>20:59 | 21:08</v>
      </c>
      <c r="AN89" s="20">
        <f>INDEX($E$3:$AA$3,MATCH(Carro1[[#This Row],[Nó]],$E$1:$AA$1,0))</f>
        <v>6</v>
      </c>
      <c r="AO89" s="7">
        <f>+IF(AND(Carro1[[#This Row],[Nó]]=AI88,Carro1[[#This Row],[Nó]]=AI90),AO88,Carro1[[#This Row],[Hora Início]])</f>
        <v>0.87430555555555556</v>
      </c>
      <c r="AP89" s="20">
        <f t="shared" si="7"/>
        <v>1</v>
      </c>
      <c r="AQ89" s="20" cm="1">
        <f t="array" ref="AQ89">IFERROR(_xlfn.IFS(AP89=AP88,AQ88,AQ88="Ramo",1),AQ88+1)</f>
        <v>6</v>
      </c>
      <c r="AR89" s="20">
        <f t="shared" si="8"/>
        <v>0</v>
      </c>
      <c r="AS89" s="20" t="str">
        <f>IF(AND(Carro1[[#This Row],[Nó]]=AI90,Carro1[[#This Row],[Nó]]=AI91),"",AQ89&amp;"|"&amp;AN89)</f>
        <v>6|6</v>
      </c>
      <c r="AT89" s="20" t="str">
        <f t="shared" si="9"/>
        <v>6|6</v>
      </c>
      <c r="AU89" s="20" t="str">
        <f>IF(Carro1[[#This Row],[Tipo]]="Início",AQ89&amp;"|"&amp;AN89,"")</f>
        <v/>
      </c>
    </row>
    <row r="90" spans="33:47" x14ac:dyDescent="0.25">
      <c r="AG90" s="20" t="s">
        <v>298</v>
      </c>
      <c r="AH90" s="20" t="s">
        <v>309</v>
      </c>
      <c r="AI90" s="20" t="s">
        <v>31</v>
      </c>
      <c r="AJ90" s="7">
        <v>0.88263888888888886</v>
      </c>
      <c r="AK90" s="7">
        <v>0.88263888888888886</v>
      </c>
      <c r="AL90" s="20" t="s">
        <v>51</v>
      </c>
      <c r="AM90" s="20" t="str">
        <f>+TEXT(Carro1[[#This Row],[Column1]],"hh:mm")&amp;" | " &amp;TEXT(Carro1[[#This Row],[Hora Fim]],"hh:mm")</f>
        <v>21:11 | 21:11</v>
      </c>
      <c r="AN90" s="20">
        <f>INDEX($E$3:$AA$3,MATCH(Carro1[[#This Row],[Nó]],$E$1:$AA$1,0))</f>
        <v>6</v>
      </c>
      <c r="AO90" s="7">
        <f>+IF(AND(Carro1[[#This Row],[Nó]]=AI89,Carro1[[#This Row],[Nó]]=AI91),AO89,Carro1[[#This Row],[Hora Início]])</f>
        <v>0.88263888888888886</v>
      </c>
      <c r="AP90" s="20">
        <f t="shared" si="7"/>
        <v>1</v>
      </c>
      <c r="AQ90" s="20" cm="1">
        <f t="array" ref="AQ90">IFERROR(_xlfn.IFS(AP90=AP89,AQ89,AQ89="Ramo",1),AQ89+1)</f>
        <v>6</v>
      </c>
      <c r="AR90" s="20">
        <f t="shared" si="8"/>
        <v>0</v>
      </c>
      <c r="AS90" s="20" t="str">
        <f>IF(AND(Carro1[[#This Row],[Nó]]=AI91,Carro1[[#This Row],[Nó]]=AI92),"",AQ90&amp;"|"&amp;AN90)</f>
        <v>6|6</v>
      </c>
      <c r="AT90" s="20" t="str">
        <f t="shared" si="9"/>
        <v>6|6</v>
      </c>
      <c r="AU90" s="20" t="str">
        <f>IF(Carro1[[#This Row],[Tipo]]="Início",AQ90&amp;"|"&amp;AN90,"")</f>
        <v/>
      </c>
    </row>
    <row r="91" spans="33:47" x14ac:dyDescent="0.25">
      <c r="AG91" s="20" t="s">
        <v>298</v>
      </c>
      <c r="AH91" s="20" t="s">
        <v>310</v>
      </c>
      <c r="AI91" s="20" t="s">
        <v>33</v>
      </c>
      <c r="AJ91" s="7">
        <v>0.88472222222222219</v>
      </c>
      <c r="AK91" s="7">
        <v>0.88472222222222219</v>
      </c>
      <c r="AL91" s="20" t="s">
        <v>51</v>
      </c>
      <c r="AM91" s="20" t="str">
        <f>+TEXT(Carro1[[#This Row],[Column1]],"hh:mm")&amp;" | " &amp;TEXT(Carro1[[#This Row],[Hora Fim]],"hh:mm")</f>
        <v>21:14 | 21:14</v>
      </c>
      <c r="AN91" s="20">
        <f>INDEX($E$3:$AA$3,MATCH(Carro1[[#This Row],[Nó]],$E$1:$AA$1,0))</f>
        <v>7</v>
      </c>
      <c r="AO91" s="7">
        <f>+IF(AND(Carro1[[#This Row],[Nó]]=AI90,Carro1[[#This Row],[Nó]]=AI92),AO90,Carro1[[#This Row],[Hora Início]])</f>
        <v>0.88472222222222219</v>
      </c>
      <c r="AP91" s="20">
        <f t="shared" si="7"/>
        <v>1</v>
      </c>
      <c r="AQ91" s="20" cm="1">
        <f t="array" ref="AQ91">IFERROR(_xlfn.IFS(AP91=AP90,AQ90,AQ90="Ramo",1),AQ90+1)</f>
        <v>6</v>
      </c>
      <c r="AR91" s="20">
        <f t="shared" si="8"/>
        <v>0</v>
      </c>
      <c r="AS91" s="20" t="str">
        <f>IF(AND(Carro1[[#This Row],[Nó]]=AI92,Carro1[[#This Row],[Nó]]=AI93),"",AQ91&amp;"|"&amp;AN91)</f>
        <v>6|7</v>
      </c>
      <c r="AT91" s="20" t="str">
        <f t="shared" si="9"/>
        <v>6|7</v>
      </c>
      <c r="AU91" s="20" t="str">
        <f>IF(Carro1[[#This Row],[Tipo]]="Início",AQ91&amp;"|"&amp;AN91,"")</f>
        <v/>
      </c>
    </row>
    <row r="92" spans="33:47" x14ac:dyDescent="0.25">
      <c r="AG92" s="20" t="s">
        <v>298</v>
      </c>
      <c r="AH92" s="20" t="s">
        <v>310</v>
      </c>
      <c r="AI92" s="20" t="s">
        <v>33</v>
      </c>
      <c r="AJ92" s="7">
        <v>0.88472222222222219</v>
      </c>
      <c r="AK92" s="7">
        <v>0.88472222222222219</v>
      </c>
      <c r="AL92" s="20" t="s">
        <v>51</v>
      </c>
      <c r="AM92" s="20" t="str">
        <f>+TEXT(Carro1[[#This Row],[Column1]],"hh:mm")&amp;" | " &amp;TEXT(Carro1[[#This Row],[Hora Fim]],"hh:mm")</f>
        <v>21:14 | 21:14</v>
      </c>
      <c r="AN92" s="20">
        <f>INDEX($E$3:$AA$3,MATCH(Carro1[[#This Row],[Nó]],$E$1:$AA$1,0))</f>
        <v>7</v>
      </c>
      <c r="AO92" s="7">
        <f>+IF(AND(Carro1[[#This Row],[Nó]]=AI91,Carro1[[#This Row],[Nó]]=AI93),AO91,Carro1[[#This Row],[Hora Início]])</f>
        <v>0.88472222222222219</v>
      </c>
      <c r="AP92" s="20">
        <f t="shared" si="7"/>
        <v>2</v>
      </c>
      <c r="AQ92" s="20" cm="1">
        <f t="array" ref="AQ92">IFERROR(_xlfn.IFS(AP92=AP91,AQ91,AQ91="Ramo",1),AQ91+1)</f>
        <v>7</v>
      </c>
      <c r="AR92" s="20">
        <f t="shared" si="8"/>
        <v>1</v>
      </c>
      <c r="AS92" s="20" t="str">
        <f>IF(AND(Carro1[[#This Row],[Nó]]=AI93,Carro1[[#This Row],[Nó]]=AI94),"",AQ92&amp;"|"&amp;AN92)</f>
        <v>7|7</v>
      </c>
      <c r="AT92" s="20" t="str">
        <f t="shared" si="9"/>
        <v>7|7</v>
      </c>
      <c r="AU92" s="20" t="str">
        <f>IF(Carro1[[#This Row],[Tipo]]="Início",AQ92&amp;"|"&amp;AN92,"")</f>
        <v/>
      </c>
    </row>
    <row r="93" spans="33:47" x14ac:dyDescent="0.25">
      <c r="AG93" s="20" t="s">
        <v>298</v>
      </c>
      <c r="AH93" s="20" t="s">
        <v>309</v>
      </c>
      <c r="AI93" s="20" t="s">
        <v>31</v>
      </c>
      <c r="AJ93" s="7">
        <v>0.88680555555555551</v>
      </c>
      <c r="AK93" s="7">
        <v>0.88680555555555551</v>
      </c>
      <c r="AL93" s="20" t="s">
        <v>51</v>
      </c>
      <c r="AM93" s="20" t="str">
        <f>+TEXT(Carro1[[#This Row],[Column1]],"hh:mm")&amp;" | " &amp;TEXT(Carro1[[#This Row],[Hora Fim]],"hh:mm")</f>
        <v>21:17 | 21:17</v>
      </c>
      <c r="AN93" s="20">
        <f>INDEX($E$3:$AA$3,MATCH(Carro1[[#This Row],[Nó]],$E$1:$AA$1,0))</f>
        <v>6</v>
      </c>
      <c r="AO93" s="7">
        <f>+IF(AND(Carro1[[#This Row],[Nó]]=AI92,Carro1[[#This Row],[Nó]]=AI94),AO92,Carro1[[#This Row],[Hora Início]])</f>
        <v>0.88680555555555551</v>
      </c>
      <c r="AP93" s="20">
        <f t="shared" si="7"/>
        <v>2</v>
      </c>
      <c r="AQ93" s="20" cm="1">
        <f t="array" ref="AQ93">IFERROR(_xlfn.IFS(AP93=AP92,AQ92,AQ92="Ramo",1),AQ92+1)</f>
        <v>7</v>
      </c>
      <c r="AR93" s="20">
        <f t="shared" si="8"/>
        <v>0</v>
      </c>
      <c r="AS93" s="20" t="str">
        <f>IF(AND(Carro1[[#This Row],[Nó]]=AI94,Carro1[[#This Row],[Nó]]=AI95),"",AQ93&amp;"|"&amp;AN93)</f>
        <v>7|6</v>
      </c>
      <c r="AT93" s="20" t="str">
        <f t="shared" si="9"/>
        <v>7|6</v>
      </c>
      <c r="AU93" s="20" t="str">
        <f>IF(Carro1[[#This Row],[Tipo]]="Início",AQ93&amp;"|"&amp;AN93,"")</f>
        <v/>
      </c>
    </row>
    <row r="94" spans="33:47" x14ac:dyDescent="0.25">
      <c r="AG94" s="20" t="s">
        <v>298</v>
      </c>
      <c r="AH94" s="20" t="s">
        <v>308</v>
      </c>
      <c r="AI94" s="20" t="s">
        <v>29</v>
      </c>
      <c r="AJ94" s="7">
        <v>0.88888888888888884</v>
      </c>
      <c r="AK94" s="7">
        <v>0.88888888888888884</v>
      </c>
      <c r="AL94" s="20" t="s">
        <v>51</v>
      </c>
      <c r="AM94" s="20" t="str">
        <f>+TEXT(Carro1[[#This Row],[Column1]],"hh:mm")&amp;" | " &amp;TEXT(Carro1[[#This Row],[Hora Fim]],"hh:mm")</f>
        <v>21:20 | 21:20</v>
      </c>
      <c r="AN94" s="20">
        <f>INDEX($E$3:$AA$3,MATCH(Carro1[[#This Row],[Nó]],$E$1:$AA$1,0))</f>
        <v>5</v>
      </c>
      <c r="AO94" s="7">
        <f>+IF(AND(Carro1[[#This Row],[Nó]]=AI93,Carro1[[#This Row],[Nó]]=AI95),AO93,Carro1[[#This Row],[Hora Início]])</f>
        <v>0.88888888888888884</v>
      </c>
      <c r="AP94" s="20">
        <f t="shared" si="7"/>
        <v>2</v>
      </c>
      <c r="AQ94" s="20" cm="1">
        <f t="array" ref="AQ94">IFERROR(_xlfn.IFS(AP94=AP93,AQ93,AQ93="Ramo",1),AQ93+1)</f>
        <v>7</v>
      </c>
      <c r="AR94" s="20">
        <f t="shared" si="8"/>
        <v>0</v>
      </c>
      <c r="AS94" s="20" t="str">
        <f>IF(AND(Carro1[[#This Row],[Nó]]=AI95,Carro1[[#This Row],[Nó]]=AI96),"",AQ94&amp;"|"&amp;AN94)</f>
        <v>7|5</v>
      </c>
      <c r="AT94" s="20" t="str">
        <f t="shared" si="9"/>
        <v>7|5</v>
      </c>
      <c r="AU94" s="20" t="str">
        <f>IF(Carro1[[#This Row],[Tipo]]="Início",AQ94&amp;"|"&amp;AN94,"")</f>
        <v/>
      </c>
    </row>
    <row r="95" spans="33:47" x14ac:dyDescent="0.25">
      <c r="AG95" s="20" t="s">
        <v>298</v>
      </c>
      <c r="AH95" s="20" t="s">
        <v>301</v>
      </c>
      <c r="AI95" s="20" t="s">
        <v>27</v>
      </c>
      <c r="AJ95" s="7">
        <v>0.89097222222222228</v>
      </c>
      <c r="AK95" s="7">
        <v>0.89097222222222228</v>
      </c>
      <c r="AL95" s="20" t="s">
        <v>51</v>
      </c>
      <c r="AM95" s="20" t="str">
        <f>+TEXT(Carro1[[#This Row],[Column1]],"hh:mm")&amp;" | " &amp;TEXT(Carro1[[#This Row],[Hora Fim]],"hh:mm")</f>
        <v>21:23 | 21:23</v>
      </c>
      <c r="AN95" s="20">
        <f>INDEX($E$3:$AA$3,MATCH(Carro1[[#This Row],[Nó]],$E$1:$AA$1,0))</f>
        <v>4</v>
      </c>
      <c r="AO95" s="7">
        <f>+IF(AND(Carro1[[#This Row],[Nó]]=AI94,Carro1[[#This Row],[Nó]]=AI96),AO94,Carro1[[#This Row],[Hora Início]])</f>
        <v>0.89097222222222228</v>
      </c>
      <c r="AP95" s="20">
        <f t="shared" si="7"/>
        <v>2</v>
      </c>
      <c r="AQ95" s="20" cm="1">
        <f t="array" ref="AQ95">IFERROR(_xlfn.IFS(AP95=AP94,AQ94,AQ94="Ramo",1),AQ94+1)</f>
        <v>7</v>
      </c>
      <c r="AR95" s="20">
        <f t="shared" si="8"/>
        <v>0</v>
      </c>
      <c r="AS95" s="20" t="str">
        <f>IF(AND(Carro1[[#This Row],[Nó]]=AI96,Carro1[[#This Row],[Nó]]=AI97),"",AQ95&amp;"|"&amp;AN95)</f>
        <v>7|4</v>
      </c>
      <c r="AT95" s="20" t="str">
        <f t="shared" si="9"/>
        <v>7|4</v>
      </c>
      <c r="AU95" s="20" t="str">
        <f>IF(Carro1[[#This Row],[Tipo]]="Início",AQ95&amp;"|"&amp;AN95,"")</f>
        <v/>
      </c>
    </row>
    <row r="96" spans="33:47" x14ac:dyDescent="0.25">
      <c r="AG96" s="20" t="s">
        <v>298</v>
      </c>
      <c r="AH96" s="20" t="s">
        <v>300</v>
      </c>
      <c r="AI96" s="20" t="s">
        <v>26</v>
      </c>
      <c r="AJ96" s="7">
        <v>0.89166666666666672</v>
      </c>
      <c r="AK96" s="7">
        <v>0.89166666666666672</v>
      </c>
      <c r="AL96" s="20" t="s">
        <v>51</v>
      </c>
      <c r="AM96" s="20" t="str">
        <f>+TEXT(Carro1[[#This Row],[Column1]],"hh:mm")&amp;" | " &amp;TEXT(Carro1[[#This Row],[Hora Fim]],"hh:mm")</f>
        <v>21:24 | 21:24</v>
      </c>
      <c r="AN96" s="20">
        <f>INDEX($E$3:$AA$3,MATCH(Carro1[[#This Row],[Nó]],$E$1:$AA$1,0))</f>
        <v>3</v>
      </c>
      <c r="AO96" s="7">
        <f>+IF(AND(Carro1[[#This Row],[Nó]]=AI95,Carro1[[#This Row],[Nó]]=AI97),AO95,Carro1[[#This Row],[Hora Início]])</f>
        <v>0.89166666666666672</v>
      </c>
      <c r="AP96" s="20">
        <f t="shared" si="7"/>
        <v>2</v>
      </c>
      <c r="AQ96" s="20" cm="1">
        <f t="array" ref="AQ96">IFERROR(_xlfn.IFS(AP96=AP95,AQ95,AQ95="Ramo",1),AQ95+1)</f>
        <v>7</v>
      </c>
      <c r="AR96" s="20">
        <f t="shared" si="8"/>
        <v>0</v>
      </c>
      <c r="AS96" s="20" t="str">
        <f>IF(AND(Carro1[[#This Row],[Nó]]=AI97,Carro1[[#This Row],[Nó]]=AI98),"",AQ96&amp;"|"&amp;AN96)</f>
        <v>7|3</v>
      </c>
      <c r="AT96" s="20" t="str">
        <f t="shared" si="9"/>
        <v>7|3</v>
      </c>
      <c r="AU96" s="20" t="str">
        <f>IF(Carro1[[#This Row],[Tipo]]="Início",AQ96&amp;"|"&amp;AN96,"")</f>
        <v/>
      </c>
    </row>
    <row r="97" spans="33:47" x14ac:dyDescent="0.25">
      <c r="AG97" s="20" t="s">
        <v>298</v>
      </c>
      <c r="AH97" s="20" t="s">
        <v>299</v>
      </c>
      <c r="AI97" s="20" t="s">
        <v>24</v>
      </c>
      <c r="AJ97" s="7">
        <v>0.89236111111111116</v>
      </c>
      <c r="AK97" s="7">
        <v>0.89236111111111116</v>
      </c>
      <c r="AL97" s="20" t="s">
        <v>51</v>
      </c>
      <c r="AM97" s="20" t="str">
        <f>+TEXT(Carro1[[#This Row],[Column1]],"hh:mm")&amp;" | " &amp;TEXT(Carro1[[#This Row],[Hora Fim]],"hh:mm")</f>
        <v>21:25 | 21:25</v>
      </c>
      <c r="AN97" s="20">
        <f>INDEX($E$3:$AA$3,MATCH(Carro1[[#This Row],[Nó]],$E$1:$AA$1,0))</f>
        <v>2</v>
      </c>
      <c r="AO97" s="7">
        <f>+IF(AND(Carro1[[#This Row],[Nó]]=AI96,Carro1[[#This Row],[Nó]]=AI98),AO96,Carro1[[#This Row],[Hora Início]])</f>
        <v>0.89236111111111116</v>
      </c>
      <c r="AP97" s="20">
        <f t="shared" si="7"/>
        <v>2</v>
      </c>
      <c r="AQ97" s="20" cm="1">
        <f t="array" ref="AQ97">IFERROR(_xlfn.IFS(AP97=AP96,AQ96,AQ96="Ramo",1),AQ96+1)</f>
        <v>7</v>
      </c>
      <c r="AR97" s="20">
        <f t="shared" si="8"/>
        <v>0</v>
      </c>
      <c r="AS97" s="20" t="str">
        <f>IF(AND(Carro1[[#This Row],[Nó]]=AI98,Carro1[[#This Row],[Nó]]=AI99),"",AQ97&amp;"|"&amp;AN97)</f>
        <v>7|2</v>
      </c>
      <c r="AT97" s="20" t="str">
        <f t="shared" si="9"/>
        <v>7|2</v>
      </c>
      <c r="AU97" s="20" t="str">
        <f>IF(Carro1[[#This Row],[Tipo]]="Início",AQ97&amp;"|"&amp;AN97,"")</f>
        <v/>
      </c>
    </row>
    <row r="98" spans="33:47" x14ac:dyDescent="0.25">
      <c r="AG98" s="20" t="s">
        <v>298</v>
      </c>
      <c r="AH98" s="20" t="s">
        <v>298</v>
      </c>
      <c r="AI98" s="20" t="s">
        <v>22</v>
      </c>
      <c r="AJ98" s="7">
        <v>0.89722222222222225</v>
      </c>
      <c r="AK98" s="7">
        <v>0.89722222222222225</v>
      </c>
      <c r="AL98" s="20" t="s">
        <v>51</v>
      </c>
      <c r="AM98" s="20" t="str">
        <f>+TEXT(Carro1[[#This Row],[Column1]],"hh:mm")&amp;" | " &amp;TEXT(Carro1[[#This Row],[Hora Fim]],"hh:mm")</f>
        <v>21:32 | 21:32</v>
      </c>
      <c r="AN98" s="20">
        <f>INDEX($E$3:$AA$3,MATCH(Carro1[[#This Row],[Nó]],$E$1:$AA$1,0))</f>
        <v>1</v>
      </c>
      <c r="AO98" s="7">
        <f>+IF(AND(Carro1[[#This Row],[Nó]]=AI97,Carro1[[#This Row],[Nó]]=AI99),AO97,Carro1[[#This Row],[Hora Início]])</f>
        <v>0.89722222222222225</v>
      </c>
      <c r="AP98" s="20">
        <f t="shared" ref="AP98:AP129" si="10">IF(AN98=AN97,IF(AN98&lt;&gt;AN99,IF(AN99&gt;=AN97,1,2),AP97),IF(AN98&gt;=AN97,1,2))</f>
        <v>2</v>
      </c>
      <c r="AQ98" s="20" cm="1">
        <f t="array" ref="AQ98">IFERROR(_xlfn.IFS(AP98=AP97,AQ97,AQ97="Ramo",1),AQ97+1)</f>
        <v>7</v>
      </c>
      <c r="AR98" s="20">
        <f t="shared" ref="AR98:AR129" si="11">IF(AQ98&lt;&gt;AQ97,1,0)</f>
        <v>0</v>
      </c>
      <c r="AS98" s="20" t="str">
        <f>IF(AND(Carro1[[#This Row],[Nó]]=AI99,Carro1[[#This Row],[Nó]]=AI100),"",AQ98&amp;"|"&amp;AN98)</f>
        <v>7|1</v>
      </c>
      <c r="AT98" s="20" t="str">
        <f t="shared" ref="AT98:AT129" si="12">AQ98&amp;"|"&amp;AN98</f>
        <v>7|1</v>
      </c>
      <c r="AU98" s="20" t="str">
        <f>IF(Carro1[[#This Row],[Tipo]]="Início",AQ98&amp;"|"&amp;AN98,"")</f>
        <v/>
      </c>
    </row>
    <row r="99" spans="33:47" x14ac:dyDescent="0.25">
      <c r="AG99" s="20" t="s">
        <v>298</v>
      </c>
      <c r="AH99" s="20" t="s">
        <v>296</v>
      </c>
      <c r="AI99" s="20" t="s">
        <v>20</v>
      </c>
      <c r="AJ99" s="7">
        <v>0.8979166666666667</v>
      </c>
      <c r="AK99" s="7">
        <v>0.8979166666666667</v>
      </c>
      <c r="AL99" s="20" t="s">
        <v>51</v>
      </c>
      <c r="AM99" s="20" t="str">
        <f>+TEXT(Carro1[[#This Row],[Column1]],"hh:mm")&amp;" | " &amp;TEXT(Carro1[[#This Row],[Hora Fim]],"hh:mm")</f>
        <v>21:33 | 21:33</v>
      </c>
      <c r="AN99" s="20">
        <f>INDEX($E$3:$AA$3,MATCH(Carro1[[#This Row],[Nó]],$E$1:$AA$1,0))</f>
        <v>0</v>
      </c>
      <c r="AO99" s="7">
        <f>+IF(AND(Carro1[[#This Row],[Nó]]=AI98,Carro1[[#This Row],[Nó]]=AI100),AO98,Carro1[[#This Row],[Hora Início]])</f>
        <v>0.8979166666666667</v>
      </c>
      <c r="AP99" s="20">
        <f t="shared" si="10"/>
        <v>2</v>
      </c>
      <c r="AQ99" s="20" cm="1">
        <f t="array" ref="AQ99">IFERROR(_xlfn.IFS(AP99=AP98,AQ98,AQ98="Ramo",1),AQ98+1)</f>
        <v>7</v>
      </c>
      <c r="AR99" s="20">
        <f t="shared" si="11"/>
        <v>0</v>
      </c>
      <c r="AS99" s="20" t="str">
        <f>IF(AND(Carro1[[#This Row],[Nó]]=AI100,Carro1[[#This Row],[Nó]]=AI101),"",AQ99&amp;"|"&amp;AN99)</f>
        <v>7|0</v>
      </c>
      <c r="AT99" s="20" t="str">
        <f t="shared" si="12"/>
        <v>7|0</v>
      </c>
      <c r="AU99" s="20" t="str">
        <f>IF(Carro1[[#This Row],[Tipo]]="Início",AQ99&amp;"|"&amp;AN99,"")</f>
        <v/>
      </c>
    </row>
    <row r="100" spans="33:47" x14ac:dyDescent="0.25">
      <c r="AG100" s="20" t="s">
        <v>298</v>
      </c>
      <c r="AH100" s="20" t="s">
        <v>296</v>
      </c>
      <c r="AI100" s="20" t="s">
        <v>20</v>
      </c>
      <c r="AJ100" s="7">
        <v>0.8979166666666667</v>
      </c>
      <c r="AK100" s="7">
        <v>0.8979166666666667</v>
      </c>
      <c r="AL100" s="20" t="s">
        <v>51</v>
      </c>
      <c r="AM100" s="20" t="str">
        <f>+TEXT(Carro1[[#This Row],[Column1]],"hh:mm")&amp;" | " &amp;TEXT(Carro1[[#This Row],[Hora Fim]],"hh:mm")</f>
        <v>21:33 | 21:33</v>
      </c>
      <c r="AN100" s="20">
        <f>INDEX($E$3:$AA$3,MATCH(Carro1[[#This Row],[Nó]],$E$1:$AA$1,0))</f>
        <v>0</v>
      </c>
      <c r="AO100" s="7">
        <f>+IF(AND(Carro1[[#This Row],[Nó]]=AI99,Carro1[[#This Row],[Nó]]=AI101),AO99,Carro1[[#This Row],[Hora Início]])</f>
        <v>0.8979166666666667</v>
      </c>
      <c r="AP100" s="20">
        <f t="shared" si="10"/>
        <v>1</v>
      </c>
      <c r="AQ100" s="20" cm="1">
        <f t="array" ref="AQ100">IFERROR(_xlfn.IFS(AP100=AP99,AQ99,AQ99="Ramo",1),AQ99+1)</f>
        <v>8</v>
      </c>
      <c r="AR100" s="20">
        <f t="shared" si="11"/>
        <v>1</v>
      </c>
      <c r="AS100" s="20" t="str">
        <f>IF(AND(Carro1[[#This Row],[Nó]]=AI101,Carro1[[#This Row],[Nó]]=AI102),"",AQ100&amp;"|"&amp;AN100)</f>
        <v>8|0</v>
      </c>
      <c r="AT100" s="20" t="str">
        <f t="shared" si="12"/>
        <v>8|0</v>
      </c>
      <c r="AU100" s="20" t="str">
        <f>IF(Carro1[[#This Row],[Tipo]]="Início",AQ100&amp;"|"&amp;AN100,"")</f>
        <v/>
      </c>
    </row>
    <row r="101" spans="33:47" x14ac:dyDescent="0.25">
      <c r="AG101" s="20" t="s">
        <v>298</v>
      </c>
      <c r="AH101" s="20" t="s">
        <v>298</v>
      </c>
      <c r="AI101" s="20" t="s">
        <v>22</v>
      </c>
      <c r="AJ101" s="7">
        <v>0.89861111111111114</v>
      </c>
      <c r="AK101" s="7">
        <v>0.95347222222222228</v>
      </c>
      <c r="AL101" s="20" t="s">
        <v>52</v>
      </c>
      <c r="AM101" s="20" t="str">
        <f>+TEXT(Carro1[[#This Row],[Column1]],"hh:mm")&amp;" | " &amp;TEXT(Carro1[[#This Row],[Hora Fim]],"hh:mm")</f>
        <v>21:34 | 22:53</v>
      </c>
      <c r="AN101" s="20">
        <f>INDEX($E$3:$AA$3,MATCH(Carro1[[#This Row],[Nó]],$E$1:$AA$1,0))</f>
        <v>1</v>
      </c>
      <c r="AO101" s="7">
        <f>+IF(AND(Carro1[[#This Row],[Nó]]=AI100,Carro1[[#This Row],[Nó]]=AI102),AO100,Carro1[[#This Row],[Hora Início]])</f>
        <v>0.89861111111111114</v>
      </c>
      <c r="AP101" s="20">
        <f t="shared" si="10"/>
        <v>1</v>
      </c>
      <c r="AQ101" s="20" cm="1">
        <f t="array" ref="AQ101">IFERROR(_xlfn.IFS(AP101=AP100,AQ100,AQ100="Ramo",1),AQ100+1)</f>
        <v>8</v>
      </c>
      <c r="AR101" s="20">
        <f t="shared" si="11"/>
        <v>0</v>
      </c>
      <c r="AS101" s="20" t="str">
        <f>IF(AND(Carro1[[#This Row],[Nó]]=AI102,Carro1[[#This Row],[Nó]]=AI103),"",AQ101&amp;"|"&amp;AN101)</f>
        <v>8|1</v>
      </c>
      <c r="AT101" s="20" t="str">
        <f t="shared" si="12"/>
        <v>8|1</v>
      </c>
      <c r="AU101" s="20" t="str">
        <f>IF(Carro1[[#This Row],[Tipo]]="Início",AQ101&amp;"|"&amp;AN101,"")</f>
        <v/>
      </c>
    </row>
    <row r="102" spans="33:47" x14ac:dyDescent="0.25">
      <c r="AG102" s="20" t="s">
        <v>298</v>
      </c>
      <c r="AH102" s="20" t="s">
        <v>298</v>
      </c>
      <c r="AI102" s="20" t="s">
        <v>22</v>
      </c>
      <c r="AJ102" s="7">
        <v>0.95416666666666672</v>
      </c>
      <c r="AK102" s="7">
        <v>0.95416666666666672</v>
      </c>
      <c r="AL102" s="20" t="s">
        <v>51</v>
      </c>
      <c r="AM102" s="20" t="str">
        <f>+TEXT(Carro1[[#This Row],[Column1]],"hh:mm")&amp;" | " &amp;TEXT(Carro1[[#This Row],[Hora Fim]],"hh:mm")</f>
        <v>22:54 | 22:54</v>
      </c>
      <c r="AN102" s="20">
        <f>INDEX($E$3:$AA$3,MATCH(Carro1[[#This Row],[Nó]],$E$1:$AA$1,0))</f>
        <v>1</v>
      </c>
      <c r="AO102" s="7">
        <f>+IF(AND(Carro1[[#This Row],[Nó]]=AI101,Carro1[[#This Row],[Nó]]=AI103),AO101,Carro1[[#This Row],[Hora Início]])</f>
        <v>0.95416666666666672</v>
      </c>
      <c r="AP102" s="20">
        <f t="shared" si="10"/>
        <v>1</v>
      </c>
      <c r="AQ102" s="20" cm="1">
        <f t="array" ref="AQ102">IFERROR(_xlfn.IFS(AP102=AP101,AQ101,AQ101="Ramo",1),AQ101+1)</f>
        <v>8</v>
      </c>
      <c r="AR102" s="20">
        <f t="shared" si="11"/>
        <v>0</v>
      </c>
      <c r="AS102" s="20" t="str">
        <f>IF(AND(Carro1[[#This Row],[Nó]]=AI103,Carro1[[#This Row],[Nó]]=AI104),"",AQ102&amp;"|"&amp;AN102)</f>
        <v>8|1</v>
      </c>
      <c r="AT102" s="20" t="str">
        <f t="shared" si="12"/>
        <v>8|1</v>
      </c>
      <c r="AU102" s="20" t="str">
        <f>IF(Carro1[[#This Row],[Tipo]]="Início",AQ102&amp;"|"&amp;AN102,"")</f>
        <v/>
      </c>
    </row>
    <row r="103" spans="33:47" x14ac:dyDescent="0.25">
      <c r="AG103" s="20" t="s">
        <v>298</v>
      </c>
      <c r="AH103" s="20" t="s">
        <v>299</v>
      </c>
      <c r="AI103" s="20" t="s">
        <v>24</v>
      </c>
      <c r="AJ103" s="7">
        <v>0.95902777777777781</v>
      </c>
      <c r="AK103" s="7">
        <v>0.95902777777777781</v>
      </c>
      <c r="AL103" s="20" t="s">
        <v>51</v>
      </c>
      <c r="AM103" s="20" t="str">
        <f>+TEXT(Carro1[[#This Row],[Column1]],"hh:mm")&amp;" | " &amp;TEXT(Carro1[[#This Row],[Hora Fim]],"hh:mm")</f>
        <v>23:01 | 23:01</v>
      </c>
      <c r="AN103" s="20">
        <f>INDEX($E$3:$AA$3,MATCH(Carro1[[#This Row],[Nó]],$E$1:$AA$1,0))</f>
        <v>2</v>
      </c>
      <c r="AO103" s="7">
        <f>+IF(AND(Carro1[[#This Row],[Nó]]=AI102,Carro1[[#This Row],[Nó]]=AI104),AO102,Carro1[[#This Row],[Hora Início]])</f>
        <v>0.95902777777777781</v>
      </c>
      <c r="AP103" s="20">
        <f t="shared" si="10"/>
        <v>1</v>
      </c>
      <c r="AQ103" s="20" cm="1">
        <f t="array" ref="AQ103">IFERROR(_xlfn.IFS(AP103=AP102,AQ102,AQ102="Ramo",1),AQ102+1)</f>
        <v>8</v>
      </c>
      <c r="AR103" s="20">
        <f t="shared" si="11"/>
        <v>0</v>
      </c>
      <c r="AS103" s="20" t="str">
        <f>IF(AND(Carro1[[#This Row],[Nó]]=AI104,Carro1[[#This Row],[Nó]]=AI105),"",AQ103&amp;"|"&amp;AN103)</f>
        <v>8|2</v>
      </c>
      <c r="AT103" s="20" t="str">
        <f t="shared" si="12"/>
        <v>8|2</v>
      </c>
      <c r="AU103" s="20" t="str">
        <f>IF(Carro1[[#This Row],[Tipo]]="Início",AQ103&amp;"|"&amp;AN103,"")</f>
        <v/>
      </c>
    </row>
    <row r="104" spans="33:47" x14ac:dyDescent="0.25">
      <c r="AG104" s="20" t="s">
        <v>298</v>
      </c>
      <c r="AH104" s="20" t="s">
        <v>300</v>
      </c>
      <c r="AI104" s="20" t="s">
        <v>26</v>
      </c>
      <c r="AJ104" s="7">
        <v>0.95972222222222225</v>
      </c>
      <c r="AK104" s="7">
        <v>0.95972222222222225</v>
      </c>
      <c r="AL104" s="20" t="s">
        <v>51</v>
      </c>
      <c r="AM104" s="20" t="str">
        <f>+TEXT(Carro1[[#This Row],[Column1]],"hh:mm")&amp;" | " &amp;TEXT(Carro1[[#This Row],[Hora Fim]],"hh:mm")</f>
        <v>23:02 | 23:02</v>
      </c>
      <c r="AN104" s="20">
        <f>INDEX($E$3:$AA$3,MATCH(Carro1[[#This Row],[Nó]],$E$1:$AA$1,0))</f>
        <v>3</v>
      </c>
      <c r="AO104" s="7">
        <f>+IF(AND(Carro1[[#This Row],[Nó]]=AI103,Carro1[[#This Row],[Nó]]=AI105),AO103,Carro1[[#This Row],[Hora Início]])</f>
        <v>0.95972222222222225</v>
      </c>
      <c r="AP104" s="20">
        <f t="shared" si="10"/>
        <v>1</v>
      </c>
      <c r="AQ104" s="20" cm="1">
        <f t="array" ref="AQ104">IFERROR(_xlfn.IFS(AP104=AP103,AQ103,AQ103="Ramo",1),AQ103+1)</f>
        <v>8</v>
      </c>
      <c r="AR104" s="20">
        <f t="shared" si="11"/>
        <v>0</v>
      </c>
      <c r="AS104" s="20" t="str">
        <f>IF(AND(Carro1[[#This Row],[Nó]]=AI105,Carro1[[#This Row],[Nó]]=AI106),"",AQ104&amp;"|"&amp;AN104)</f>
        <v>8|3</v>
      </c>
      <c r="AT104" s="20" t="str">
        <f t="shared" si="12"/>
        <v>8|3</v>
      </c>
      <c r="AU104" s="20" t="str">
        <f>IF(Carro1[[#This Row],[Tipo]]="Início",AQ104&amp;"|"&amp;AN104,"")</f>
        <v/>
      </c>
    </row>
    <row r="105" spans="33:47" x14ac:dyDescent="0.25">
      <c r="AG105" s="20" t="s">
        <v>298</v>
      </c>
      <c r="AH105" s="20" t="s">
        <v>301</v>
      </c>
      <c r="AI105" s="20" t="s">
        <v>27</v>
      </c>
      <c r="AJ105" s="7">
        <v>0.9604166666666667</v>
      </c>
      <c r="AK105" s="7">
        <v>0.9604166666666667</v>
      </c>
      <c r="AL105" s="20" t="s">
        <v>51</v>
      </c>
      <c r="AM105" s="20" t="str">
        <f>+TEXT(Carro1[[#This Row],[Column1]],"hh:mm")&amp;" | " &amp;TEXT(Carro1[[#This Row],[Hora Fim]],"hh:mm")</f>
        <v>23:03 | 23:03</v>
      </c>
      <c r="AN105" s="20">
        <f>INDEX($E$3:$AA$3,MATCH(Carro1[[#This Row],[Nó]],$E$1:$AA$1,0))</f>
        <v>4</v>
      </c>
      <c r="AO105" s="7">
        <f>+IF(AND(Carro1[[#This Row],[Nó]]=AI104,Carro1[[#This Row],[Nó]]=AI106),AO104,Carro1[[#This Row],[Hora Início]])</f>
        <v>0.9604166666666667</v>
      </c>
      <c r="AP105" s="20">
        <f t="shared" si="10"/>
        <v>1</v>
      </c>
      <c r="AQ105" s="20" cm="1">
        <f t="array" ref="AQ105">IFERROR(_xlfn.IFS(AP105=AP104,AQ104,AQ104="Ramo",1),AQ104+1)</f>
        <v>8</v>
      </c>
      <c r="AR105" s="20">
        <f t="shared" si="11"/>
        <v>0</v>
      </c>
      <c r="AS105" s="20" t="str">
        <f>IF(AND(Carro1[[#This Row],[Nó]]=AI106,Carro1[[#This Row],[Nó]]=AI107),"",AQ105&amp;"|"&amp;AN105)</f>
        <v>8|4</v>
      </c>
      <c r="AT105" s="20" t="str">
        <f t="shared" si="12"/>
        <v>8|4</v>
      </c>
      <c r="AU105" s="20" t="str">
        <f>IF(Carro1[[#This Row],[Tipo]]="Início",AQ105&amp;"|"&amp;AN105,"")</f>
        <v/>
      </c>
    </row>
    <row r="106" spans="33:47" x14ac:dyDescent="0.25">
      <c r="AG106" s="20" t="s">
        <v>298</v>
      </c>
      <c r="AH106" s="20" t="s">
        <v>308</v>
      </c>
      <c r="AI106" s="20" t="s">
        <v>29</v>
      </c>
      <c r="AJ106" s="7">
        <v>0.96250000000000002</v>
      </c>
      <c r="AK106" s="7">
        <v>0.96250000000000002</v>
      </c>
      <c r="AL106" s="20" t="s">
        <v>51</v>
      </c>
      <c r="AM106" s="20" t="str">
        <f>+TEXT(Carro1[[#This Row],[Column1]],"hh:mm")&amp;" | " &amp;TEXT(Carro1[[#This Row],[Hora Fim]],"hh:mm")</f>
        <v>23:06 | 23:06</v>
      </c>
      <c r="AN106" s="20">
        <f>INDEX($E$3:$AA$3,MATCH(Carro1[[#This Row],[Nó]],$E$1:$AA$1,0))</f>
        <v>5</v>
      </c>
      <c r="AO106" s="7">
        <f>+IF(AND(Carro1[[#This Row],[Nó]]=AI105,Carro1[[#This Row],[Nó]]=AI107),AO105,Carro1[[#This Row],[Hora Início]])</f>
        <v>0.96250000000000002</v>
      </c>
      <c r="AP106" s="20">
        <f t="shared" si="10"/>
        <v>1</v>
      </c>
      <c r="AQ106" s="20" cm="1">
        <f t="array" ref="AQ106">IFERROR(_xlfn.IFS(AP106=AP105,AQ105,AQ105="Ramo",1),AQ105+1)</f>
        <v>8</v>
      </c>
      <c r="AR106" s="20">
        <f t="shared" si="11"/>
        <v>0</v>
      </c>
      <c r="AS106" s="20" t="str">
        <f>IF(AND(Carro1[[#This Row],[Nó]]=AI107,Carro1[[#This Row],[Nó]]=AI108),"",AQ106&amp;"|"&amp;AN106)</f>
        <v>8|5</v>
      </c>
      <c r="AT106" s="20" t="str">
        <f t="shared" si="12"/>
        <v>8|5</v>
      </c>
      <c r="AU106" s="20" t="str">
        <f>IF(Carro1[[#This Row],[Tipo]]="Início",AQ106&amp;"|"&amp;AN106,"")</f>
        <v/>
      </c>
    </row>
    <row r="107" spans="33:47" x14ac:dyDescent="0.25">
      <c r="AG107" s="20" t="s">
        <v>298</v>
      </c>
      <c r="AH107" s="20" t="s">
        <v>309</v>
      </c>
      <c r="AI107" s="20" t="s">
        <v>31</v>
      </c>
      <c r="AJ107" s="7">
        <v>0.96458333333333335</v>
      </c>
      <c r="AK107" s="7">
        <v>1.9444444444444445E-2</v>
      </c>
      <c r="AL107" s="20" t="s">
        <v>52</v>
      </c>
      <c r="AM107" s="20" t="str">
        <f>+TEXT(Carro1[[#This Row],[Column1]],"hh:mm")&amp;" | " &amp;TEXT(Carro1[[#This Row],[Hora Fim]],"hh:mm")</f>
        <v>23:09 | 00:28</v>
      </c>
      <c r="AN107" s="20">
        <f>INDEX($E$3:$AA$3,MATCH(Carro1[[#This Row],[Nó]],$E$1:$AA$1,0))</f>
        <v>6</v>
      </c>
      <c r="AO107" s="7">
        <f>+IF(AND(Carro1[[#This Row],[Nó]]=AI106,Carro1[[#This Row],[Nó]]=AI108),AO106,Carro1[[#This Row],[Hora Início]])</f>
        <v>0.96458333333333335</v>
      </c>
      <c r="AP107" s="20">
        <f t="shared" si="10"/>
        <v>1</v>
      </c>
      <c r="AQ107" s="20" cm="1">
        <f t="array" ref="AQ107">IFERROR(_xlfn.IFS(AP107=AP106,AQ106,AQ106="Ramo",1),AQ106+1)</f>
        <v>8</v>
      </c>
      <c r="AR107" s="20">
        <f t="shared" si="11"/>
        <v>0</v>
      </c>
      <c r="AS107" s="20" t="str">
        <f>IF(AND(Carro1[[#This Row],[Nó]]=AI108,Carro1[[#This Row],[Nó]]=AI109),"",AQ107&amp;"|"&amp;AN107)</f>
        <v>8|6</v>
      </c>
      <c r="AT107" s="20" t="str">
        <f t="shared" si="12"/>
        <v>8|6</v>
      </c>
      <c r="AU107" s="20" t="str">
        <f>IF(Carro1[[#This Row],[Tipo]]="Início",AQ107&amp;"|"&amp;AN107,"")</f>
        <v/>
      </c>
    </row>
    <row r="108" spans="33:47" x14ac:dyDescent="0.25">
      <c r="AG108" s="20" t="s">
        <v>298</v>
      </c>
      <c r="AH108" s="20" t="s">
        <v>309</v>
      </c>
      <c r="AI108" s="20" t="s">
        <v>31</v>
      </c>
      <c r="AJ108" s="7">
        <v>2.1527777777777778E-2</v>
      </c>
      <c r="AK108" s="7">
        <v>2.1527777777777778E-2</v>
      </c>
      <c r="AL108" s="20" t="s">
        <v>51</v>
      </c>
      <c r="AM108" s="20" t="str">
        <f>+TEXT(Carro1[[#This Row],[Column1]],"hh:mm")&amp;" | " &amp;TEXT(Carro1[[#This Row],[Hora Fim]],"hh:mm")</f>
        <v>00:31 | 00:31</v>
      </c>
      <c r="AN108" s="20">
        <f>INDEX($E$3:$AA$3,MATCH(Carro1[[#This Row],[Nó]],$E$1:$AA$1,0))</f>
        <v>6</v>
      </c>
      <c r="AO108" s="7">
        <f>+IF(AND(Carro1[[#This Row],[Nó]]=AI107,Carro1[[#This Row],[Nó]]=AI109),AO107,Carro1[[#This Row],[Hora Início]])</f>
        <v>2.1527777777777778E-2</v>
      </c>
      <c r="AP108" s="20">
        <f t="shared" si="10"/>
        <v>1</v>
      </c>
      <c r="AQ108" s="20" cm="1">
        <f t="array" ref="AQ108">IFERROR(_xlfn.IFS(AP108=AP107,AQ107,AQ107="Ramo",1),AQ107+1)</f>
        <v>8</v>
      </c>
      <c r="AR108" s="20">
        <f t="shared" si="11"/>
        <v>0</v>
      </c>
      <c r="AS108" s="20" t="str">
        <f>IF(AND(Carro1[[#This Row],[Nó]]=AI109,Carro1[[#This Row],[Nó]]=AI110),"",AQ108&amp;"|"&amp;AN108)</f>
        <v>8|6</v>
      </c>
      <c r="AT108" s="20" t="str">
        <f t="shared" si="12"/>
        <v>8|6</v>
      </c>
      <c r="AU108" s="20" t="str">
        <f>IF(Carro1[[#This Row],[Tipo]]="Início",AQ108&amp;"|"&amp;AN108,"")</f>
        <v/>
      </c>
    </row>
    <row r="109" spans="33:47" x14ac:dyDescent="0.25">
      <c r="AG109" s="20" t="s">
        <v>298</v>
      </c>
      <c r="AH109" s="20" t="s">
        <v>310</v>
      </c>
      <c r="AI109" s="20" t="s">
        <v>33</v>
      </c>
      <c r="AJ109" s="7">
        <v>2.361111111111111E-2</v>
      </c>
      <c r="AK109" s="7">
        <v>2.361111111111111E-2</v>
      </c>
      <c r="AL109" s="20" t="s">
        <v>51</v>
      </c>
      <c r="AM109" s="20" t="str">
        <f>+TEXT(Carro1[[#This Row],[Column1]],"hh:mm")&amp;" | " &amp;TEXT(Carro1[[#This Row],[Hora Fim]],"hh:mm")</f>
        <v>00:34 | 00:34</v>
      </c>
      <c r="AN109" s="20">
        <f>INDEX($E$3:$AA$3,MATCH(Carro1[[#This Row],[Nó]],$E$1:$AA$1,0))</f>
        <v>7</v>
      </c>
      <c r="AO109" s="7">
        <f>+IF(AND(Carro1[[#This Row],[Nó]]=AI108,Carro1[[#This Row],[Nó]]=AI110),AO108,Carro1[[#This Row],[Hora Início]])</f>
        <v>2.361111111111111E-2</v>
      </c>
      <c r="AP109" s="20">
        <f t="shared" si="10"/>
        <v>1</v>
      </c>
      <c r="AQ109" s="20" cm="1">
        <f t="array" ref="AQ109">IFERROR(_xlfn.IFS(AP109=AP108,AQ108,AQ108="Ramo",1),AQ108+1)</f>
        <v>8</v>
      </c>
      <c r="AR109" s="20">
        <f t="shared" si="11"/>
        <v>0</v>
      </c>
      <c r="AS109" s="20" t="str">
        <f>IF(AND(Carro1[[#This Row],[Nó]]=AI110,Carro1[[#This Row],[Nó]]=AI111),"",AQ109&amp;"|"&amp;AN109)</f>
        <v/>
      </c>
      <c r="AT109" s="20" t="str">
        <f t="shared" si="12"/>
        <v>8|7</v>
      </c>
      <c r="AU109" s="20" t="str">
        <f>IF(Carro1[[#This Row],[Tipo]]="Início",AQ109&amp;"|"&amp;AN109,"")</f>
        <v/>
      </c>
    </row>
    <row r="110" spans="33:47" x14ac:dyDescent="0.25">
      <c r="AG110" s="20" t="s">
        <v>298</v>
      </c>
      <c r="AH110" s="20" t="s">
        <v>310</v>
      </c>
      <c r="AI110" s="20" t="s">
        <v>33</v>
      </c>
      <c r="AJ110" s="7">
        <v>2.361111111111111E-2</v>
      </c>
      <c r="AK110" s="7">
        <v>2.361111111111111E-2</v>
      </c>
      <c r="AL110" s="20" t="s">
        <v>51</v>
      </c>
      <c r="AM110" s="20" t="str">
        <f>+TEXT(Carro1[[#This Row],[Column1]],"hh:mm")&amp;" | " &amp;TEXT(Carro1[[#This Row],[Hora Fim]],"hh:mm")</f>
        <v>00:34 | 00:34</v>
      </c>
      <c r="AN110" s="20">
        <f>INDEX($E$3:$AA$3,MATCH(Carro1[[#This Row],[Nó]],$E$1:$AA$1,0))</f>
        <v>7</v>
      </c>
      <c r="AO110" s="7">
        <f>+IF(AND(Carro1[[#This Row],[Nó]]=AI109,Carro1[[#This Row],[Nó]]=AI111),AO109,Carro1[[#This Row],[Hora Início]])</f>
        <v>2.361111111111111E-2</v>
      </c>
      <c r="AP110" s="20">
        <f t="shared" si="10"/>
        <v>1</v>
      </c>
      <c r="AQ110" s="20" cm="1">
        <f t="array" ref="AQ110">IFERROR(_xlfn.IFS(AP110=AP109,AQ109,AQ109="Ramo",1),AQ109+1)</f>
        <v>8</v>
      </c>
      <c r="AR110" s="20">
        <f t="shared" si="11"/>
        <v>0</v>
      </c>
      <c r="AS110" s="20" t="str">
        <f>IF(AND(Carro1[[#This Row],[Nó]]=AI111,Carro1[[#This Row],[Nó]]=AI112),"",AQ110&amp;"|"&amp;AN110)</f>
        <v/>
      </c>
      <c r="AT110" s="20" t="str">
        <f t="shared" si="12"/>
        <v>8|7</v>
      </c>
      <c r="AU110" s="20" t="str">
        <f>IF(Carro1[[#This Row],[Tipo]]="Início",AQ110&amp;"|"&amp;AN110,"")</f>
        <v/>
      </c>
    </row>
    <row r="111" spans="33:47" x14ac:dyDescent="0.25">
      <c r="AG111" s="20" t="s">
        <v>298</v>
      </c>
      <c r="AH111" s="20" t="s">
        <v>310</v>
      </c>
      <c r="AI111" s="20" t="s">
        <v>33</v>
      </c>
      <c r="AJ111" s="7">
        <v>2.361111111111111E-2</v>
      </c>
      <c r="AK111" s="7">
        <v>2.361111111111111E-2</v>
      </c>
      <c r="AL111" s="20" t="s">
        <v>51</v>
      </c>
      <c r="AM111" s="20" t="str">
        <f>+TEXT(Carro1[[#This Row],[Column1]],"hh:mm")&amp;" | " &amp;TEXT(Carro1[[#This Row],[Hora Fim]],"hh:mm")</f>
        <v>00:34 | 00:34</v>
      </c>
      <c r="AN111" s="20">
        <f>INDEX($E$3:$AA$3,MATCH(Carro1[[#This Row],[Nó]],$E$1:$AA$1,0))</f>
        <v>7</v>
      </c>
      <c r="AO111" s="7">
        <f>+IF(AND(Carro1[[#This Row],[Nó]]=AI110,Carro1[[#This Row],[Nó]]=AI112),AO110,Carro1[[#This Row],[Hora Início]])</f>
        <v>2.361111111111111E-2</v>
      </c>
      <c r="AP111" s="20">
        <f t="shared" si="10"/>
        <v>1</v>
      </c>
      <c r="AQ111" s="20" cm="1">
        <f t="array" ref="AQ111">IFERROR(_xlfn.IFS(AP111=AP110,AQ110,AQ110="Ramo",1),AQ110+1)</f>
        <v>8</v>
      </c>
      <c r="AR111" s="20">
        <f t="shared" si="11"/>
        <v>0</v>
      </c>
      <c r="AS111" s="20" t="str">
        <f>IF(AND(Carro1[[#This Row],[Nó]]=AI112,Carro1[[#This Row],[Nó]]=AI113),"",AQ111&amp;"|"&amp;AN111)</f>
        <v/>
      </c>
      <c r="AT111" s="20" t="str">
        <f t="shared" si="12"/>
        <v>8|7</v>
      </c>
      <c r="AU111" s="20" t="str">
        <f>IF(Carro1[[#This Row],[Tipo]]="Início",AQ111&amp;"|"&amp;AN111,"")</f>
        <v/>
      </c>
    </row>
    <row r="112" spans="33:47" x14ac:dyDescent="0.25">
      <c r="AG112" s="20" t="s">
        <v>299</v>
      </c>
      <c r="AH112" s="20" t="s">
        <v>310</v>
      </c>
      <c r="AI112" s="20" t="s">
        <v>33</v>
      </c>
      <c r="AJ112" s="7">
        <v>0.97916666666666663</v>
      </c>
      <c r="AK112" s="7">
        <v>2.0833333333333332E-2</v>
      </c>
      <c r="AL112" s="20" t="s">
        <v>54</v>
      </c>
      <c r="AM112" s="20" t="str">
        <f>+TEXT(Carro1[[#This Row],[Column1]],"hh:mm")&amp;" | " &amp;TEXT(Carro1[[#This Row],[Hora Fim]],"hh:mm")</f>
        <v>00:34 | 00:30</v>
      </c>
      <c r="AN112" s="20">
        <f>INDEX($E$3:$AA$3,MATCH(Carro1[[#This Row],[Nó]],$E$1:$AA$1,0))</f>
        <v>7</v>
      </c>
      <c r="AO112" s="7">
        <f>+IF(AND(Carro1[[#This Row],[Nó]]=AI111,Carro1[[#This Row],[Nó]]=AI113),AO111,Carro1[[#This Row],[Hora Início]])</f>
        <v>2.361111111111111E-2</v>
      </c>
      <c r="AP112" s="20">
        <f t="shared" si="10"/>
        <v>1</v>
      </c>
      <c r="AQ112" s="20" cm="1">
        <f t="array" ref="AQ112">IFERROR(_xlfn.IFS(AP112=AP111,AQ111,AQ111="Ramo",1),AQ111+1)</f>
        <v>8</v>
      </c>
      <c r="AR112" s="20">
        <f t="shared" si="11"/>
        <v>0</v>
      </c>
      <c r="AS112" s="20" t="str">
        <f>IF(AND(Carro1[[#This Row],[Nó]]=AI113,Carro1[[#This Row],[Nó]]=AI114),"",AQ112&amp;"|"&amp;AN112)</f>
        <v/>
      </c>
      <c r="AT112" s="20" t="str">
        <f t="shared" si="12"/>
        <v>8|7</v>
      </c>
      <c r="AU112" s="20" t="str">
        <f>IF(Carro1[[#This Row],[Tipo]]="Início",AQ112&amp;"|"&amp;AN112,"")</f>
        <v/>
      </c>
    </row>
    <row r="113" spans="33:47" x14ac:dyDescent="0.25">
      <c r="AG113" s="20" t="s">
        <v>299</v>
      </c>
      <c r="AH113" s="20" t="s">
        <v>310</v>
      </c>
      <c r="AI113" s="20" t="s">
        <v>33</v>
      </c>
      <c r="AJ113" s="7">
        <v>0</v>
      </c>
      <c r="AK113" s="7">
        <v>2.0833333333333332E-2</v>
      </c>
      <c r="AL113" s="20" t="s">
        <v>54</v>
      </c>
      <c r="AM113" s="20" t="str">
        <f>+TEXT(Carro1[[#This Row],[Column1]],"hh:mm")&amp;" | " &amp;TEXT(Carro1[[#This Row],[Hora Fim]],"hh:mm")</f>
        <v>00:34 | 00:30</v>
      </c>
      <c r="AN113" s="20">
        <f>INDEX($E$3:$AA$3,MATCH(Carro1[[#This Row],[Nó]],$E$1:$AA$1,0))</f>
        <v>7</v>
      </c>
      <c r="AO113" s="7">
        <f>+IF(AND(Carro1[[#This Row],[Nó]]=AI112,Carro1[[#This Row],[Nó]]=AI114),AO112,Carro1[[#This Row],[Hora Início]])</f>
        <v>2.361111111111111E-2</v>
      </c>
      <c r="AP113" s="20">
        <f t="shared" si="10"/>
        <v>1</v>
      </c>
      <c r="AQ113" s="20" cm="1">
        <f t="array" ref="AQ113">IFERROR(_xlfn.IFS(AP113=AP112,AQ112,AQ112="Ramo",1),AQ112+1)</f>
        <v>8</v>
      </c>
      <c r="AR113" s="20">
        <f t="shared" si="11"/>
        <v>0</v>
      </c>
      <c r="AS113" s="20" t="str">
        <f>IF(AND(Carro1[[#This Row],[Nó]]=AI114,Carro1[[#This Row],[Nó]]=AI115),"",AQ113&amp;"|"&amp;AN113)</f>
        <v/>
      </c>
      <c r="AT113" s="20" t="str">
        <f t="shared" si="12"/>
        <v>8|7</v>
      </c>
      <c r="AU113" s="20" t="str">
        <f>IF(Carro1[[#This Row],[Tipo]]="Início",AQ113&amp;"|"&amp;AN113,"")</f>
        <v/>
      </c>
    </row>
    <row r="114" spans="33:47" x14ac:dyDescent="0.25">
      <c r="AG114" s="20" t="s">
        <v>299</v>
      </c>
      <c r="AH114" s="20" t="s">
        <v>310</v>
      </c>
      <c r="AI114" s="20" t="s">
        <v>33</v>
      </c>
      <c r="AJ114" s="7">
        <v>2.0833333333333332E-2</v>
      </c>
      <c r="AK114" s="7">
        <v>2.0833333333333332E-2</v>
      </c>
      <c r="AL114" s="20" t="s">
        <v>49</v>
      </c>
      <c r="AM114" s="20" t="str">
        <f>+TEXT(Carro1[[#This Row],[Column1]],"hh:mm")&amp;" | " &amp;TEXT(Carro1[[#This Row],[Hora Fim]],"hh:mm")</f>
        <v>00:34 | 00:30</v>
      </c>
      <c r="AN114" s="20">
        <f>INDEX($E$3:$AA$3,MATCH(Carro1[[#This Row],[Nó]],$E$1:$AA$1,0))</f>
        <v>7</v>
      </c>
      <c r="AO114" s="7">
        <f>+IF(AND(Carro1[[#This Row],[Nó]]=AI113,Carro1[[#This Row],[Nó]]=AI115),AO113,Carro1[[#This Row],[Hora Início]])</f>
        <v>2.361111111111111E-2</v>
      </c>
      <c r="AP114" s="20">
        <f t="shared" si="10"/>
        <v>1</v>
      </c>
      <c r="AQ114" s="20" cm="1">
        <f t="array" ref="AQ114">IFERROR(_xlfn.IFS(AP114=AP113,AQ113,AQ113="Ramo",1),AQ113+1)</f>
        <v>8</v>
      </c>
      <c r="AR114" s="20">
        <f t="shared" si="11"/>
        <v>0</v>
      </c>
      <c r="AS114" s="20" t="str">
        <f>IF(AND(Carro1[[#This Row],[Nó]]=AI115,Carro1[[#This Row],[Nó]]=AI116),"",AQ114&amp;"|"&amp;AN114)</f>
        <v/>
      </c>
      <c r="AT114" s="20" t="str">
        <f t="shared" si="12"/>
        <v>8|7</v>
      </c>
      <c r="AU114" s="20" t="str">
        <f>IF(Carro1[[#This Row],[Tipo]]="Início",AQ114&amp;"|"&amp;AN114,"")</f>
        <v>8|7</v>
      </c>
    </row>
    <row r="115" spans="33:47" x14ac:dyDescent="0.25">
      <c r="AG115" s="20" t="s">
        <v>299</v>
      </c>
      <c r="AH115" s="20" t="s">
        <v>310</v>
      </c>
      <c r="AI115" s="20" t="s">
        <v>33</v>
      </c>
      <c r="AJ115" s="7">
        <v>2.0833333333333332E-2</v>
      </c>
      <c r="AK115" s="7">
        <v>2.9861111111111113E-2</v>
      </c>
      <c r="AL115" s="20" t="s">
        <v>50</v>
      </c>
      <c r="AM115" s="20" t="str">
        <f>+TEXT(Carro1[[#This Row],[Column1]],"hh:mm")&amp;" | " &amp;TEXT(Carro1[[#This Row],[Hora Fim]],"hh:mm")</f>
        <v>00:34 | 00:43</v>
      </c>
      <c r="AN115" s="20">
        <f>INDEX($E$3:$AA$3,MATCH(Carro1[[#This Row],[Nó]],$E$1:$AA$1,0))</f>
        <v>7</v>
      </c>
      <c r="AO115" s="7">
        <f>+IF(AND(Carro1[[#This Row],[Nó]]=AI114,Carro1[[#This Row],[Nó]]=AI116),AO114,Carro1[[#This Row],[Hora Início]])</f>
        <v>2.361111111111111E-2</v>
      </c>
      <c r="AP115" s="20">
        <f t="shared" si="10"/>
        <v>1</v>
      </c>
      <c r="AQ115" s="20" cm="1">
        <f t="array" ref="AQ115">IFERROR(_xlfn.IFS(AP115=AP114,AQ114,AQ114="Ramo",1),AQ114+1)</f>
        <v>8</v>
      </c>
      <c r="AR115" s="20">
        <f t="shared" si="11"/>
        <v>0</v>
      </c>
      <c r="AS115" s="20" t="str">
        <f>IF(AND(Carro1[[#This Row],[Nó]]=AI116,Carro1[[#This Row],[Nó]]=AI117),"",AQ115&amp;"|"&amp;AN115)</f>
        <v>8|7</v>
      </c>
      <c r="AT115" s="20" t="str">
        <f t="shared" si="12"/>
        <v>8|7</v>
      </c>
      <c r="AU115" s="20" t="str">
        <f>IF(Carro1[[#This Row],[Tipo]]="Início",AQ115&amp;"|"&amp;AN115,"")</f>
        <v/>
      </c>
    </row>
    <row r="116" spans="33:47" x14ac:dyDescent="0.25">
      <c r="AG116" s="20" t="s">
        <v>299</v>
      </c>
      <c r="AH116" s="20" t="s">
        <v>310</v>
      </c>
      <c r="AI116" s="20" t="s">
        <v>33</v>
      </c>
      <c r="AJ116" s="7">
        <v>2.9861111111111113E-2</v>
      </c>
      <c r="AK116" s="7">
        <v>2.9861111111111113E-2</v>
      </c>
      <c r="AL116" s="20" t="s">
        <v>51</v>
      </c>
      <c r="AM116" s="20" t="str">
        <f>+TEXT(Carro1[[#This Row],[Column1]],"hh:mm")&amp;" | " &amp;TEXT(Carro1[[#This Row],[Hora Fim]],"hh:mm")</f>
        <v>00:43 | 00:43</v>
      </c>
      <c r="AN116" s="20">
        <f>INDEX($E$3:$AA$3,MATCH(Carro1[[#This Row],[Nó]],$E$1:$AA$1,0))</f>
        <v>7</v>
      </c>
      <c r="AO116" s="7">
        <f>+IF(AND(Carro1[[#This Row],[Nó]]=AI115,Carro1[[#This Row],[Nó]]=AI117),AO115,Carro1[[#This Row],[Hora Início]])</f>
        <v>2.9861111111111113E-2</v>
      </c>
      <c r="AP116" s="20">
        <f t="shared" si="10"/>
        <v>2</v>
      </c>
      <c r="AQ116" s="20" cm="1">
        <f t="array" ref="AQ116">IFERROR(_xlfn.IFS(AP116=AP115,AQ115,AQ115="Ramo",1),AQ115+1)</f>
        <v>9</v>
      </c>
      <c r="AR116" s="20">
        <f t="shared" si="11"/>
        <v>1</v>
      </c>
      <c r="AS116" s="20" t="str">
        <f>IF(AND(Carro1[[#This Row],[Nó]]=AI117,Carro1[[#This Row],[Nó]]=AI118),"",AQ116&amp;"|"&amp;AN116)</f>
        <v>9|7</v>
      </c>
      <c r="AT116" s="20" t="str">
        <f t="shared" si="12"/>
        <v>9|7</v>
      </c>
      <c r="AU116" s="20" t="str">
        <f>IF(Carro1[[#This Row],[Tipo]]="Início",AQ116&amp;"|"&amp;AN116,"")</f>
        <v/>
      </c>
    </row>
    <row r="117" spans="33:47" x14ac:dyDescent="0.25">
      <c r="AG117" s="20" t="s">
        <v>299</v>
      </c>
      <c r="AH117" s="20" t="s">
        <v>309</v>
      </c>
      <c r="AI117" s="20" t="s">
        <v>31</v>
      </c>
      <c r="AJ117" s="7">
        <v>3.1944444444444442E-2</v>
      </c>
      <c r="AK117" s="7">
        <v>3.888888888888889E-2</v>
      </c>
      <c r="AL117" s="20" t="s">
        <v>297</v>
      </c>
      <c r="AM117" s="20" t="str">
        <f>+TEXT(Carro1[[#This Row],[Column1]],"hh:mm")&amp;" | " &amp;TEXT(Carro1[[#This Row],[Hora Fim]],"hh:mm")</f>
        <v>00:46 | 00:56</v>
      </c>
      <c r="AN117" s="20">
        <f>INDEX($E$3:$AA$3,MATCH(Carro1[[#This Row],[Nó]],$E$1:$AA$1,0))</f>
        <v>6</v>
      </c>
      <c r="AO117" s="7">
        <f>+IF(AND(Carro1[[#This Row],[Nó]]=AI116,Carro1[[#This Row],[Nó]]=AI118),AO116,Carro1[[#This Row],[Hora Início]])</f>
        <v>3.1944444444444442E-2</v>
      </c>
      <c r="AP117" s="20">
        <f t="shared" si="10"/>
        <v>2</v>
      </c>
      <c r="AQ117" s="20" cm="1">
        <f t="array" ref="AQ117">IFERROR(_xlfn.IFS(AP117=AP116,AQ116,AQ116="Ramo",1),AQ116+1)</f>
        <v>9</v>
      </c>
      <c r="AR117" s="20">
        <f t="shared" si="11"/>
        <v>0</v>
      </c>
      <c r="AS117" s="20" t="str">
        <f>IF(AND(Carro1[[#This Row],[Nó]]=AI118,Carro1[[#This Row],[Nó]]=AI119),"",AQ117&amp;"|"&amp;AN117)</f>
        <v/>
      </c>
      <c r="AT117" s="20" t="str">
        <f t="shared" si="12"/>
        <v>9|6</v>
      </c>
      <c r="AU117" s="20" t="str">
        <f>IF(Carro1[[#This Row],[Tipo]]="Início",AQ117&amp;"|"&amp;AN117,"")</f>
        <v/>
      </c>
    </row>
    <row r="118" spans="33:47" x14ac:dyDescent="0.25">
      <c r="AG118" s="20" t="s">
        <v>299</v>
      </c>
      <c r="AH118" s="20" t="s">
        <v>309</v>
      </c>
      <c r="AI118" s="20" t="s">
        <v>31</v>
      </c>
      <c r="AJ118" s="7">
        <v>4.0972222222222222E-2</v>
      </c>
      <c r="AK118" s="7">
        <v>4.7222222222222221E-2</v>
      </c>
      <c r="AL118" s="20" t="s">
        <v>50</v>
      </c>
      <c r="AM118" s="20" t="str">
        <f>+TEXT(Carro1[[#This Row],[Column1]],"hh:mm")&amp;" | " &amp;TEXT(Carro1[[#This Row],[Hora Fim]],"hh:mm")</f>
        <v>00:46 | 01:08</v>
      </c>
      <c r="AN118" s="20">
        <f>INDEX($E$3:$AA$3,MATCH(Carro1[[#This Row],[Nó]],$E$1:$AA$1,0))</f>
        <v>6</v>
      </c>
      <c r="AO118" s="7">
        <f>+IF(AND(Carro1[[#This Row],[Nó]]=AI117,Carro1[[#This Row],[Nó]]=AI119),AO117,Carro1[[#This Row],[Hora Início]])</f>
        <v>3.1944444444444442E-2</v>
      </c>
      <c r="AP118" s="20">
        <f t="shared" si="10"/>
        <v>2</v>
      </c>
      <c r="AQ118" s="20" cm="1">
        <f t="array" ref="AQ118">IFERROR(_xlfn.IFS(AP118=AP117,AQ117,AQ117="Ramo",1),AQ117+1)</f>
        <v>9</v>
      </c>
      <c r="AR118" s="20">
        <f t="shared" si="11"/>
        <v>0</v>
      </c>
      <c r="AS118" s="20" t="str">
        <f>IF(AND(Carro1[[#This Row],[Nó]]=AI119,Carro1[[#This Row],[Nó]]=AI120),"",AQ118&amp;"|"&amp;AN118)</f>
        <v>9|6</v>
      </c>
      <c r="AT118" s="20" t="str">
        <f t="shared" si="12"/>
        <v>9|6</v>
      </c>
      <c r="AU118" s="20" t="str">
        <f>IF(Carro1[[#This Row],[Tipo]]="Início",AQ118&amp;"|"&amp;AN118,"")</f>
        <v/>
      </c>
    </row>
    <row r="119" spans="33:47" x14ac:dyDescent="0.25">
      <c r="AG119" s="20" t="s">
        <v>299</v>
      </c>
      <c r="AH119" s="20" t="s">
        <v>309</v>
      </c>
      <c r="AI119" s="20" t="s">
        <v>31</v>
      </c>
      <c r="AJ119" s="7">
        <v>4.9305555555555554E-2</v>
      </c>
      <c r="AK119" s="7">
        <v>4.9305555555555554E-2</v>
      </c>
      <c r="AL119" s="20" t="s">
        <v>51</v>
      </c>
      <c r="AM119" s="20" t="str">
        <f>+TEXT(Carro1[[#This Row],[Column1]],"hh:mm")&amp;" | " &amp;TEXT(Carro1[[#This Row],[Hora Fim]],"hh:mm")</f>
        <v>01:11 | 01:11</v>
      </c>
      <c r="AN119" s="20">
        <f>INDEX($E$3:$AA$3,MATCH(Carro1[[#This Row],[Nó]],$E$1:$AA$1,0))</f>
        <v>6</v>
      </c>
      <c r="AO119" s="7">
        <f>+IF(AND(Carro1[[#This Row],[Nó]]=AI118,Carro1[[#This Row],[Nó]]=AI120),AO118,Carro1[[#This Row],[Hora Início]])</f>
        <v>4.9305555555555554E-2</v>
      </c>
      <c r="AP119" s="20">
        <f t="shared" si="10"/>
        <v>2</v>
      </c>
      <c r="AQ119" s="20" cm="1">
        <f t="array" ref="AQ119">IFERROR(_xlfn.IFS(AP119=AP118,AQ118,AQ118="Ramo",1),AQ118+1)</f>
        <v>9</v>
      </c>
      <c r="AR119" s="20">
        <f t="shared" si="11"/>
        <v>0</v>
      </c>
      <c r="AS119" s="20" t="str">
        <f>IF(AND(Carro1[[#This Row],[Nó]]=AI120,Carro1[[#This Row],[Nó]]=AI121),"",AQ119&amp;"|"&amp;AN119)</f>
        <v>9|6</v>
      </c>
      <c r="AT119" s="20" t="str">
        <f t="shared" si="12"/>
        <v>9|6</v>
      </c>
      <c r="AU119" s="20" t="str">
        <f>IF(Carro1[[#This Row],[Tipo]]="Início",AQ119&amp;"|"&amp;AN119,"")</f>
        <v/>
      </c>
    </row>
    <row r="120" spans="33:47" x14ac:dyDescent="0.25">
      <c r="AG120" s="20" t="s">
        <v>299</v>
      </c>
      <c r="AH120" s="20" t="s">
        <v>308</v>
      </c>
      <c r="AI120" s="20" t="s">
        <v>29</v>
      </c>
      <c r="AJ120" s="7">
        <v>5.1388888888888887E-2</v>
      </c>
      <c r="AK120" s="7">
        <v>7.0833333333333331E-2</v>
      </c>
      <c r="AL120" s="20" t="s">
        <v>50</v>
      </c>
      <c r="AM120" s="20" t="str">
        <f>+TEXT(Carro1[[#This Row],[Column1]],"hh:mm")&amp;" | " &amp;TEXT(Carro1[[#This Row],[Hora Fim]],"hh:mm")</f>
        <v>01:14 | 01:42</v>
      </c>
      <c r="AN120" s="20">
        <f>INDEX($E$3:$AA$3,MATCH(Carro1[[#This Row],[Nó]],$E$1:$AA$1,0))</f>
        <v>5</v>
      </c>
      <c r="AO120" s="7">
        <f>+IF(AND(Carro1[[#This Row],[Nó]]=AI119,Carro1[[#This Row],[Nó]]=AI121),AO119,Carro1[[#This Row],[Hora Início]])</f>
        <v>5.1388888888888887E-2</v>
      </c>
      <c r="AP120" s="20">
        <f t="shared" si="10"/>
        <v>2</v>
      </c>
      <c r="AQ120" s="20" cm="1">
        <f t="array" ref="AQ120">IFERROR(_xlfn.IFS(AP120=AP119,AQ119,AQ119="Ramo",1),AQ119+1)</f>
        <v>9</v>
      </c>
      <c r="AR120" s="20">
        <f t="shared" si="11"/>
        <v>0</v>
      </c>
      <c r="AS120" s="20" t="str">
        <f>IF(AND(Carro1[[#This Row],[Nó]]=AI121,Carro1[[#This Row],[Nó]]=AI122),"",AQ120&amp;"|"&amp;AN120)</f>
        <v>9|5</v>
      </c>
      <c r="AT120" s="20" t="str">
        <f t="shared" si="12"/>
        <v>9|5</v>
      </c>
      <c r="AU120" s="20" t="str">
        <f>IF(Carro1[[#This Row],[Tipo]]="Início",AQ120&amp;"|"&amp;AN120,"")</f>
        <v/>
      </c>
    </row>
    <row r="121" spans="33:47" x14ac:dyDescent="0.25">
      <c r="AG121" s="20" t="s">
        <v>299</v>
      </c>
      <c r="AH121" s="20" t="s">
        <v>308</v>
      </c>
      <c r="AI121" s="20" t="s">
        <v>29</v>
      </c>
      <c r="AJ121" s="7">
        <v>7.2916666666666671E-2</v>
      </c>
      <c r="AK121" s="7">
        <v>7.2916666666666671E-2</v>
      </c>
      <c r="AL121" s="20" t="s">
        <v>51</v>
      </c>
      <c r="AM121" s="20" t="str">
        <f>+TEXT(Carro1[[#This Row],[Column1]],"hh:mm")&amp;" | " &amp;TEXT(Carro1[[#This Row],[Hora Fim]],"hh:mm")</f>
        <v>01:45 | 01:45</v>
      </c>
      <c r="AN121" s="20">
        <f>INDEX($E$3:$AA$3,MATCH(Carro1[[#This Row],[Nó]],$E$1:$AA$1,0))</f>
        <v>5</v>
      </c>
      <c r="AO121" s="7">
        <f>+IF(AND(Carro1[[#This Row],[Nó]]=AI120,Carro1[[#This Row],[Nó]]=AI122),AO120,Carro1[[#This Row],[Hora Início]])</f>
        <v>7.2916666666666671E-2</v>
      </c>
      <c r="AP121" s="20">
        <f t="shared" si="10"/>
        <v>2</v>
      </c>
      <c r="AQ121" s="20" cm="1">
        <f t="array" ref="AQ121">IFERROR(_xlfn.IFS(AP121=AP120,AQ120,AQ120="Ramo",1),AQ120+1)</f>
        <v>9</v>
      </c>
      <c r="AR121" s="20">
        <f t="shared" si="11"/>
        <v>0</v>
      </c>
      <c r="AS121" s="20" t="str">
        <f>IF(AND(Carro1[[#This Row],[Nó]]=AI122,Carro1[[#This Row],[Nó]]=AI123),"",AQ121&amp;"|"&amp;AN121)</f>
        <v>9|5</v>
      </c>
      <c r="AT121" s="20" t="str">
        <f t="shared" si="12"/>
        <v>9|5</v>
      </c>
      <c r="AU121" s="20" t="str">
        <f>IF(Carro1[[#This Row],[Tipo]]="Início",AQ121&amp;"|"&amp;AN121,"")</f>
        <v/>
      </c>
    </row>
    <row r="122" spans="33:47" x14ac:dyDescent="0.25">
      <c r="AG122" s="20" t="s">
        <v>299</v>
      </c>
      <c r="AH122" s="20" t="s">
        <v>301</v>
      </c>
      <c r="AI122" s="20" t="s">
        <v>27</v>
      </c>
      <c r="AJ122" s="7">
        <v>7.4999999999999997E-2</v>
      </c>
      <c r="AK122" s="7">
        <v>8.4027777777777785E-2</v>
      </c>
      <c r="AL122" s="20" t="s">
        <v>50</v>
      </c>
      <c r="AM122" s="20" t="str">
        <f>+TEXT(Carro1[[#This Row],[Column1]],"hh:mm")&amp;" | " &amp;TEXT(Carro1[[#This Row],[Hora Fim]],"hh:mm")</f>
        <v>01:48 | 02:01</v>
      </c>
      <c r="AN122" s="20">
        <f>INDEX($E$3:$AA$3,MATCH(Carro1[[#This Row],[Nó]],$E$1:$AA$1,0))</f>
        <v>4</v>
      </c>
      <c r="AO122" s="7">
        <f>+IF(AND(Carro1[[#This Row],[Nó]]=AI121,Carro1[[#This Row],[Nó]]=AI123),AO121,Carro1[[#This Row],[Hora Início]])</f>
        <v>7.4999999999999997E-2</v>
      </c>
      <c r="AP122" s="20">
        <f t="shared" si="10"/>
        <v>2</v>
      </c>
      <c r="AQ122" s="20" cm="1">
        <f t="array" ref="AQ122">IFERROR(_xlfn.IFS(AP122=AP121,AQ121,AQ121="Ramo",1),AQ121+1)</f>
        <v>9</v>
      </c>
      <c r="AR122" s="20">
        <f t="shared" si="11"/>
        <v>0</v>
      </c>
      <c r="AS122" s="20" t="str">
        <f>IF(AND(Carro1[[#This Row],[Nó]]=AI123,Carro1[[#This Row],[Nó]]=AI124),"",AQ122&amp;"|"&amp;AN122)</f>
        <v>9|4</v>
      </c>
      <c r="AT122" s="20" t="str">
        <f t="shared" si="12"/>
        <v>9|4</v>
      </c>
      <c r="AU122" s="20" t="str">
        <f>IF(Carro1[[#This Row],[Tipo]]="Início",AQ122&amp;"|"&amp;AN122,"")</f>
        <v/>
      </c>
    </row>
    <row r="123" spans="33:47" x14ac:dyDescent="0.25">
      <c r="AG123" s="20" t="s">
        <v>299</v>
      </c>
      <c r="AH123" s="20" t="s">
        <v>301</v>
      </c>
      <c r="AI123" s="20" t="s">
        <v>27</v>
      </c>
      <c r="AJ123" s="7">
        <v>8.611111111111111E-2</v>
      </c>
      <c r="AK123" s="7">
        <v>8.611111111111111E-2</v>
      </c>
      <c r="AL123" s="20" t="s">
        <v>51</v>
      </c>
      <c r="AM123" s="20" t="str">
        <f>+TEXT(Carro1[[#This Row],[Column1]],"hh:mm")&amp;" | " &amp;TEXT(Carro1[[#This Row],[Hora Fim]],"hh:mm")</f>
        <v>02:04 | 02:04</v>
      </c>
      <c r="AN123" s="20">
        <f>INDEX($E$3:$AA$3,MATCH(Carro1[[#This Row],[Nó]],$E$1:$AA$1,0))</f>
        <v>4</v>
      </c>
      <c r="AO123" s="7">
        <f>+IF(AND(Carro1[[#This Row],[Nó]]=AI122,Carro1[[#This Row],[Nó]]=AI124),AO122,Carro1[[#This Row],[Hora Início]])</f>
        <v>8.611111111111111E-2</v>
      </c>
      <c r="AP123" s="20">
        <f t="shared" si="10"/>
        <v>2</v>
      </c>
      <c r="AQ123" s="20" cm="1">
        <f t="array" ref="AQ123">IFERROR(_xlfn.IFS(AP123=AP122,AQ122,AQ122="Ramo",1),AQ122+1)</f>
        <v>9</v>
      </c>
      <c r="AR123" s="20">
        <f t="shared" si="11"/>
        <v>0</v>
      </c>
      <c r="AS123" s="20" t="str">
        <f>IF(AND(Carro1[[#This Row],[Nó]]=AI124,Carro1[[#This Row],[Nó]]=AI125),"",AQ123&amp;"|"&amp;AN123)</f>
        <v>9|4</v>
      </c>
      <c r="AT123" s="20" t="str">
        <f t="shared" si="12"/>
        <v>9|4</v>
      </c>
      <c r="AU123" s="20" t="str">
        <f>IF(Carro1[[#This Row],[Tipo]]="Início",AQ123&amp;"|"&amp;AN123,"")</f>
        <v/>
      </c>
    </row>
    <row r="124" spans="33:47" x14ac:dyDescent="0.25">
      <c r="AG124" s="20" t="s">
        <v>299</v>
      </c>
      <c r="AH124" s="20" t="s">
        <v>300</v>
      </c>
      <c r="AI124" s="20" t="s">
        <v>26</v>
      </c>
      <c r="AJ124" s="7">
        <v>8.6805555555555552E-2</v>
      </c>
      <c r="AK124" s="7">
        <v>9.375E-2</v>
      </c>
      <c r="AL124" s="20" t="s">
        <v>50</v>
      </c>
      <c r="AM124" s="20" t="str">
        <f>+TEXT(Carro1[[#This Row],[Column1]],"hh:mm")&amp;" | " &amp;TEXT(Carro1[[#This Row],[Hora Fim]],"hh:mm")</f>
        <v>02:05 | 02:15</v>
      </c>
      <c r="AN124" s="20">
        <f>INDEX($E$3:$AA$3,MATCH(Carro1[[#This Row],[Nó]],$E$1:$AA$1,0))</f>
        <v>3</v>
      </c>
      <c r="AO124" s="7">
        <f>+IF(AND(Carro1[[#This Row],[Nó]]=AI123,Carro1[[#This Row],[Nó]]=AI125),AO123,Carro1[[#This Row],[Hora Início]])</f>
        <v>8.6805555555555552E-2</v>
      </c>
      <c r="AP124" s="20">
        <f t="shared" si="10"/>
        <v>2</v>
      </c>
      <c r="AQ124" s="20" cm="1">
        <f t="array" ref="AQ124">IFERROR(_xlfn.IFS(AP124=AP123,AQ123,AQ123="Ramo",1),AQ123+1)</f>
        <v>9</v>
      </c>
      <c r="AR124" s="20">
        <f t="shared" si="11"/>
        <v>0</v>
      </c>
      <c r="AS124" s="20" t="str">
        <f>IF(AND(Carro1[[#This Row],[Nó]]=AI125,Carro1[[#This Row],[Nó]]=AI126),"",AQ124&amp;"|"&amp;AN124)</f>
        <v>9|3</v>
      </c>
      <c r="AT124" s="20" t="str">
        <f t="shared" si="12"/>
        <v>9|3</v>
      </c>
      <c r="AU124" s="20" t="str">
        <f>IF(Carro1[[#This Row],[Tipo]]="Início",AQ124&amp;"|"&amp;AN124,"")</f>
        <v/>
      </c>
    </row>
    <row r="125" spans="33:47" x14ac:dyDescent="0.25">
      <c r="AG125" s="20" t="s">
        <v>299</v>
      </c>
      <c r="AH125" s="20" t="s">
        <v>300</v>
      </c>
      <c r="AI125" s="20" t="s">
        <v>26</v>
      </c>
      <c r="AJ125" s="7">
        <v>9.4444444444444442E-2</v>
      </c>
      <c r="AK125" s="7">
        <v>9.4444444444444442E-2</v>
      </c>
      <c r="AL125" s="20" t="s">
        <v>51</v>
      </c>
      <c r="AM125" s="20" t="str">
        <f>+TEXT(Carro1[[#This Row],[Column1]],"hh:mm")&amp;" | " &amp;TEXT(Carro1[[#This Row],[Hora Fim]],"hh:mm")</f>
        <v>02:16 | 02:16</v>
      </c>
      <c r="AN125" s="20">
        <f>INDEX($E$3:$AA$3,MATCH(Carro1[[#This Row],[Nó]],$E$1:$AA$1,0))</f>
        <v>3</v>
      </c>
      <c r="AO125" s="7">
        <f>+IF(AND(Carro1[[#This Row],[Nó]]=AI124,Carro1[[#This Row],[Nó]]=AI126),AO124,Carro1[[#This Row],[Hora Início]])</f>
        <v>9.4444444444444442E-2</v>
      </c>
      <c r="AP125" s="20">
        <f t="shared" si="10"/>
        <v>2</v>
      </c>
      <c r="AQ125" s="20" cm="1">
        <f t="array" ref="AQ125">IFERROR(_xlfn.IFS(AP125=AP124,AQ124,AQ124="Ramo",1),AQ124+1)</f>
        <v>9</v>
      </c>
      <c r="AR125" s="20">
        <f t="shared" si="11"/>
        <v>0</v>
      </c>
      <c r="AS125" s="20" t="str">
        <f>IF(AND(Carro1[[#This Row],[Nó]]=AI126,Carro1[[#This Row],[Nó]]=AI127),"",AQ125&amp;"|"&amp;AN125)</f>
        <v>9|3</v>
      </c>
      <c r="AT125" s="20" t="str">
        <f t="shared" si="12"/>
        <v>9|3</v>
      </c>
      <c r="AU125" s="20" t="str">
        <f>IF(Carro1[[#This Row],[Tipo]]="Início",AQ125&amp;"|"&amp;AN125,"")</f>
        <v/>
      </c>
    </row>
    <row r="126" spans="33:47" x14ac:dyDescent="0.25">
      <c r="AG126" s="20" t="s">
        <v>299</v>
      </c>
      <c r="AH126" s="20" t="s">
        <v>299</v>
      </c>
      <c r="AI126" s="20" t="s">
        <v>24</v>
      </c>
      <c r="AJ126" s="7">
        <v>9.5138888888888884E-2</v>
      </c>
      <c r="AK126" s="7">
        <v>0.10486111111111111</v>
      </c>
      <c r="AL126" s="20" t="s">
        <v>50</v>
      </c>
      <c r="AM126" s="20" t="str">
        <f>+TEXT(Carro1[[#This Row],[Column1]],"hh:mm")&amp;" | " &amp;TEXT(Carro1[[#This Row],[Hora Fim]],"hh:mm")</f>
        <v>02:17 | 02:31</v>
      </c>
      <c r="AN126" s="20">
        <f>INDEX($E$3:$AA$3,MATCH(Carro1[[#This Row],[Nó]],$E$1:$AA$1,0))</f>
        <v>2</v>
      </c>
      <c r="AO126" s="7">
        <f>+IF(AND(Carro1[[#This Row],[Nó]]=AI125,Carro1[[#This Row],[Nó]]=AI127),AO125,Carro1[[#This Row],[Hora Início]])</f>
        <v>9.5138888888888884E-2</v>
      </c>
      <c r="AP126" s="20">
        <f t="shared" si="10"/>
        <v>2</v>
      </c>
      <c r="AQ126" s="20" cm="1">
        <f t="array" ref="AQ126">IFERROR(_xlfn.IFS(AP126=AP125,AQ125,AQ125="Ramo",1),AQ125+1)</f>
        <v>9</v>
      </c>
      <c r="AR126" s="20">
        <f t="shared" si="11"/>
        <v>0</v>
      </c>
      <c r="AS126" s="20" t="str">
        <f>IF(AND(Carro1[[#This Row],[Nó]]=AI127,Carro1[[#This Row],[Nó]]=AI128),"",AQ126&amp;"|"&amp;AN126)</f>
        <v>9|2</v>
      </c>
      <c r="AT126" s="20" t="str">
        <f t="shared" si="12"/>
        <v>9|2</v>
      </c>
      <c r="AU126" s="20" t="str">
        <f>IF(Carro1[[#This Row],[Tipo]]="Início",AQ126&amp;"|"&amp;AN126,"")</f>
        <v/>
      </c>
    </row>
    <row r="127" spans="33:47" x14ac:dyDescent="0.25">
      <c r="AG127" s="20" t="s">
        <v>299</v>
      </c>
      <c r="AH127" s="20" t="s">
        <v>299</v>
      </c>
      <c r="AI127" s="20" t="s">
        <v>24</v>
      </c>
      <c r="AJ127" s="7">
        <v>0.10555555555555556</v>
      </c>
      <c r="AK127" s="7">
        <v>0.10555555555555556</v>
      </c>
      <c r="AL127" s="20" t="s">
        <v>51</v>
      </c>
      <c r="AM127" s="20" t="str">
        <f>+TEXT(Carro1[[#This Row],[Column1]],"hh:mm")&amp;" | " &amp;TEXT(Carro1[[#This Row],[Hora Fim]],"hh:mm")</f>
        <v>02:32 | 02:32</v>
      </c>
      <c r="AN127" s="20">
        <f>INDEX($E$3:$AA$3,MATCH(Carro1[[#This Row],[Nó]],$E$1:$AA$1,0))</f>
        <v>2</v>
      </c>
      <c r="AO127" s="7">
        <f>+IF(AND(Carro1[[#This Row],[Nó]]=AI126,Carro1[[#This Row],[Nó]]=AI128),AO126,Carro1[[#This Row],[Hora Início]])</f>
        <v>0.10555555555555556</v>
      </c>
      <c r="AP127" s="20">
        <f t="shared" si="10"/>
        <v>2</v>
      </c>
      <c r="AQ127" s="20" cm="1">
        <f t="array" ref="AQ127">IFERROR(_xlfn.IFS(AP127=AP126,AQ126,AQ126="Ramo",1),AQ126+1)</f>
        <v>9</v>
      </c>
      <c r="AR127" s="20">
        <f t="shared" si="11"/>
        <v>0</v>
      </c>
      <c r="AS127" s="20" t="str">
        <f>IF(AND(Carro1[[#This Row],[Nó]]=AI128,Carro1[[#This Row],[Nó]]=AI129),"",AQ127&amp;"|"&amp;AN127)</f>
        <v>9|2</v>
      </c>
      <c r="AT127" s="20" t="str">
        <f t="shared" si="12"/>
        <v>9|2</v>
      </c>
      <c r="AU127" s="20" t="str">
        <f>IF(Carro1[[#This Row],[Tipo]]="Início",AQ127&amp;"|"&amp;AN127,"")</f>
        <v/>
      </c>
    </row>
    <row r="128" spans="33:47" x14ac:dyDescent="0.25">
      <c r="AG128" s="20" t="s">
        <v>299</v>
      </c>
      <c r="AH128" s="20" t="s">
        <v>298</v>
      </c>
      <c r="AI128" s="20" t="s">
        <v>22</v>
      </c>
      <c r="AJ128" s="7">
        <v>0.11041666666666666</v>
      </c>
      <c r="AK128" s="7">
        <v>0.11388888888888889</v>
      </c>
      <c r="AL128" s="20" t="s">
        <v>50</v>
      </c>
      <c r="AM128" s="20" t="str">
        <f>+TEXT(Carro1[[#This Row],[Column1]],"hh:mm")&amp;" | " &amp;TEXT(Carro1[[#This Row],[Hora Fim]],"hh:mm")</f>
        <v>02:39 | 02:44</v>
      </c>
      <c r="AN128" s="20">
        <f>INDEX($E$3:$AA$3,MATCH(Carro1[[#This Row],[Nó]],$E$1:$AA$1,0))</f>
        <v>1</v>
      </c>
      <c r="AO128" s="7">
        <f>+IF(AND(Carro1[[#This Row],[Nó]]=AI127,Carro1[[#This Row],[Nó]]=AI129),AO127,Carro1[[#This Row],[Hora Início]])</f>
        <v>0.11041666666666666</v>
      </c>
      <c r="AP128" s="20">
        <f t="shared" si="10"/>
        <v>2</v>
      </c>
      <c r="AQ128" s="20" cm="1">
        <f t="array" ref="AQ128">IFERROR(_xlfn.IFS(AP128=AP127,AQ127,AQ127="Ramo",1),AQ127+1)</f>
        <v>9</v>
      </c>
      <c r="AR128" s="20">
        <f t="shared" si="11"/>
        <v>0</v>
      </c>
      <c r="AS128" s="20" t="str">
        <f>IF(AND(Carro1[[#This Row],[Nó]]=AI129,Carro1[[#This Row],[Nó]]=AI130),"",AQ128&amp;"|"&amp;AN128)</f>
        <v>9|1</v>
      </c>
      <c r="AT128" s="20" t="str">
        <f t="shared" si="12"/>
        <v>9|1</v>
      </c>
      <c r="AU128" s="20" t="str">
        <f>IF(Carro1[[#This Row],[Tipo]]="Início",AQ128&amp;"|"&amp;AN128,"")</f>
        <v/>
      </c>
    </row>
    <row r="129" spans="33:47" x14ac:dyDescent="0.25">
      <c r="AG129" s="20" t="s">
        <v>299</v>
      </c>
      <c r="AH129" s="20" t="s">
        <v>298</v>
      </c>
      <c r="AI129" s="20" t="s">
        <v>22</v>
      </c>
      <c r="AJ129" s="7">
        <v>0.11874999999999999</v>
      </c>
      <c r="AK129" s="7">
        <v>0.11874999999999999</v>
      </c>
      <c r="AL129" s="20" t="s">
        <v>51</v>
      </c>
      <c r="AM129" s="20" t="str">
        <f>+TEXT(Carro1[[#This Row],[Column1]],"hh:mm")&amp;" | " &amp;TEXT(Carro1[[#This Row],[Hora Fim]],"hh:mm")</f>
        <v>02:51 | 02:51</v>
      </c>
      <c r="AN129" s="20">
        <f>INDEX($E$3:$AA$3,MATCH(Carro1[[#This Row],[Nó]],$E$1:$AA$1,0))</f>
        <v>1</v>
      </c>
      <c r="AO129" s="7">
        <f>+IF(AND(Carro1[[#This Row],[Nó]]=AI128,Carro1[[#This Row],[Nó]]=AI130),AO128,Carro1[[#This Row],[Hora Início]])</f>
        <v>0.11874999999999999</v>
      </c>
      <c r="AP129" s="20">
        <f t="shared" si="10"/>
        <v>2</v>
      </c>
      <c r="AQ129" s="20" cm="1">
        <f t="array" ref="AQ129">IFERROR(_xlfn.IFS(AP129=AP128,AQ128,AQ128="Ramo",1),AQ128+1)</f>
        <v>9</v>
      </c>
      <c r="AR129" s="20">
        <f t="shared" si="11"/>
        <v>0</v>
      </c>
      <c r="AS129" s="20" t="str">
        <f>IF(AND(Carro1[[#This Row],[Nó]]=AI130,Carro1[[#This Row],[Nó]]=AI131),"",AQ129&amp;"|"&amp;AN129)</f>
        <v>9|1</v>
      </c>
      <c r="AT129" s="20" t="str">
        <f t="shared" si="12"/>
        <v>9|1</v>
      </c>
      <c r="AU129" s="20" t="str">
        <f>IF(Carro1[[#This Row],[Tipo]]="Início",AQ129&amp;"|"&amp;AN129,"")</f>
        <v/>
      </c>
    </row>
    <row r="130" spans="33:47" x14ac:dyDescent="0.25">
      <c r="AG130" s="20" t="s">
        <v>299</v>
      </c>
      <c r="AH130" s="20" t="s">
        <v>296</v>
      </c>
      <c r="AI130" s="20" t="s">
        <v>20</v>
      </c>
      <c r="AJ130" s="7">
        <v>0.11944444444444445</v>
      </c>
      <c r="AK130" s="7">
        <v>0.11944444444444445</v>
      </c>
      <c r="AL130" s="20" t="s">
        <v>51</v>
      </c>
      <c r="AM130" s="20" t="str">
        <f>+TEXT(Carro1[[#This Row],[Column1]],"hh:mm")&amp;" | " &amp;TEXT(Carro1[[#This Row],[Hora Fim]],"hh:mm")</f>
        <v>02:52 | 02:52</v>
      </c>
      <c r="AN130" s="20">
        <f>INDEX($E$3:$AA$3,MATCH(Carro1[[#This Row],[Nó]],$E$1:$AA$1,0))</f>
        <v>0</v>
      </c>
      <c r="AO130" s="7">
        <f>+IF(AND(Carro1[[#This Row],[Nó]]=AI129,Carro1[[#This Row],[Nó]]=AI131),AO129,Carro1[[#This Row],[Hora Início]])</f>
        <v>0.11944444444444445</v>
      </c>
      <c r="AP130" s="20">
        <f t="shared" ref="AP130:AP166" si="13">IF(AN130=AN129,IF(AN130&lt;&gt;AN131,IF(AN131&gt;=AN129,1,2),AP129),IF(AN130&gt;=AN129,1,2))</f>
        <v>2</v>
      </c>
      <c r="AQ130" s="20" cm="1">
        <f t="array" ref="AQ130">IFERROR(_xlfn.IFS(AP130=AP129,AQ129,AQ129="Ramo",1),AQ129+1)</f>
        <v>9</v>
      </c>
      <c r="AR130" s="20">
        <f t="shared" ref="AR130:AR161" si="14">IF(AQ130&lt;&gt;AQ129,1,0)</f>
        <v>0</v>
      </c>
      <c r="AS130" s="20" t="str">
        <f>IF(AND(Carro1[[#This Row],[Nó]]=AI131,Carro1[[#This Row],[Nó]]=AI132),"",AQ130&amp;"|"&amp;AN130)</f>
        <v/>
      </c>
      <c r="AT130" s="20" t="str">
        <f t="shared" ref="AT130:AT166" si="15">AQ130&amp;"|"&amp;AN130</f>
        <v>9|0</v>
      </c>
      <c r="AU130" s="20" t="str">
        <f>IF(Carro1[[#This Row],[Tipo]]="Início",AQ130&amp;"|"&amp;AN130,"")</f>
        <v/>
      </c>
    </row>
    <row r="131" spans="33:47" x14ac:dyDescent="0.25">
      <c r="AG131" s="20" t="s">
        <v>299</v>
      </c>
      <c r="AH131" s="20" t="s">
        <v>296</v>
      </c>
      <c r="AI131" s="20" t="s">
        <v>20</v>
      </c>
      <c r="AJ131" s="7">
        <v>0.11944444444444445</v>
      </c>
      <c r="AK131" s="7">
        <v>0.12986111111111112</v>
      </c>
      <c r="AL131" s="20" t="s">
        <v>50</v>
      </c>
      <c r="AM131" s="20" t="str">
        <f>+TEXT(Carro1[[#This Row],[Column1]],"hh:mm")&amp;" | " &amp;TEXT(Carro1[[#This Row],[Hora Fim]],"hh:mm")</f>
        <v>02:52 | 03:07</v>
      </c>
      <c r="AN131" s="20">
        <f>INDEX($E$3:$AA$3,MATCH(Carro1[[#This Row],[Nó]],$E$1:$AA$1,0))</f>
        <v>0</v>
      </c>
      <c r="AO131" s="7">
        <f>+IF(AND(Carro1[[#This Row],[Nó]]=AI130,Carro1[[#This Row],[Nó]]=AI132),AO130,Carro1[[#This Row],[Hora Início]])</f>
        <v>0.11944444444444445</v>
      </c>
      <c r="AP131" s="20">
        <f t="shared" si="13"/>
        <v>2</v>
      </c>
      <c r="AQ131" s="20" cm="1">
        <f t="array" ref="AQ131">IFERROR(_xlfn.IFS(AP131=AP130,AQ130,AQ130="Ramo",1),AQ130+1)</f>
        <v>9</v>
      </c>
      <c r="AR131" s="20">
        <f t="shared" si="14"/>
        <v>0</v>
      </c>
      <c r="AS131" s="20" t="str">
        <f>IF(AND(Carro1[[#This Row],[Nó]]=AI132,Carro1[[#This Row],[Nó]]=AI133),"",AQ131&amp;"|"&amp;AN131)</f>
        <v>9|0</v>
      </c>
      <c r="AT131" s="20" t="str">
        <f t="shared" si="15"/>
        <v>9|0</v>
      </c>
      <c r="AU131" s="20" t="str">
        <f>IF(Carro1[[#This Row],[Tipo]]="Início",AQ131&amp;"|"&amp;AN131,"")</f>
        <v/>
      </c>
    </row>
    <row r="132" spans="33:47" x14ac:dyDescent="0.25">
      <c r="AG132" s="20" t="s">
        <v>299</v>
      </c>
      <c r="AH132" s="20" t="s">
        <v>296</v>
      </c>
      <c r="AI132" s="20" t="s">
        <v>20</v>
      </c>
      <c r="AJ132" s="7">
        <v>0.12986111111111112</v>
      </c>
      <c r="AK132" s="7">
        <v>0.12986111111111112</v>
      </c>
      <c r="AL132" s="20" t="s">
        <v>51</v>
      </c>
      <c r="AM132" s="20" t="str">
        <f>+TEXT(Carro1[[#This Row],[Column1]],"hh:mm")&amp;" | " &amp;TEXT(Carro1[[#This Row],[Hora Fim]],"hh:mm")</f>
        <v>03:07 | 03:07</v>
      </c>
      <c r="AN132" s="20">
        <f>INDEX($E$3:$AA$3,MATCH(Carro1[[#This Row],[Nó]],$E$1:$AA$1,0))</f>
        <v>0</v>
      </c>
      <c r="AO132" s="7">
        <f>+IF(AND(Carro1[[#This Row],[Nó]]=AI131,Carro1[[#This Row],[Nó]]=AI133),AO131,Carro1[[#This Row],[Hora Início]])</f>
        <v>0.12986111111111112</v>
      </c>
      <c r="AP132" s="20">
        <f t="shared" si="13"/>
        <v>1</v>
      </c>
      <c r="AQ132" s="20" cm="1">
        <f t="array" ref="AQ132">IFERROR(_xlfn.IFS(AP132=AP131,AQ131,AQ131="Ramo",1),AQ131+1)</f>
        <v>10</v>
      </c>
      <c r="AR132" s="20">
        <f t="shared" si="14"/>
        <v>1</v>
      </c>
      <c r="AS132" s="20" t="str">
        <f>IF(AND(Carro1[[#This Row],[Nó]]=AI133,Carro1[[#This Row],[Nó]]=AI134),"",AQ132&amp;"|"&amp;AN132)</f>
        <v>10|0</v>
      </c>
      <c r="AT132" s="20" t="str">
        <f t="shared" si="15"/>
        <v>10|0</v>
      </c>
      <c r="AU132" s="20" t="str">
        <f>IF(Carro1[[#This Row],[Tipo]]="Início",AQ132&amp;"|"&amp;AN132,"")</f>
        <v/>
      </c>
    </row>
    <row r="133" spans="33:47" x14ac:dyDescent="0.25">
      <c r="AG133" s="20" t="s">
        <v>299</v>
      </c>
      <c r="AH133" s="20" t="s">
        <v>298</v>
      </c>
      <c r="AI133" s="20" t="s">
        <v>22</v>
      </c>
      <c r="AJ133" s="7">
        <v>0.13055555555555556</v>
      </c>
      <c r="AK133" s="7">
        <v>0.13402777777777777</v>
      </c>
      <c r="AL133" s="20" t="s">
        <v>50</v>
      </c>
      <c r="AM133" s="20" t="str">
        <f>+TEXT(Carro1[[#This Row],[Column1]],"hh:mm")&amp;" | " &amp;TEXT(Carro1[[#This Row],[Hora Fim]],"hh:mm")</f>
        <v>03:08 | 03:13</v>
      </c>
      <c r="AN133" s="20">
        <f>INDEX($E$3:$AA$3,MATCH(Carro1[[#This Row],[Nó]],$E$1:$AA$1,0))</f>
        <v>1</v>
      </c>
      <c r="AO133" s="7">
        <f>+IF(AND(Carro1[[#This Row],[Nó]]=AI132,Carro1[[#This Row],[Nó]]=AI134),AO132,Carro1[[#This Row],[Hora Início]])</f>
        <v>0.13055555555555556</v>
      </c>
      <c r="AP133" s="20">
        <f t="shared" si="13"/>
        <v>1</v>
      </c>
      <c r="AQ133" s="20" cm="1">
        <f t="array" ref="AQ133">IFERROR(_xlfn.IFS(AP133=AP132,AQ132,AQ132="Ramo",1),AQ132+1)</f>
        <v>10</v>
      </c>
      <c r="AR133" s="20">
        <f t="shared" si="14"/>
        <v>0</v>
      </c>
      <c r="AS133" s="20" t="str">
        <f>IF(AND(Carro1[[#This Row],[Nó]]=AI134,Carro1[[#This Row],[Nó]]=AI135),"",AQ133&amp;"|"&amp;AN133)</f>
        <v>10|1</v>
      </c>
      <c r="AT133" s="20" t="str">
        <f t="shared" si="15"/>
        <v>10|1</v>
      </c>
      <c r="AU133" s="20" t="str">
        <f>IF(Carro1[[#This Row],[Tipo]]="Início",AQ133&amp;"|"&amp;AN133,"")</f>
        <v/>
      </c>
    </row>
    <row r="134" spans="33:47" x14ac:dyDescent="0.25">
      <c r="AG134" s="20" t="s">
        <v>299</v>
      </c>
      <c r="AH134" s="20" t="s">
        <v>298</v>
      </c>
      <c r="AI134" s="20" t="s">
        <v>22</v>
      </c>
      <c r="AJ134" s="7">
        <v>0.13472222222222222</v>
      </c>
      <c r="AK134" s="7">
        <v>0.13472222222222222</v>
      </c>
      <c r="AL134" s="20" t="s">
        <v>51</v>
      </c>
      <c r="AM134" s="20" t="str">
        <f>+TEXT(Carro1[[#This Row],[Column1]],"hh:mm")&amp;" | " &amp;TEXT(Carro1[[#This Row],[Hora Fim]],"hh:mm")</f>
        <v>03:14 | 03:14</v>
      </c>
      <c r="AN134" s="20">
        <f>INDEX($E$3:$AA$3,MATCH(Carro1[[#This Row],[Nó]],$E$1:$AA$1,0))</f>
        <v>1</v>
      </c>
      <c r="AO134" s="7">
        <f>+IF(AND(Carro1[[#This Row],[Nó]]=AI133,Carro1[[#This Row],[Nó]]=AI135),AO133,Carro1[[#This Row],[Hora Início]])</f>
        <v>0.13472222222222222</v>
      </c>
      <c r="AP134" s="20">
        <f t="shared" si="13"/>
        <v>1</v>
      </c>
      <c r="AQ134" s="20" cm="1">
        <f t="array" ref="AQ134">IFERROR(_xlfn.IFS(AP134=AP133,AQ133,AQ133="Ramo",1),AQ133+1)</f>
        <v>10</v>
      </c>
      <c r="AR134" s="20">
        <f t="shared" si="14"/>
        <v>0</v>
      </c>
      <c r="AS134" s="20" t="str">
        <f>IF(AND(Carro1[[#This Row],[Nó]]=AI135,Carro1[[#This Row],[Nó]]=AI136),"",AQ134&amp;"|"&amp;AN134)</f>
        <v>10|1</v>
      </c>
      <c r="AT134" s="20" t="str">
        <f t="shared" si="15"/>
        <v>10|1</v>
      </c>
      <c r="AU134" s="20" t="str">
        <f>IF(Carro1[[#This Row],[Tipo]]="Início",AQ134&amp;"|"&amp;AN134,"")</f>
        <v/>
      </c>
    </row>
    <row r="135" spans="33:47" x14ac:dyDescent="0.25">
      <c r="AG135" s="20" t="s">
        <v>299</v>
      </c>
      <c r="AH135" s="20" t="s">
        <v>299</v>
      </c>
      <c r="AI135" s="20" t="s">
        <v>24</v>
      </c>
      <c r="AJ135" s="7">
        <v>0.13958333333333334</v>
      </c>
      <c r="AK135" s="7">
        <v>0.14930555555555555</v>
      </c>
      <c r="AL135" s="20" t="s">
        <v>50</v>
      </c>
      <c r="AM135" s="20" t="str">
        <f>+TEXT(Carro1[[#This Row],[Column1]],"hh:mm")&amp;" | " &amp;TEXT(Carro1[[#This Row],[Hora Fim]],"hh:mm")</f>
        <v>03:21 | 03:35</v>
      </c>
      <c r="AN135" s="20">
        <f>INDEX($E$3:$AA$3,MATCH(Carro1[[#This Row],[Nó]],$E$1:$AA$1,0))</f>
        <v>2</v>
      </c>
      <c r="AO135" s="7">
        <f>+IF(AND(Carro1[[#This Row],[Nó]]=AI134,Carro1[[#This Row],[Nó]]=AI136),AO134,Carro1[[#This Row],[Hora Início]])</f>
        <v>0.13958333333333334</v>
      </c>
      <c r="AP135" s="20">
        <f t="shared" si="13"/>
        <v>1</v>
      </c>
      <c r="AQ135" s="20" cm="1">
        <f t="array" ref="AQ135">IFERROR(_xlfn.IFS(AP135=AP134,AQ134,AQ134="Ramo",1),AQ134+1)</f>
        <v>10</v>
      </c>
      <c r="AR135" s="20">
        <f t="shared" si="14"/>
        <v>0</v>
      </c>
      <c r="AS135" s="20" t="str">
        <f>IF(AND(Carro1[[#This Row],[Nó]]=AI136,Carro1[[#This Row],[Nó]]=AI137),"",AQ135&amp;"|"&amp;AN135)</f>
        <v>10|2</v>
      </c>
      <c r="AT135" s="20" t="str">
        <f t="shared" si="15"/>
        <v>10|2</v>
      </c>
      <c r="AU135" s="20" t="str">
        <f>IF(Carro1[[#This Row],[Tipo]]="Início",AQ135&amp;"|"&amp;AN135,"")</f>
        <v/>
      </c>
    </row>
    <row r="136" spans="33:47" x14ac:dyDescent="0.25">
      <c r="AG136" s="20" t="s">
        <v>299</v>
      </c>
      <c r="AH136" s="20" t="s">
        <v>299</v>
      </c>
      <c r="AI136" s="20" t="s">
        <v>24</v>
      </c>
      <c r="AJ136" s="7">
        <v>0.15416666666666667</v>
      </c>
      <c r="AK136" s="7">
        <v>0.15416666666666667</v>
      </c>
      <c r="AL136" s="20" t="s">
        <v>51</v>
      </c>
      <c r="AM136" s="20" t="str">
        <f>+TEXT(Carro1[[#This Row],[Column1]],"hh:mm")&amp;" | " &amp;TEXT(Carro1[[#This Row],[Hora Fim]],"hh:mm")</f>
        <v>03:42 | 03:42</v>
      </c>
      <c r="AN136" s="20">
        <f>INDEX($E$3:$AA$3,MATCH(Carro1[[#This Row],[Nó]],$E$1:$AA$1,0))</f>
        <v>2</v>
      </c>
      <c r="AO136" s="7">
        <f>+IF(AND(Carro1[[#This Row],[Nó]]=AI135,Carro1[[#This Row],[Nó]]=AI137),AO135,Carro1[[#This Row],[Hora Início]])</f>
        <v>0.15416666666666667</v>
      </c>
      <c r="AP136" s="20">
        <f t="shared" si="13"/>
        <v>1</v>
      </c>
      <c r="AQ136" s="20" cm="1">
        <f t="array" ref="AQ136">IFERROR(_xlfn.IFS(AP136=AP135,AQ135,AQ135="Ramo",1),AQ135+1)</f>
        <v>10</v>
      </c>
      <c r="AR136" s="20">
        <f t="shared" si="14"/>
        <v>0</v>
      </c>
      <c r="AS136" s="20" t="str">
        <f>IF(AND(Carro1[[#This Row],[Nó]]=AI137,Carro1[[#This Row],[Nó]]=AI138),"",AQ136&amp;"|"&amp;AN136)</f>
        <v>10|2</v>
      </c>
      <c r="AT136" s="20" t="str">
        <f t="shared" si="15"/>
        <v>10|2</v>
      </c>
      <c r="AU136" s="20" t="str">
        <f>IF(Carro1[[#This Row],[Tipo]]="Início",AQ136&amp;"|"&amp;AN136,"")</f>
        <v/>
      </c>
    </row>
    <row r="137" spans="33:47" x14ac:dyDescent="0.25">
      <c r="AG137" s="20" t="s">
        <v>299</v>
      </c>
      <c r="AH137" s="20" t="s">
        <v>300</v>
      </c>
      <c r="AI137" s="20" t="s">
        <v>26</v>
      </c>
      <c r="AJ137" s="7">
        <v>0.15486111111111112</v>
      </c>
      <c r="AK137" s="7">
        <v>0.16180555555555556</v>
      </c>
      <c r="AL137" s="20" t="s">
        <v>50</v>
      </c>
      <c r="AM137" s="20" t="str">
        <f>+TEXT(Carro1[[#This Row],[Column1]],"hh:mm")&amp;" | " &amp;TEXT(Carro1[[#This Row],[Hora Fim]],"hh:mm")</f>
        <v>03:43 | 03:53</v>
      </c>
      <c r="AN137" s="20">
        <f>INDEX($E$3:$AA$3,MATCH(Carro1[[#This Row],[Nó]],$E$1:$AA$1,0))</f>
        <v>3</v>
      </c>
      <c r="AO137" s="7">
        <f>+IF(AND(Carro1[[#This Row],[Nó]]=AI136,Carro1[[#This Row],[Nó]]=AI138),AO136,Carro1[[#This Row],[Hora Início]])</f>
        <v>0.15486111111111112</v>
      </c>
      <c r="AP137" s="20">
        <f t="shared" si="13"/>
        <v>1</v>
      </c>
      <c r="AQ137" s="20" cm="1">
        <f t="array" ref="AQ137">IFERROR(_xlfn.IFS(AP137=AP136,AQ136,AQ136="Ramo",1),AQ136+1)</f>
        <v>10</v>
      </c>
      <c r="AR137" s="20">
        <f t="shared" si="14"/>
        <v>0</v>
      </c>
      <c r="AS137" s="20" t="str">
        <f>IF(AND(Carro1[[#This Row],[Nó]]=AI138,Carro1[[#This Row],[Nó]]=AI139),"",AQ137&amp;"|"&amp;AN137)</f>
        <v>10|3</v>
      </c>
      <c r="AT137" s="20" t="str">
        <f t="shared" si="15"/>
        <v>10|3</v>
      </c>
      <c r="AU137" s="20" t="str">
        <f>IF(Carro1[[#This Row],[Tipo]]="Início",AQ137&amp;"|"&amp;AN137,"")</f>
        <v/>
      </c>
    </row>
    <row r="138" spans="33:47" x14ac:dyDescent="0.25">
      <c r="AG138" s="20" t="s">
        <v>299</v>
      </c>
      <c r="AH138" s="20" t="s">
        <v>300</v>
      </c>
      <c r="AI138" s="20" t="s">
        <v>26</v>
      </c>
      <c r="AJ138" s="7">
        <v>0.16250000000000001</v>
      </c>
      <c r="AK138" s="7">
        <v>0.16250000000000001</v>
      </c>
      <c r="AL138" s="20" t="s">
        <v>51</v>
      </c>
      <c r="AM138" s="20" t="str">
        <f>+TEXT(Carro1[[#This Row],[Column1]],"hh:mm")&amp;" | " &amp;TEXT(Carro1[[#This Row],[Hora Fim]],"hh:mm")</f>
        <v>03:54 | 03:54</v>
      </c>
      <c r="AN138" s="20">
        <f>INDEX($E$3:$AA$3,MATCH(Carro1[[#This Row],[Nó]],$E$1:$AA$1,0))</f>
        <v>3</v>
      </c>
      <c r="AO138" s="7">
        <f>+IF(AND(Carro1[[#This Row],[Nó]]=AI137,Carro1[[#This Row],[Nó]]=AI139),AO137,Carro1[[#This Row],[Hora Início]])</f>
        <v>0.16250000000000001</v>
      </c>
      <c r="AP138" s="20">
        <f t="shared" si="13"/>
        <v>1</v>
      </c>
      <c r="AQ138" s="20" cm="1">
        <f t="array" ref="AQ138">IFERROR(_xlfn.IFS(AP138=AP137,AQ137,AQ137="Ramo",1),AQ137+1)</f>
        <v>10</v>
      </c>
      <c r="AR138" s="20">
        <f t="shared" si="14"/>
        <v>0</v>
      </c>
      <c r="AS138" s="20" t="str">
        <f>IF(AND(Carro1[[#This Row],[Nó]]=AI139,Carro1[[#This Row],[Nó]]=AI140),"",AQ138&amp;"|"&amp;AN138)</f>
        <v>10|3</v>
      </c>
      <c r="AT138" s="20" t="str">
        <f t="shared" si="15"/>
        <v>10|3</v>
      </c>
      <c r="AU138" s="20" t="str">
        <f>IF(Carro1[[#This Row],[Tipo]]="Início",AQ138&amp;"|"&amp;AN138,"")</f>
        <v/>
      </c>
    </row>
    <row r="139" spans="33:47" x14ac:dyDescent="0.25">
      <c r="AG139" s="20" t="s">
        <v>299</v>
      </c>
      <c r="AH139" s="20" t="s">
        <v>301</v>
      </c>
      <c r="AI139" s="20" t="s">
        <v>27</v>
      </c>
      <c r="AJ139" s="7">
        <v>0.16319444444444445</v>
      </c>
      <c r="AK139" s="7">
        <v>0.17222222222222222</v>
      </c>
      <c r="AL139" s="20" t="s">
        <v>50</v>
      </c>
      <c r="AM139" s="20" t="str">
        <f>+TEXT(Carro1[[#This Row],[Column1]],"hh:mm")&amp;" | " &amp;TEXT(Carro1[[#This Row],[Hora Fim]],"hh:mm")</f>
        <v>03:55 | 04:08</v>
      </c>
      <c r="AN139" s="20">
        <f>INDEX($E$3:$AA$3,MATCH(Carro1[[#This Row],[Nó]],$E$1:$AA$1,0))</f>
        <v>4</v>
      </c>
      <c r="AO139" s="7">
        <f>+IF(AND(Carro1[[#This Row],[Nó]]=AI138,Carro1[[#This Row],[Nó]]=AI140),AO138,Carro1[[#This Row],[Hora Início]])</f>
        <v>0.16319444444444445</v>
      </c>
      <c r="AP139" s="20">
        <f t="shared" si="13"/>
        <v>1</v>
      </c>
      <c r="AQ139" s="20" cm="1">
        <f t="array" ref="AQ139">IFERROR(_xlfn.IFS(AP139=AP138,AQ138,AQ138="Ramo",1),AQ138+1)</f>
        <v>10</v>
      </c>
      <c r="AR139" s="20">
        <f t="shared" si="14"/>
        <v>0</v>
      </c>
      <c r="AS139" s="20" t="str">
        <f>IF(AND(Carro1[[#This Row],[Nó]]=AI140,Carro1[[#This Row],[Nó]]=AI141),"",AQ139&amp;"|"&amp;AN139)</f>
        <v>10|4</v>
      </c>
      <c r="AT139" s="20" t="str">
        <f t="shared" si="15"/>
        <v>10|4</v>
      </c>
      <c r="AU139" s="20" t="str">
        <f>IF(Carro1[[#This Row],[Tipo]]="Início",AQ139&amp;"|"&amp;AN139,"")</f>
        <v/>
      </c>
    </row>
    <row r="140" spans="33:47" x14ac:dyDescent="0.25">
      <c r="AG140" s="20" t="s">
        <v>299</v>
      </c>
      <c r="AH140" s="20" t="s">
        <v>301</v>
      </c>
      <c r="AI140" s="20" t="s">
        <v>27</v>
      </c>
      <c r="AJ140" s="7">
        <v>0.17291666666666666</v>
      </c>
      <c r="AK140" s="7">
        <v>0.17291666666666666</v>
      </c>
      <c r="AL140" s="20" t="s">
        <v>51</v>
      </c>
      <c r="AM140" s="20" t="str">
        <f>+TEXT(Carro1[[#This Row],[Column1]],"hh:mm")&amp;" | " &amp;TEXT(Carro1[[#This Row],[Hora Fim]],"hh:mm")</f>
        <v>04:09 | 04:09</v>
      </c>
      <c r="AN140" s="20">
        <f>INDEX($E$3:$AA$3,MATCH(Carro1[[#This Row],[Nó]],$E$1:$AA$1,0))</f>
        <v>4</v>
      </c>
      <c r="AO140" s="7">
        <f>+IF(AND(Carro1[[#This Row],[Nó]]=AI139,Carro1[[#This Row],[Nó]]=AI141),AO139,Carro1[[#This Row],[Hora Início]])</f>
        <v>0.17291666666666666</v>
      </c>
      <c r="AP140" s="20">
        <f t="shared" si="13"/>
        <v>1</v>
      </c>
      <c r="AQ140" s="20" cm="1">
        <f t="array" ref="AQ140">IFERROR(_xlfn.IFS(AP140=AP139,AQ139,AQ139="Ramo",1),AQ139+1)</f>
        <v>10</v>
      </c>
      <c r="AR140" s="20">
        <f t="shared" si="14"/>
        <v>0</v>
      </c>
      <c r="AS140" s="20" t="str">
        <f>IF(AND(Carro1[[#This Row],[Nó]]=AI141,Carro1[[#This Row],[Nó]]=AI142),"",AQ140&amp;"|"&amp;AN140)</f>
        <v>10|4</v>
      </c>
      <c r="AT140" s="20" t="str">
        <f t="shared" si="15"/>
        <v>10|4</v>
      </c>
      <c r="AU140" s="20" t="str">
        <f>IF(Carro1[[#This Row],[Tipo]]="Início",AQ140&amp;"|"&amp;AN140,"")</f>
        <v/>
      </c>
    </row>
    <row r="141" spans="33:47" x14ac:dyDescent="0.25">
      <c r="AG141" s="20" t="s">
        <v>299</v>
      </c>
      <c r="AH141" s="20" t="s">
        <v>308</v>
      </c>
      <c r="AI141" s="20" t="s">
        <v>29</v>
      </c>
      <c r="AJ141" s="7">
        <v>0.17499999999999999</v>
      </c>
      <c r="AK141" s="7">
        <v>0.18194444444444444</v>
      </c>
      <c r="AL141" s="20" t="s">
        <v>297</v>
      </c>
      <c r="AM141" s="20" t="str">
        <f>+TEXT(Carro1[[#This Row],[Column1]],"hh:mm")&amp;" | " &amp;TEXT(Carro1[[#This Row],[Hora Fim]],"hh:mm")</f>
        <v>04:12 | 04:22</v>
      </c>
      <c r="AN141" s="20">
        <f>INDEX($E$3:$AA$3,MATCH(Carro1[[#This Row],[Nó]],$E$1:$AA$1,0))</f>
        <v>5</v>
      </c>
      <c r="AO141" s="7">
        <f>+IF(AND(Carro1[[#This Row],[Nó]]=AI140,Carro1[[#This Row],[Nó]]=AI142),AO140,Carro1[[#This Row],[Hora Início]])</f>
        <v>0.17499999999999999</v>
      </c>
      <c r="AP141" s="20">
        <f t="shared" si="13"/>
        <v>1</v>
      </c>
      <c r="AQ141" s="20" cm="1">
        <f t="array" ref="AQ141">IFERROR(_xlfn.IFS(AP141=AP140,AQ140,AQ140="Ramo",1),AQ140+1)</f>
        <v>10</v>
      </c>
      <c r="AR141" s="20">
        <f t="shared" si="14"/>
        <v>0</v>
      </c>
      <c r="AS141" s="20" t="str">
        <f>IF(AND(Carro1[[#This Row],[Nó]]=AI142,Carro1[[#This Row],[Nó]]=AI143),"",AQ141&amp;"|"&amp;AN141)</f>
        <v/>
      </c>
      <c r="AT141" s="20" t="str">
        <f t="shared" si="15"/>
        <v>10|5</v>
      </c>
      <c r="AU141" s="20" t="str">
        <f>IF(Carro1[[#This Row],[Tipo]]="Início",AQ141&amp;"|"&amp;AN141,"")</f>
        <v/>
      </c>
    </row>
    <row r="142" spans="33:47" x14ac:dyDescent="0.25">
      <c r="AG142" s="20" t="s">
        <v>299</v>
      </c>
      <c r="AH142" s="20" t="s">
        <v>308</v>
      </c>
      <c r="AI142" s="20" t="s">
        <v>29</v>
      </c>
      <c r="AJ142" s="7">
        <v>0.18402777777777779</v>
      </c>
      <c r="AK142" s="7">
        <v>0.20347222222222222</v>
      </c>
      <c r="AL142" s="20" t="s">
        <v>50</v>
      </c>
      <c r="AM142" s="20" t="str">
        <f>+TEXT(Carro1[[#This Row],[Column1]],"hh:mm")&amp;" | " &amp;TEXT(Carro1[[#This Row],[Hora Fim]],"hh:mm")</f>
        <v>04:12 | 04:53</v>
      </c>
      <c r="AN142" s="20">
        <f>INDEX($E$3:$AA$3,MATCH(Carro1[[#This Row],[Nó]],$E$1:$AA$1,0))</f>
        <v>5</v>
      </c>
      <c r="AO142" s="7">
        <f>+IF(AND(Carro1[[#This Row],[Nó]]=AI141,Carro1[[#This Row],[Nó]]=AI143),AO141,Carro1[[#This Row],[Hora Início]])</f>
        <v>0.17499999999999999</v>
      </c>
      <c r="AP142" s="20">
        <f t="shared" si="13"/>
        <v>1</v>
      </c>
      <c r="AQ142" s="20" cm="1">
        <f t="array" ref="AQ142">IFERROR(_xlfn.IFS(AP142=AP141,AQ141,AQ141="Ramo",1),AQ141+1)</f>
        <v>10</v>
      </c>
      <c r="AR142" s="20">
        <f t="shared" si="14"/>
        <v>0</v>
      </c>
      <c r="AS142" s="20" t="str">
        <f>IF(AND(Carro1[[#This Row],[Nó]]=AI143,Carro1[[#This Row],[Nó]]=AI144),"",AQ142&amp;"|"&amp;AN142)</f>
        <v>10|5</v>
      </c>
      <c r="AT142" s="20" t="str">
        <f t="shared" si="15"/>
        <v>10|5</v>
      </c>
      <c r="AU142" s="20" t="str">
        <f>IF(Carro1[[#This Row],[Tipo]]="Início",AQ142&amp;"|"&amp;AN142,"")</f>
        <v/>
      </c>
    </row>
    <row r="143" spans="33:47" x14ac:dyDescent="0.25">
      <c r="AG143" s="20" t="s">
        <v>299</v>
      </c>
      <c r="AH143" s="20" t="s">
        <v>308</v>
      </c>
      <c r="AI143" s="20" t="s">
        <v>29</v>
      </c>
      <c r="AJ143" s="7">
        <v>0.20555555555555555</v>
      </c>
      <c r="AK143" s="7">
        <v>0.20555555555555555</v>
      </c>
      <c r="AL143" s="20" t="s">
        <v>51</v>
      </c>
      <c r="AM143" s="20" t="str">
        <f>+TEXT(Carro1[[#This Row],[Column1]],"hh:mm")&amp;" | " &amp;TEXT(Carro1[[#This Row],[Hora Fim]],"hh:mm")</f>
        <v>04:56 | 04:56</v>
      </c>
      <c r="AN143" s="20">
        <f>INDEX($E$3:$AA$3,MATCH(Carro1[[#This Row],[Nó]],$E$1:$AA$1,0))</f>
        <v>5</v>
      </c>
      <c r="AO143" s="7">
        <f>+IF(AND(Carro1[[#This Row],[Nó]]=AI142,Carro1[[#This Row],[Nó]]=AI144),AO142,Carro1[[#This Row],[Hora Início]])</f>
        <v>0.20555555555555555</v>
      </c>
      <c r="AP143" s="20">
        <f t="shared" si="13"/>
        <v>1</v>
      </c>
      <c r="AQ143" s="20" cm="1">
        <f t="array" ref="AQ143">IFERROR(_xlfn.IFS(AP143=AP142,AQ142,AQ142="Ramo",1),AQ142+1)</f>
        <v>10</v>
      </c>
      <c r="AR143" s="20">
        <f t="shared" si="14"/>
        <v>0</v>
      </c>
      <c r="AS143" s="20" t="str">
        <f>IF(AND(Carro1[[#This Row],[Nó]]=AI144,Carro1[[#This Row],[Nó]]=AI145),"",AQ143&amp;"|"&amp;AN143)</f>
        <v>10|5</v>
      </c>
      <c r="AT143" s="20" t="str">
        <f t="shared" si="15"/>
        <v>10|5</v>
      </c>
      <c r="AU143" s="20" t="str">
        <f>IF(Carro1[[#This Row],[Tipo]]="Início",AQ143&amp;"|"&amp;AN143,"")</f>
        <v/>
      </c>
    </row>
    <row r="144" spans="33:47" x14ac:dyDescent="0.25">
      <c r="AG144" s="20" t="s">
        <v>299</v>
      </c>
      <c r="AH144" s="20" t="s">
        <v>309</v>
      </c>
      <c r="AI144" s="20" t="s">
        <v>31</v>
      </c>
      <c r="AJ144" s="7">
        <v>0.2076388888888889</v>
      </c>
      <c r="AK144" s="7">
        <v>0.21388888888888888</v>
      </c>
      <c r="AL144" s="20" t="s">
        <v>50</v>
      </c>
      <c r="AM144" s="20" t="str">
        <f>+TEXT(Carro1[[#This Row],[Column1]],"hh:mm")&amp;" | " &amp;TEXT(Carro1[[#This Row],[Hora Fim]],"hh:mm")</f>
        <v>04:59 | 05:08</v>
      </c>
      <c r="AN144" s="20">
        <f>INDEX($E$3:$AA$3,MATCH(Carro1[[#This Row],[Nó]],$E$1:$AA$1,0))</f>
        <v>6</v>
      </c>
      <c r="AO144" s="7">
        <f>+IF(AND(Carro1[[#This Row],[Nó]]=AI143,Carro1[[#This Row],[Nó]]=AI145),AO143,Carro1[[#This Row],[Hora Início]])</f>
        <v>0.2076388888888889</v>
      </c>
      <c r="AP144" s="20">
        <f t="shared" si="13"/>
        <v>1</v>
      </c>
      <c r="AQ144" s="20" cm="1">
        <f t="array" ref="AQ144">IFERROR(_xlfn.IFS(AP144=AP143,AQ143,AQ143="Ramo",1),AQ143+1)</f>
        <v>10</v>
      </c>
      <c r="AR144" s="20">
        <f t="shared" si="14"/>
        <v>0</v>
      </c>
      <c r="AS144" s="20" t="str">
        <f>IF(AND(Carro1[[#This Row],[Nó]]=AI145,Carro1[[#This Row],[Nó]]=AI146),"",AQ144&amp;"|"&amp;AN144)</f>
        <v>10|6</v>
      </c>
      <c r="AT144" s="20" t="str">
        <f t="shared" si="15"/>
        <v>10|6</v>
      </c>
      <c r="AU144" s="20" t="str">
        <f>IF(Carro1[[#This Row],[Tipo]]="Início",AQ144&amp;"|"&amp;AN144,"")</f>
        <v/>
      </c>
    </row>
    <row r="145" spans="33:47" x14ac:dyDescent="0.25">
      <c r="AG145" s="20" t="s">
        <v>299</v>
      </c>
      <c r="AH145" s="20" t="s">
        <v>309</v>
      </c>
      <c r="AI145" s="20" t="s">
        <v>31</v>
      </c>
      <c r="AJ145" s="7">
        <v>0.21597222222222223</v>
      </c>
      <c r="AK145" s="7">
        <v>0.21597222222222223</v>
      </c>
      <c r="AL145" s="20" t="s">
        <v>51</v>
      </c>
      <c r="AM145" s="20" t="str">
        <f>+TEXT(Carro1[[#This Row],[Column1]],"hh:mm")&amp;" | " &amp;TEXT(Carro1[[#This Row],[Hora Fim]],"hh:mm")</f>
        <v>05:11 | 05:11</v>
      </c>
      <c r="AN145" s="20">
        <f>INDEX($E$3:$AA$3,MATCH(Carro1[[#This Row],[Nó]],$E$1:$AA$1,0))</f>
        <v>6</v>
      </c>
      <c r="AO145" s="7">
        <f>+IF(AND(Carro1[[#This Row],[Nó]]=AI144,Carro1[[#This Row],[Nó]]=AI146),AO144,Carro1[[#This Row],[Hora Início]])</f>
        <v>0.21597222222222223</v>
      </c>
      <c r="AP145" s="20">
        <f t="shared" si="13"/>
        <v>1</v>
      </c>
      <c r="AQ145" s="20" cm="1">
        <f t="array" ref="AQ145">IFERROR(_xlfn.IFS(AP145=AP144,AQ144,AQ144="Ramo",1),AQ144+1)</f>
        <v>10</v>
      </c>
      <c r="AR145" s="20">
        <f t="shared" si="14"/>
        <v>0</v>
      </c>
      <c r="AS145" s="20" t="str">
        <f>IF(AND(Carro1[[#This Row],[Nó]]=AI146,Carro1[[#This Row],[Nó]]=AI147),"",AQ145&amp;"|"&amp;AN145)</f>
        <v>10|6</v>
      </c>
      <c r="AT145" s="20" t="str">
        <f t="shared" si="15"/>
        <v>10|6</v>
      </c>
      <c r="AU145" s="20" t="str">
        <f>IF(Carro1[[#This Row],[Tipo]]="Início",AQ145&amp;"|"&amp;AN145,"")</f>
        <v/>
      </c>
    </row>
    <row r="146" spans="33:47" x14ac:dyDescent="0.25">
      <c r="AG146" s="20" t="s">
        <v>299</v>
      </c>
      <c r="AH146" s="20" t="s">
        <v>310</v>
      </c>
      <c r="AI146" s="20" t="s">
        <v>33</v>
      </c>
      <c r="AJ146" s="7">
        <v>0.21805555555555556</v>
      </c>
      <c r="AK146" s="7">
        <v>0.21805555555555556</v>
      </c>
      <c r="AL146" s="20" t="s">
        <v>51</v>
      </c>
      <c r="AM146" s="20" t="str">
        <f>+TEXT(Carro1[[#This Row],[Column1]],"hh:mm")&amp;" | " &amp;TEXT(Carro1[[#This Row],[Hora Fim]],"hh:mm")</f>
        <v>05:14 | 05:14</v>
      </c>
      <c r="AN146" s="20">
        <f>INDEX($E$3:$AA$3,MATCH(Carro1[[#This Row],[Nó]],$E$1:$AA$1,0))</f>
        <v>7</v>
      </c>
      <c r="AO146" s="7">
        <f>+IF(AND(Carro1[[#This Row],[Nó]]=AI145,Carro1[[#This Row],[Nó]]=AI147),AO145,Carro1[[#This Row],[Hora Início]])</f>
        <v>0.21805555555555556</v>
      </c>
      <c r="AP146" s="20">
        <f t="shared" si="13"/>
        <v>1</v>
      </c>
      <c r="AQ146" s="20" cm="1">
        <f t="array" ref="AQ146">IFERROR(_xlfn.IFS(AP146=AP145,AQ145,AQ145="Ramo",1),AQ145+1)</f>
        <v>10</v>
      </c>
      <c r="AR146" s="20">
        <f t="shared" si="14"/>
        <v>0</v>
      </c>
      <c r="AS146" s="20" t="str">
        <f>IF(AND(Carro1[[#This Row],[Nó]]=AI147,Carro1[[#This Row],[Nó]]=AI148),"",AQ146&amp;"|"&amp;AN146)</f>
        <v>10|7</v>
      </c>
      <c r="AT146" s="20" t="str">
        <f t="shared" si="15"/>
        <v>10|7</v>
      </c>
      <c r="AU146" s="20" t="str">
        <f>IF(Carro1[[#This Row],[Tipo]]="Início",AQ146&amp;"|"&amp;AN146,"")</f>
        <v/>
      </c>
    </row>
    <row r="147" spans="33:47" x14ac:dyDescent="0.25">
      <c r="AG147" s="20" t="s">
        <v>299</v>
      </c>
      <c r="AH147" s="20" t="s">
        <v>310</v>
      </c>
      <c r="AI147" s="20" t="s">
        <v>33</v>
      </c>
      <c r="AJ147" s="7">
        <v>0.21805555555555556</v>
      </c>
      <c r="AK147" s="7">
        <v>0.21805555555555556</v>
      </c>
      <c r="AL147" s="20" t="s">
        <v>51</v>
      </c>
      <c r="AM147" s="20" t="str">
        <f>+TEXT(Carro1[[#This Row],[Column1]],"hh:mm")&amp;" | " &amp;TEXT(Carro1[[#This Row],[Hora Fim]],"hh:mm")</f>
        <v>05:14 | 05:14</v>
      </c>
      <c r="AN147" s="20">
        <f>INDEX($E$3:$AA$3,MATCH(Carro1[[#This Row],[Nó]],$E$1:$AA$1,0))</f>
        <v>7</v>
      </c>
      <c r="AO147" s="7">
        <f>+IF(AND(Carro1[[#This Row],[Nó]]=AI146,Carro1[[#This Row],[Nó]]=AI148),AO146,Carro1[[#This Row],[Hora Início]])</f>
        <v>0.21805555555555556</v>
      </c>
      <c r="AP147" s="20">
        <f t="shared" si="13"/>
        <v>2</v>
      </c>
      <c r="AQ147" s="20" cm="1">
        <f t="array" ref="AQ147">IFERROR(_xlfn.IFS(AP147=AP146,AQ146,AQ146="Ramo",1),AQ146+1)</f>
        <v>11</v>
      </c>
      <c r="AR147" s="20">
        <f t="shared" si="14"/>
        <v>1</v>
      </c>
      <c r="AS147" s="20" t="str">
        <f>IF(AND(Carro1[[#This Row],[Nó]]=AI148,Carro1[[#This Row],[Nó]]=AI149),"",AQ147&amp;"|"&amp;AN147)</f>
        <v>11|7</v>
      </c>
      <c r="AT147" s="20" t="str">
        <f t="shared" si="15"/>
        <v>11|7</v>
      </c>
      <c r="AU147" s="20" t="str">
        <f>IF(Carro1[[#This Row],[Tipo]]="Início",AQ147&amp;"|"&amp;AN147,"")</f>
        <v/>
      </c>
    </row>
    <row r="148" spans="33:47" x14ac:dyDescent="0.25">
      <c r="AG148" s="20" t="s">
        <v>299</v>
      </c>
      <c r="AH148" s="20" t="s">
        <v>309</v>
      </c>
      <c r="AI148" s="20" t="s">
        <v>31</v>
      </c>
      <c r="AJ148" s="7">
        <v>0.22013888888888888</v>
      </c>
      <c r="AK148" s="7">
        <v>0.22013888888888888</v>
      </c>
      <c r="AL148" s="20" t="s">
        <v>51</v>
      </c>
      <c r="AM148" s="20" t="str">
        <f>+TEXT(Carro1[[#This Row],[Column1]],"hh:mm")&amp;" | " &amp;TEXT(Carro1[[#This Row],[Hora Fim]],"hh:mm")</f>
        <v>05:17 | 05:17</v>
      </c>
      <c r="AN148" s="20">
        <f>INDEX($E$3:$AA$3,MATCH(Carro1[[#This Row],[Nó]],$E$1:$AA$1,0))</f>
        <v>6</v>
      </c>
      <c r="AO148" s="7">
        <f>+IF(AND(Carro1[[#This Row],[Nó]]=AI147,Carro1[[#This Row],[Nó]]=AI149),AO147,Carro1[[#This Row],[Hora Início]])</f>
        <v>0.22013888888888888</v>
      </c>
      <c r="AP148" s="20">
        <f t="shared" si="13"/>
        <v>2</v>
      </c>
      <c r="AQ148" s="20" cm="1">
        <f t="array" ref="AQ148">IFERROR(_xlfn.IFS(AP148=AP147,AQ147,AQ147="Ramo",1),AQ147+1)</f>
        <v>11</v>
      </c>
      <c r="AR148" s="20">
        <f t="shared" si="14"/>
        <v>0</v>
      </c>
      <c r="AS148" s="20" t="str">
        <f>IF(AND(Carro1[[#This Row],[Nó]]=AI149,Carro1[[#This Row],[Nó]]=AI150),"",AQ148&amp;"|"&amp;AN148)</f>
        <v>11|6</v>
      </c>
      <c r="AT148" s="20" t="str">
        <f t="shared" si="15"/>
        <v>11|6</v>
      </c>
      <c r="AU148" s="20" t="str">
        <f>IF(Carro1[[#This Row],[Tipo]]="Início",AQ148&amp;"|"&amp;AN148,"")</f>
        <v/>
      </c>
    </row>
    <row r="149" spans="33:47" x14ac:dyDescent="0.25">
      <c r="AG149" s="20" t="s">
        <v>299</v>
      </c>
      <c r="AH149" s="20" t="s">
        <v>308</v>
      </c>
      <c r="AI149" s="20" t="s">
        <v>29</v>
      </c>
      <c r="AJ149" s="7">
        <v>0.22222222222222221</v>
      </c>
      <c r="AK149" s="7">
        <v>0.22222222222222221</v>
      </c>
      <c r="AL149" s="20" t="s">
        <v>51</v>
      </c>
      <c r="AM149" s="20" t="str">
        <f>+TEXT(Carro1[[#This Row],[Column1]],"hh:mm")&amp;" | " &amp;TEXT(Carro1[[#This Row],[Hora Fim]],"hh:mm")</f>
        <v>05:20 | 05:20</v>
      </c>
      <c r="AN149" s="20">
        <f>INDEX($E$3:$AA$3,MATCH(Carro1[[#This Row],[Nó]],$E$1:$AA$1,0))</f>
        <v>5</v>
      </c>
      <c r="AO149" s="7">
        <f>+IF(AND(Carro1[[#This Row],[Nó]]=AI148,Carro1[[#This Row],[Nó]]=AI150),AO148,Carro1[[#This Row],[Hora Início]])</f>
        <v>0.22222222222222221</v>
      </c>
      <c r="AP149" s="20">
        <f t="shared" si="13"/>
        <v>2</v>
      </c>
      <c r="AQ149" s="20" cm="1">
        <f t="array" ref="AQ149">IFERROR(_xlfn.IFS(AP149=AP148,AQ148,AQ148="Ramo",1),AQ148+1)</f>
        <v>11</v>
      </c>
      <c r="AR149" s="20">
        <f t="shared" si="14"/>
        <v>0</v>
      </c>
      <c r="AS149" s="20" t="str">
        <f>IF(AND(Carro1[[#This Row],[Nó]]=AI150,Carro1[[#This Row],[Nó]]=AI151),"",AQ149&amp;"|"&amp;AN149)</f>
        <v>11|5</v>
      </c>
      <c r="AT149" s="20" t="str">
        <f t="shared" si="15"/>
        <v>11|5</v>
      </c>
      <c r="AU149" s="20" t="str">
        <f>IF(Carro1[[#This Row],[Tipo]]="Início",AQ149&amp;"|"&amp;AN149,"")</f>
        <v/>
      </c>
    </row>
    <row r="150" spans="33:47" x14ac:dyDescent="0.25">
      <c r="AG150" s="20" t="s">
        <v>299</v>
      </c>
      <c r="AH150" s="20" t="s">
        <v>301</v>
      </c>
      <c r="AI150" s="20" t="s">
        <v>27</v>
      </c>
      <c r="AJ150" s="7">
        <v>0.22430555555555556</v>
      </c>
      <c r="AK150" s="7">
        <v>0.22430555555555556</v>
      </c>
      <c r="AL150" s="20" t="s">
        <v>51</v>
      </c>
      <c r="AM150" s="20" t="str">
        <f>+TEXT(Carro1[[#This Row],[Column1]],"hh:mm")&amp;" | " &amp;TEXT(Carro1[[#This Row],[Hora Fim]],"hh:mm")</f>
        <v>05:23 | 05:23</v>
      </c>
      <c r="AN150" s="20">
        <f>INDEX($E$3:$AA$3,MATCH(Carro1[[#This Row],[Nó]],$E$1:$AA$1,0))</f>
        <v>4</v>
      </c>
      <c r="AO150" s="7">
        <f>+IF(AND(Carro1[[#This Row],[Nó]]=AI149,Carro1[[#This Row],[Nó]]=AI151),AO149,Carro1[[#This Row],[Hora Início]])</f>
        <v>0.22430555555555556</v>
      </c>
      <c r="AP150" s="20">
        <f t="shared" si="13"/>
        <v>2</v>
      </c>
      <c r="AQ150" s="20" cm="1">
        <f t="array" ref="AQ150">IFERROR(_xlfn.IFS(AP150=AP149,AQ149,AQ149="Ramo",1),AQ149+1)</f>
        <v>11</v>
      </c>
      <c r="AR150" s="20">
        <f t="shared" si="14"/>
        <v>0</v>
      </c>
      <c r="AS150" s="20" t="str">
        <f>IF(AND(Carro1[[#This Row],[Nó]]=AI151,Carro1[[#This Row],[Nó]]=AI152),"",AQ150&amp;"|"&amp;AN150)</f>
        <v>11|4</v>
      </c>
      <c r="AT150" s="20" t="str">
        <f t="shared" si="15"/>
        <v>11|4</v>
      </c>
      <c r="AU150" s="20" t="str">
        <f>IF(Carro1[[#This Row],[Tipo]]="Início",AQ150&amp;"|"&amp;AN150,"")</f>
        <v/>
      </c>
    </row>
    <row r="151" spans="33:47" x14ac:dyDescent="0.25">
      <c r="AG151" s="20" t="s">
        <v>299</v>
      </c>
      <c r="AH151" s="20" t="s">
        <v>300</v>
      </c>
      <c r="AI151" s="20" t="s">
        <v>26</v>
      </c>
      <c r="AJ151" s="7">
        <v>0.22500000000000001</v>
      </c>
      <c r="AK151" s="7">
        <v>0.22500000000000001</v>
      </c>
      <c r="AL151" s="20" t="s">
        <v>51</v>
      </c>
      <c r="AM151" s="20" t="str">
        <f>+TEXT(Carro1[[#This Row],[Column1]],"hh:mm")&amp;" | " &amp;TEXT(Carro1[[#This Row],[Hora Fim]],"hh:mm")</f>
        <v>05:24 | 05:24</v>
      </c>
      <c r="AN151" s="20">
        <f>INDEX($E$3:$AA$3,MATCH(Carro1[[#This Row],[Nó]],$E$1:$AA$1,0))</f>
        <v>3</v>
      </c>
      <c r="AO151" s="7">
        <f>+IF(AND(Carro1[[#This Row],[Nó]]=AI150,Carro1[[#This Row],[Nó]]=AI152),AO150,Carro1[[#This Row],[Hora Início]])</f>
        <v>0.22500000000000001</v>
      </c>
      <c r="AP151" s="20">
        <f t="shared" si="13"/>
        <v>2</v>
      </c>
      <c r="AQ151" s="20" cm="1">
        <f t="array" ref="AQ151">IFERROR(_xlfn.IFS(AP151=AP150,AQ150,AQ150="Ramo",1),AQ150+1)</f>
        <v>11</v>
      </c>
      <c r="AR151" s="20">
        <f t="shared" si="14"/>
        <v>0</v>
      </c>
      <c r="AS151" s="20" t="str">
        <f>IF(AND(Carro1[[#This Row],[Nó]]=AI152,Carro1[[#This Row],[Nó]]=AI153),"",AQ151&amp;"|"&amp;AN151)</f>
        <v>11|3</v>
      </c>
      <c r="AT151" s="20" t="str">
        <f t="shared" si="15"/>
        <v>11|3</v>
      </c>
      <c r="AU151" s="20" t="str">
        <f>IF(Carro1[[#This Row],[Tipo]]="Início",AQ151&amp;"|"&amp;AN151,"")</f>
        <v/>
      </c>
    </row>
    <row r="152" spans="33:47" x14ac:dyDescent="0.25">
      <c r="AG152" s="20" t="s">
        <v>299</v>
      </c>
      <c r="AH152" s="20" t="s">
        <v>299</v>
      </c>
      <c r="AI152" s="20" t="s">
        <v>24</v>
      </c>
      <c r="AJ152" s="7">
        <v>0.22569444444444445</v>
      </c>
      <c r="AK152" s="7">
        <v>0.22569444444444445</v>
      </c>
      <c r="AL152" s="20" t="s">
        <v>51</v>
      </c>
      <c r="AM152" s="20" t="str">
        <f>+TEXT(Carro1[[#This Row],[Column1]],"hh:mm")&amp;" | " &amp;TEXT(Carro1[[#This Row],[Hora Fim]],"hh:mm")</f>
        <v>05:25 | 05:25</v>
      </c>
      <c r="AN152" s="20">
        <f>INDEX($E$3:$AA$3,MATCH(Carro1[[#This Row],[Nó]],$E$1:$AA$1,0))</f>
        <v>2</v>
      </c>
      <c r="AO152" s="7">
        <f>+IF(AND(Carro1[[#This Row],[Nó]]=AI151,Carro1[[#This Row],[Nó]]=AI153),AO151,Carro1[[#This Row],[Hora Início]])</f>
        <v>0.22569444444444445</v>
      </c>
      <c r="AP152" s="20">
        <f t="shared" si="13"/>
        <v>2</v>
      </c>
      <c r="AQ152" s="20" cm="1">
        <f t="array" ref="AQ152">IFERROR(_xlfn.IFS(AP152=AP151,AQ151,AQ151="Ramo",1),AQ151+1)</f>
        <v>11</v>
      </c>
      <c r="AR152" s="20">
        <f t="shared" si="14"/>
        <v>0</v>
      </c>
      <c r="AS152" s="20" t="str">
        <f>IF(AND(Carro1[[#This Row],[Nó]]=AI153,Carro1[[#This Row],[Nó]]=AI154),"",AQ152&amp;"|"&amp;AN152)</f>
        <v>11|2</v>
      </c>
      <c r="AT152" s="20" t="str">
        <f t="shared" si="15"/>
        <v>11|2</v>
      </c>
      <c r="AU152" s="20" t="str">
        <f>IF(Carro1[[#This Row],[Tipo]]="Início",AQ152&amp;"|"&amp;AN152,"")</f>
        <v/>
      </c>
    </row>
    <row r="153" spans="33:47" x14ac:dyDescent="0.25">
      <c r="AG153" s="20" t="s">
        <v>299</v>
      </c>
      <c r="AH153" s="20" t="s">
        <v>298</v>
      </c>
      <c r="AI153" s="20" t="s">
        <v>22</v>
      </c>
      <c r="AJ153" s="7">
        <v>0.23055555555555557</v>
      </c>
      <c r="AK153" s="7">
        <v>0.23055555555555557</v>
      </c>
      <c r="AL153" s="20" t="s">
        <v>51</v>
      </c>
      <c r="AM153" s="20" t="str">
        <f>+TEXT(Carro1[[#This Row],[Column1]],"hh:mm")&amp;" | " &amp;TEXT(Carro1[[#This Row],[Hora Fim]],"hh:mm")</f>
        <v>05:32 | 05:32</v>
      </c>
      <c r="AN153" s="20">
        <f>INDEX($E$3:$AA$3,MATCH(Carro1[[#This Row],[Nó]],$E$1:$AA$1,0))</f>
        <v>1</v>
      </c>
      <c r="AO153" s="7">
        <f>+IF(AND(Carro1[[#This Row],[Nó]]=AI152,Carro1[[#This Row],[Nó]]=AI154),AO152,Carro1[[#This Row],[Hora Início]])</f>
        <v>0.23055555555555557</v>
      </c>
      <c r="AP153" s="20">
        <f t="shared" si="13"/>
        <v>2</v>
      </c>
      <c r="AQ153" s="20" cm="1">
        <f t="array" ref="AQ153">IFERROR(_xlfn.IFS(AP153=AP152,AQ152,AQ152="Ramo",1),AQ152+1)</f>
        <v>11</v>
      </c>
      <c r="AR153" s="20">
        <f t="shared" si="14"/>
        <v>0</v>
      </c>
      <c r="AS153" s="20" t="str">
        <f>IF(AND(Carro1[[#This Row],[Nó]]=AI154,Carro1[[#This Row],[Nó]]=AI155),"",AQ153&amp;"|"&amp;AN153)</f>
        <v>11|1</v>
      </c>
      <c r="AT153" s="20" t="str">
        <f t="shared" si="15"/>
        <v>11|1</v>
      </c>
      <c r="AU153" s="20" t="str">
        <f>IF(Carro1[[#This Row],[Tipo]]="Início",AQ153&amp;"|"&amp;AN153,"")</f>
        <v/>
      </c>
    </row>
    <row r="154" spans="33:47" x14ac:dyDescent="0.25">
      <c r="AG154" s="20" t="s">
        <v>299</v>
      </c>
      <c r="AH154" s="20" t="s">
        <v>296</v>
      </c>
      <c r="AI154" s="20" t="s">
        <v>20</v>
      </c>
      <c r="AJ154" s="7">
        <v>0.23125000000000001</v>
      </c>
      <c r="AK154" s="7">
        <v>0.23125000000000001</v>
      </c>
      <c r="AL154" s="20" t="s">
        <v>51</v>
      </c>
      <c r="AM154" s="20" t="str">
        <f>+TEXT(Carro1[[#This Row],[Column1]],"hh:mm")&amp;" | " &amp;TEXT(Carro1[[#This Row],[Hora Fim]],"hh:mm")</f>
        <v>05:33 | 05:33</v>
      </c>
      <c r="AN154" s="20">
        <f>INDEX($E$3:$AA$3,MATCH(Carro1[[#This Row],[Nó]],$E$1:$AA$1,0))</f>
        <v>0</v>
      </c>
      <c r="AO154" s="7">
        <f>+IF(AND(Carro1[[#This Row],[Nó]]=AI153,Carro1[[#This Row],[Nó]]=AI155),AO153,Carro1[[#This Row],[Hora Início]])</f>
        <v>0.23125000000000001</v>
      </c>
      <c r="AP154" s="20">
        <f t="shared" si="13"/>
        <v>2</v>
      </c>
      <c r="AQ154" s="20" cm="1">
        <f t="array" ref="AQ154">IFERROR(_xlfn.IFS(AP154=AP153,AQ153,AQ153="Ramo",1),AQ153+1)</f>
        <v>11</v>
      </c>
      <c r="AR154" s="20">
        <f t="shared" si="14"/>
        <v>0</v>
      </c>
      <c r="AS154" s="20" t="str">
        <f>IF(AND(Carro1[[#This Row],[Nó]]=AI155,Carro1[[#This Row],[Nó]]=AI156),"",AQ154&amp;"|"&amp;AN154)</f>
        <v>11|0</v>
      </c>
      <c r="AT154" s="20" t="str">
        <f t="shared" si="15"/>
        <v>11|0</v>
      </c>
      <c r="AU154" s="20" t="str">
        <f>IF(Carro1[[#This Row],[Tipo]]="Início",AQ154&amp;"|"&amp;AN154,"")</f>
        <v/>
      </c>
    </row>
    <row r="155" spans="33:47" x14ac:dyDescent="0.25">
      <c r="AG155" s="20" t="s">
        <v>299</v>
      </c>
      <c r="AH155" s="20" t="s">
        <v>296</v>
      </c>
      <c r="AI155" s="20" t="s">
        <v>20</v>
      </c>
      <c r="AJ155" s="7">
        <v>0.23125000000000001</v>
      </c>
      <c r="AK155" s="7">
        <v>0.23125000000000001</v>
      </c>
      <c r="AL155" s="20" t="s">
        <v>51</v>
      </c>
      <c r="AM155" s="20" t="str">
        <f>+TEXT(Carro1[[#This Row],[Column1]],"hh:mm")&amp;" | " &amp;TEXT(Carro1[[#This Row],[Hora Fim]],"hh:mm")</f>
        <v>05:33 | 05:33</v>
      </c>
      <c r="AN155" s="20">
        <f>INDEX($E$3:$AA$3,MATCH(Carro1[[#This Row],[Nó]],$E$1:$AA$1,0))</f>
        <v>0</v>
      </c>
      <c r="AO155" s="7">
        <f>+IF(AND(Carro1[[#This Row],[Nó]]=AI154,Carro1[[#This Row],[Nó]]=AI156),AO154,Carro1[[#This Row],[Hora Início]])</f>
        <v>0.23125000000000001</v>
      </c>
      <c r="AP155" s="20">
        <f t="shared" si="13"/>
        <v>1</v>
      </c>
      <c r="AQ155" s="20" cm="1">
        <f t="array" ref="AQ155">IFERROR(_xlfn.IFS(AP155=AP154,AQ154,AQ154="Ramo",1),AQ154+1)</f>
        <v>12</v>
      </c>
      <c r="AR155" s="20">
        <f t="shared" si="14"/>
        <v>1</v>
      </c>
      <c r="AS155" s="20" t="str">
        <f>IF(AND(Carro1[[#This Row],[Nó]]=AI156,Carro1[[#This Row],[Nó]]=AI157),"",AQ155&amp;"|"&amp;AN155)</f>
        <v>12|0</v>
      </c>
      <c r="AT155" s="20" t="str">
        <f t="shared" si="15"/>
        <v>12|0</v>
      </c>
      <c r="AU155" s="20" t="str">
        <f>IF(Carro1[[#This Row],[Tipo]]="Início",AQ155&amp;"|"&amp;AN155,"")</f>
        <v/>
      </c>
    </row>
    <row r="156" spans="33:47" x14ac:dyDescent="0.25">
      <c r="AG156" s="20" t="s">
        <v>299</v>
      </c>
      <c r="AH156" s="20" t="s">
        <v>298</v>
      </c>
      <c r="AI156" s="20" t="s">
        <v>22</v>
      </c>
      <c r="AJ156" s="7">
        <v>0.23194444444444445</v>
      </c>
      <c r="AK156" s="7">
        <v>0.28680555555555554</v>
      </c>
      <c r="AL156" s="20" t="s">
        <v>52</v>
      </c>
      <c r="AM156" s="20" t="str">
        <f>+TEXT(Carro1[[#This Row],[Column1]],"hh:mm")&amp;" | " &amp;TEXT(Carro1[[#This Row],[Hora Fim]],"hh:mm")</f>
        <v>05:34 | 06:53</v>
      </c>
      <c r="AN156" s="20">
        <f>INDEX($E$3:$AA$3,MATCH(Carro1[[#This Row],[Nó]],$E$1:$AA$1,0))</f>
        <v>1</v>
      </c>
      <c r="AO156" s="7">
        <f>+IF(AND(Carro1[[#This Row],[Nó]]=AI155,Carro1[[#This Row],[Nó]]=AI157),AO155,Carro1[[#This Row],[Hora Início]])</f>
        <v>0.23194444444444445</v>
      </c>
      <c r="AP156" s="20">
        <f t="shared" si="13"/>
        <v>1</v>
      </c>
      <c r="AQ156" s="20" cm="1">
        <f t="array" ref="AQ156">IFERROR(_xlfn.IFS(AP156=AP155,AQ155,AQ155="Ramo",1),AQ155+1)</f>
        <v>12</v>
      </c>
      <c r="AR156" s="20">
        <f t="shared" si="14"/>
        <v>0</v>
      </c>
      <c r="AS156" s="20" t="str">
        <f>IF(AND(Carro1[[#This Row],[Nó]]=AI157,Carro1[[#This Row],[Nó]]=AI158),"",AQ156&amp;"|"&amp;AN156)</f>
        <v>12|1</v>
      </c>
      <c r="AT156" s="20" t="str">
        <f t="shared" si="15"/>
        <v>12|1</v>
      </c>
      <c r="AU156" s="20" t="str">
        <f>IF(Carro1[[#This Row],[Tipo]]="Início",AQ156&amp;"|"&amp;AN156,"")</f>
        <v/>
      </c>
    </row>
    <row r="157" spans="33:47" x14ac:dyDescent="0.25">
      <c r="AG157" s="20" t="s">
        <v>299</v>
      </c>
      <c r="AH157" s="20" t="s">
        <v>298</v>
      </c>
      <c r="AI157" s="20" t="s">
        <v>22</v>
      </c>
      <c r="AJ157" s="7">
        <v>0.28749999999999998</v>
      </c>
      <c r="AK157" s="7">
        <v>0.28749999999999998</v>
      </c>
      <c r="AL157" s="20" t="s">
        <v>51</v>
      </c>
      <c r="AM157" s="20" t="str">
        <f>+TEXT(Carro1[[#This Row],[Column1]],"hh:mm")&amp;" | " &amp;TEXT(Carro1[[#This Row],[Hora Fim]],"hh:mm")</f>
        <v>06:54 | 06:54</v>
      </c>
      <c r="AN157" s="20">
        <f>INDEX($E$3:$AA$3,MATCH(Carro1[[#This Row],[Nó]],$E$1:$AA$1,0))</f>
        <v>1</v>
      </c>
      <c r="AO157" s="7">
        <f>+IF(AND(Carro1[[#This Row],[Nó]]=AI156,Carro1[[#This Row],[Nó]]=AI158),AO156,Carro1[[#This Row],[Hora Início]])</f>
        <v>0.28749999999999998</v>
      </c>
      <c r="AP157" s="20">
        <f t="shared" si="13"/>
        <v>1</v>
      </c>
      <c r="AQ157" s="20" cm="1">
        <f t="array" ref="AQ157">IFERROR(_xlfn.IFS(AP157=AP156,AQ156,AQ156="Ramo",1),AQ156+1)</f>
        <v>12</v>
      </c>
      <c r="AR157" s="20">
        <f t="shared" si="14"/>
        <v>0</v>
      </c>
      <c r="AS157" s="20" t="str">
        <f>IF(AND(Carro1[[#This Row],[Nó]]=AI158,Carro1[[#This Row],[Nó]]=AI159),"",AQ157&amp;"|"&amp;AN157)</f>
        <v>12|1</v>
      </c>
      <c r="AT157" s="20" t="str">
        <f t="shared" si="15"/>
        <v>12|1</v>
      </c>
      <c r="AU157" s="20" t="str">
        <f>IF(Carro1[[#This Row],[Tipo]]="Início",AQ157&amp;"|"&amp;AN157,"")</f>
        <v/>
      </c>
    </row>
    <row r="158" spans="33:47" x14ac:dyDescent="0.25">
      <c r="AG158" s="20" t="s">
        <v>299</v>
      </c>
      <c r="AH158" s="20" t="s">
        <v>299</v>
      </c>
      <c r="AI158" s="20" t="s">
        <v>24</v>
      </c>
      <c r="AJ158" s="7">
        <v>0.29236111111111113</v>
      </c>
      <c r="AK158" s="7">
        <v>0.29236111111111113</v>
      </c>
      <c r="AL158" s="20" t="s">
        <v>51</v>
      </c>
      <c r="AM158" s="20" t="str">
        <f>+TEXT(Carro1[[#This Row],[Column1]],"hh:mm")&amp;" | " &amp;TEXT(Carro1[[#This Row],[Hora Fim]],"hh:mm")</f>
        <v>07:01 | 07:01</v>
      </c>
      <c r="AN158" s="20">
        <f>INDEX($E$3:$AA$3,MATCH(Carro1[[#This Row],[Nó]],$E$1:$AA$1,0))</f>
        <v>2</v>
      </c>
      <c r="AO158" s="7">
        <f>+IF(AND(Carro1[[#This Row],[Nó]]=AI157,Carro1[[#This Row],[Nó]]=AI159),AO157,Carro1[[#This Row],[Hora Início]])</f>
        <v>0.29236111111111113</v>
      </c>
      <c r="AP158" s="20">
        <f t="shared" si="13"/>
        <v>1</v>
      </c>
      <c r="AQ158" s="20" cm="1">
        <f t="array" ref="AQ158">IFERROR(_xlfn.IFS(AP158=AP157,AQ157,AQ157="Ramo",1),AQ157+1)</f>
        <v>12</v>
      </c>
      <c r="AR158" s="20">
        <f t="shared" si="14"/>
        <v>0</v>
      </c>
      <c r="AS158" s="20" t="str">
        <f>IF(AND(Carro1[[#This Row],[Nó]]=AI159,Carro1[[#This Row],[Nó]]=AI160),"",AQ158&amp;"|"&amp;AN158)</f>
        <v>12|2</v>
      </c>
      <c r="AT158" s="20" t="str">
        <f t="shared" si="15"/>
        <v>12|2</v>
      </c>
      <c r="AU158" s="20" t="str">
        <f>IF(Carro1[[#This Row],[Tipo]]="Início",AQ158&amp;"|"&amp;AN158,"")</f>
        <v/>
      </c>
    </row>
    <row r="159" spans="33:47" x14ac:dyDescent="0.25">
      <c r="AG159" s="20" t="s">
        <v>299</v>
      </c>
      <c r="AH159" s="20" t="s">
        <v>300</v>
      </c>
      <c r="AI159" s="20" t="s">
        <v>26</v>
      </c>
      <c r="AJ159" s="7">
        <v>0.29305555555555557</v>
      </c>
      <c r="AK159" s="7">
        <v>0.29305555555555557</v>
      </c>
      <c r="AL159" s="20" t="s">
        <v>51</v>
      </c>
      <c r="AM159" s="20" t="str">
        <f>+TEXT(Carro1[[#This Row],[Column1]],"hh:mm")&amp;" | " &amp;TEXT(Carro1[[#This Row],[Hora Fim]],"hh:mm")</f>
        <v>07:02 | 07:02</v>
      </c>
      <c r="AN159" s="20">
        <f>INDEX($E$3:$AA$3,MATCH(Carro1[[#This Row],[Nó]],$E$1:$AA$1,0))</f>
        <v>3</v>
      </c>
      <c r="AO159" s="7">
        <f>+IF(AND(Carro1[[#This Row],[Nó]]=AI158,Carro1[[#This Row],[Nó]]=AI160),AO158,Carro1[[#This Row],[Hora Início]])</f>
        <v>0.29305555555555557</v>
      </c>
      <c r="AP159" s="20">
        <f t="shared" si="13"/>
        <v>1</v>
      </c>
      <c r="AQ159" s="20" cm="1">
        <f t="array" ref="AQ159">IFERROR(_xlfn.IFS(AP159=AP158,AQ158,AQ158="Ramo",1),AQ158+1)</f>
        <v>12</v>
      </c>
      <c r="AR159" s="20">
        <f t="shared" si="14"/>
        <v>0</v>
      </c>
      <c r="AS159" s="20" t="str">
        <f>IF(AND(Carro1[[#This Row],[Nó]]=AI160,Carro1[[#This Row],[Nó]]=AI161),"",AQ159&amp;"|"&amp;AN159)</f>
        <v>12|3</v>
      </c>
      <c r="AT159" s="20" t="str">
        <f t="shared" si="15"/>
        <v>12|3</v>
      </c>
      <c r="AU159" s="20" t="str">
        <f>IF(Carro1[[#This Row],[Tipo]]="Início",AQ159&amp;"|"&amp;AN159,"")</f>
        <v/>
      </c>
    </row>
    <row r="160" spans="33:47" x14ac:dyDescent="0.25">
      <c r="AG160" s="20" t="s">
        <v>299</v>
      </c>
      <c r="AH160" s="20" t="s">
        <v>301</v>
      </c>
      <c r="AI160" s="20" t="s">
        <v>27</v>
      </c>
      <c r="AJ160" s="7">
        <v>0.29375000000000001</v>
      </c>
      <c r="AK160" s="7">
        <v>0.29375000000000001</v>
      </c>
      <c r="AL160" s="20" t="s">
        <v>51</v>
      </c>
      <c r="AM160" s="20" t="str">
        <f>+TEXT(Carro1[[#This Row],[Column1]],"hh:mm")&amp;" | " &amp;TEXT(Carro1[[#This Row],[Hora Fim]],"hh:mm")</f>
        <v>07:03 | 07:03</v>
      </c>
      <c r="AN160" s="20">
        <f>INDEX($E$3:$AA$3,MATCH(Carro1[[#This Row],[Nó]],$E$1:$AA$1,0))</f>
        <v>4</v>
      </c>
      <c r="AO160" s="7">
        <f>+IF(AND(Carro1[[#This Row],[Nó]]=AI159,Carro1[[#This Row],[Nó]]=AI161),AO159,Carro1[[#This Row],[Hora Início]])</f>
        <v>0.29375000000000001</v>
      </c>
      <c r="AP160" s="20">
        <f t="shared" si="13"/>
        <v>1</v>
      </c>
      <c r="AQ160" s="20" cm="1">
        <f t="array" ref="AQ160">IFERROR(_xlfn.IFS(AP160=AP159,AQ159,AQ159="Ramo",1),AQ159+1)</f>
        <v>12</v>
      </c>
      <c r="AR160" s="20">
        <f t="shared" si="14"/>
        <v>0</v>
      </c>
      <c r="AS160" s="20" t="str">
        <f>IF(AND(Carro1[[#This Row],[Nó]]=AI161,Carro1[[#This Row],[Nó]]=AI162),"",AQ160&amp;"|"&amp;AN160)</f>
        <v>12|4</v>
      </c>
      <c r="AT160" s="20" t="str">
        <f t="shared" si="15"/>
        <v>12|4</v>
      </c>
      <c r="AU160" s="20" t="str">
        <f>IF(Carro1[[#This Row],[Tipo]]="Início",AQ160&amp;"|"&amp;AN160,"")</f>
        <v/>
      </c>
    </row>
    <row r="161" spans="33:47" x14ac:dyDescent="0.25">
      <c r="AG161" s="20" t="s">
        <v>299</v>
      </c>
      <c r="AH161" s="20" t="s">
        <v>308</v>
      </c>
      <c r="AI161" s="20" t="s">
        <v>29</v>
      </c>
      <c r="AJ161" s="7">
        <v>0.29583333333333334</v>
      </c>
      <c r="AK161" s="7">
        <v>0.29583333333333334</v>
      </c>
      <c r="AL161" s="20" t="s">
        <v>51</v>
      </c>
      <c r="AM161" s="20" t="str">
        <f>+TEXT(Carro1[[#This Row],[Column1]],"hh:mm")&amp;" | " &amp;TEXT(Carro1[[#This Row],[Hora Fim]],"hh:mm")</f>
        <v>07:06 | 07:06</v>
      </c>
      <c r="AN161" s="20">
        <f>INDEX($E$3:$AA$3,MATCH(Carro1[[#This Row],[Nó]],$E$1:$AA$1,0))</f>
        <v>5</v>
      </c>
      <c r="AO161" s="7">
        <f>+IF(AND(Carro1[[#This Row],[Nó]]=AI160,Carro1[[#This Row],[Nó]]=AI162),AO160,Carro1[[#This Row],[Hora Início]])</f>
        <v>0.29583333333333334</v>
      </c>
      <c r="AP161" s="20">
        <f t="shared" si="13"/>
        <v>1</v>
      </c>
      <c r="AQ161" s="20" cm="1">
        <f t="array" ref="AQ161">IFERROR(_xlfn.IFS(AP161=AP160,AQ160,AQ160="Ramo",1),AQ160+1)</f>
        <v>12</v>
      </c>
      <c r="AR161" s="20">
        <f t="shared" si="14"/>
        <v>0</v>
      </c>
      <c r="AS161" s="20" t="str">
        <f>IF(AND(Carro1[[#This Row],[Nó]]=AI162,Carro1[[#This Row],[Nó]]=AI163),"",AQ161&amp;"|"&amp;AN161)</f>
        <v>12|5</v>
      </c>
      <c r="AT161" s="20" t="str">
        <f t="shared" si="15"/>
        <v>12|5</v>
      </c>
      <c r="AU161" s="20" t="str">
        <f>IF(Carro1[[#This Row],[Tipo]]="Início",AQ161&amp;"|"&amp;AN161,"")</f>
        <v/>
      </c>
    </row>
    <row r="162" spans="33:47" x14ac:dyDescent="0.25">
      <c r="AG162" s="20" t="s">
        <v>299</v>
      </c>
      <c r="AH162" s="20" t="s">
        <v>309</v>
      </c>
      <c r="AI162" s="20" t="s">
        <v>31</v>
      </c>
      <c r="AJ162" s="7">
        <v>0.29791666666666666</v>
      </c>
      <c r="AK162" s="7">
        <v>0.3527777777777778</v>
      </c>
      <c r="AL162" s="20" t="s">
        <v>52</v>
      </c>
      <c r="AM162" s="20" t="str">
        <f>+TEXT(Carro1[[#This Row],[Column1]],"hh:mm")&amp;" | " &amp;TEXT(Carro1[[#This Row],[Hora Fim]],"hh:mm")</f>
        <v>07:09 | 08:28</v>
      </c>
      <c r="AN162" s="20">
        <f>INDEX($E$3:$AA$3,MATCH(Carro1[[#This Row],[Nó]],$E$1:$AA$1,0))</f>
        <v>6</v>
      </c>
      <c r="AO162" s="7">
        <f>+IF(AND(Carro1[[#This Row],[Nó]]=AI161,Carro1[[#This Row],[Nó]]=AI163),AO161,Carro1[[#This Row],[Hora Início]])</f>
        <v>0.29791666666666666</v>
      </c>
      <c r="AP162" s="20">
        <f t="shared" si="13"/>
        <v>1</v>
      </c>
      <c r="AQ162" s="20" cm="1">
        <f t="array" ref="AQ162">IFERROR(_xlfn.IFS(AP162=AP161,AQ161,AQ161="Ramo",1),AQ161+1)</f>
        <v>12</v>
      </c>
      <c r="AR162" s="20">
        <f t="shared" ref="AR162:AR193" si="16">IF(AQ162&lt;&gt;AQ161,1,0)</f>
        <v>0</v>
      </c>
      <c r="AS162" s="20" t="str">
        <f>IF(AND(Carro1[[#This Row],[Nó]]=AI163,Carro1[[#This Row],[Nó]]=AI164),"",AQ162&amp;"|"&amp;AN162)</f>
        <v>12|6</v>
      </c>
      <c r="AT162" s="20" t="str">
        <f t="shared" si="15"/>
        <v>12|6</v>
      </c>
      <c r="AU162" s="20" t="str">
        <f>IF(Carro1[[#This Row],[Tipo]]="Início",AQ162&amp;"|"&amp;AN162,"")</f>
        <v/>
      </c>
    </row>
    <row r="163" spans="33:47" x14ac:dyDescent="0.25">
      <c r="AG163" s="20" t="s">
        <v>299</v>
      </c>
      <c r="AH163" s="20" t="s">
        <v>309</v>
      </c>
      <c r="AI163" s="20" t="s">
        <v>31</v>
      </c>
      <c r="AJ163" s="7">
        <v>0.35486111111111113</v>
      </c>
      <c r="AK163" s="7">
        <v>0.35486111111111113</v>
      </c>
      <c r="AL163" s="20" t="s">
        <v>51</v>
      </c>
      <c r="AM163" s="20" t="str">
        <f>+TEXT(Carro1[[#This Row],[Column1]],"hh:mm")&amp;" | " &amp;TEXT(Carro1[[#This Row],[Hora Fim]],"hh:mm")</f>
        <v>08:31 | 08:31</v>
      </c>
      <c r="AN163" s="20">
        <f>INDEX($E$3:$AA$3,MATCH(Carro1[[#This Row],[Nó]],$E$1:$AA$1,0))</f>
        <v>6</v>
      </c>
      <c r="AO163" s="7">
        <f>+IF(AND(Carro1[[#This Row],[Nó]]=AI162,Carro1[[#This Row],[Nó]]=AI164),AO162,Carro1[[#This Row],[Hora Início]])</f>
        <v>0.35486111111111113</v>
      </c>
      <c r="AP163" s="20">
        <f t="shared" si="13"/>
        <v>1</v>
      </c>
      <c r="AQ163" s="20" cm="1">
        <f t="array" ref="AQ163">IFERROR(_xlfn.IFS(AP163=AP162,AQ162,AQ162="Ramo",1),AQ162+1)</f>
        <v>12</v>
      </c>
      <c r="AR163" s="20">
        <f t="shared" si="16"/>
        <v>0</v>
      </c>
      <c r="AS163" s="20" t="str">
        <f>IF(AND(Carro1[[#This Row],[Nó]]=AI164,Carro1[[#This Row],[Nó]]=AI165),"",AQ163&amp;"|"&amp;AN163)</f>
        <v>12|6</v>
      </c>
      <c r="AT163" s="20" t="str">
        <f t="shared" si="15"/>
        <v>12|6</v>
      </c>
      <c r="AU163" s="20" t="str">
        <f>IF(Carro1[[#This Row],[Tipo]]="Início",AQ163&amp;"|"&amp;AN163,"")</f>
        <v/>
      </c>
    </row>
    <row r="164" spans="33:47" x14ac:dyDescent="0.25">
      <c r="AG164" s="20" t="s">
        <v>299</v>
      </c>
      <c r="AH164" s="20" t="s">
        <v>310</v>
      </c>
      <c r="AI164" s="20" t="s">
        <v>33</v>
      </c>
      <c r="AJ164" s="7">
        <v>0.35694444444444445</v>
      </c>
      <c r="AK164" s="7">
        <v>0.35694444444444445</v>
      </c>
      <c r="AL164" s="20" t="s">
        <v>51</v>
      </c>
      <c r="AM164" s="20" t="str">
        <f>+TEXT(Carro1[[#This Row],[Column1]],"hh:mm")&amp;" | " &amp;TEXT(Carro1[[#This Row],[Hora Fim]],"hh:mm")</f>
        <v>08:34 | 08:34</v>
      </c>
      <c r="AN164" s="20">
        <f>INDEX($E$3:$AA$3,MATCH(Carro1[[#This Row],[Nó]],$E$1:$AA$1,0))</f>
        <v>7</v>
      </c>
      <c r="AO164" s="7">
        <f>+IF(AND(Carro1[[#This Row],[Nó]]=AI163,Carro1[[#This Row],[Nó]]=AI165),AO163,Carro1[[#This Row],[Hora Início]])</f>
        <v>0.35694444444444445</v>
      </c>
      <c r="AP164" s="20">
        <f t="shared" si="13"/>
        <v>1</v>
      </c>
      <c r="AQ164" s="20" cm="1">
        <f t="array" ref="AQ164">IFERROR(_xlfn.IFS(AP164=AP163,AQ163,AQ163="Ramo",1),AQ163+1)</f>
        <v>12</v>
      </c>
      <c r="AR164" s="20">
        <f t="shared" si="16"/>
        <v>0</v>
      </c>
      <c r="AS164" s="20" t="str">
        <f>IF(AND(Carro1[[#This Row],[Nó]]=AI165,Carro1[[#This Row],[Nó]]=AI166),"",AQ164&amp;"|"&amp;AN164)</f>
        <v/>
      </c>
      <c r="AT164" s="20" t="str">
        <f t="shared" si="15"/>
        <v>12|7</v>
      </c>
      <c r="AU164" s="20" t="str">
        <f>IF(Carro1[[#This Row],[Tipo]]="Início",AQ164&amp;"|"&amp;AN164,"")</f>
        <v/>
      </c>
    </row>
    <row r="165" spans="33:47" x14ac:dyDescent="0.25">
      <c r="AG165" s="20" t="s">
        <v>299</v>
      </c>
      <c r="AH165" s="20" t="s">
        <v>310</v>
      </c>
      <c r="AI165" s="20" t="s">
        <v>33</v>
      </c>
      <c r="AJ165" s="7">
        <v>0.35694444444444445</v>
      </c>
      <c r="AK165" s="7">
        <v>0.35694444444444445</v>
      </c>
      <c r="AL165" s="20" t="s">
        <v>51</v>
      </c>
      <c r="AM165" s="20" t="str">
        <f>+TEXT(Carro1[[#This Row],[Column1]],"hh:mm")&amp;" | " &amp;TEXT(Carro1[[#This Row],[Hora Fim]],"hh:mm")</f>
        <v>08:34 | 08:34</v>
      </c>
      <c r="AN165" s="20">
        <f>INDEX($E$3:$AA$3,MATCH(Carro1[[#This Row],[Nó]],$E$1:$AA$1,0))</f>
        <v>7</v>
      </c>
      <c r="AO165" s="7">
        <f>+IF(AND(Carro1[[#This Row],[Nó]]=AI164,Carro1[[#This Row],[Nó]]=AI166),AO164,Carro1[[#This Row],[Hora Início]])</f>
        <v>0.35694444444444445</v>
      </c>
      <c r="AP165" s="20">
        <f t="shared" si="13"/>
        <v>1</v>
      </c>
      <c r="AQ165" s="20" cm="1">
        <f t="array" ref="AQ165">IFERROR(_xlfn.IFS(AP165=AP164,AQ164,AQ164="Ramo",1),AQ164+1)</f>
        <v>12</v>
      </c>
      <c r="AR165" s="20">
        <f t="shared" si="16"/>
        <v>0</v>
      </c>
      <c r="AS165" s="20" t="str">
        <f>IF(AND(Carro1[[#This Row],[Nó]]=AI166,Carro1[[#This Row],[Nó]]=AI167),"",AQ165&amp;"|"&amp;AN165)</f>
        <v>12|7</v>
      </c>
      <c r="AT165" s="20" t="str">
        <f t="shared" si="15"/>
        <v>12|7</v>
      </c>
      <c r="AU165" s="20" t="str">
        <f>IF(Carro1[[#This Row],[Tipo]]="Início",AQ165&amp;"|"&amp;AN165,"")</f>
        <v/>
      </c>
    </row>
    <row r="166" spans="33:47" x14ac:dyDescent="0.25">
      <c r="AG166" s="20" t="s">
        <v>299</v>
      </c>
      <c r="AH166" s="20" t="s">
        <v>310</v>
      </c>
      <c r="AI166" s="20" t="s">
        <v>33</v>
      </c>
      <c r="AJ166" s="7">
        <v>0.35694444444444445</v>
      </c>
      <c r="AK166" s="7">
        <v>0.35694444444444445</v>
      </c>
      <c r="AL166" s="20" t="s">
        <v>51</v>
      </c>
      <c r="AM166" s="20" t="str">
        <f>+TEXT(Carro1[[#This Row],[Column1]],"hh:mm")&amp;" | " &amp;TEXT(Carro1[[#This Row],[Hora Fim]],"hh:mm")</f>
        <v>08:34 | 08:34</v>
      </c>
      <c r="AN166" s="20">
        <f>INDEX($E$3:$AA$3,MATCH(Carro1[[#This Row],[Nó]],$E$1:$AA$1,0))</f>
        <v>7</v>
      </c>
      <c r="AO166" s="7">
        <f>+IF(AND(Carro1[[#This Row],[Nó]]=AI165,Carro1[[#This Row],[Nó]]=AI167),AO165,Carro1[[#This Row],[Hora Início]])</f>
        <v>0.35694444444444445</v>
      </c>
      <c r="AP166" s="20">
        <f t="shared" si="13"/>
        <v>2</v>
      </c>
      <c r="AQ166" s="20" cm="1">
        <f t="array" ref="AQ166">IFERROR(_xlfn.IFS(AP166=AP165,AQ165,AQ165="Ramo",1),AQ165+1)</f>
        <v>13</v>
      </c>
      <c r="AR166" s="20">
        <f t="shared" si="16"/>
        <v>1</v>
      </c>
      <c r="AS166" s="20" t="str">
        <f>IF(AND(Carro1[[#This Row],[Nó]]=AI167,Carro1[[#This Row],[Nó]]=AI168),"",AQ166&amp;"|"&amp;AN166)</f>
        <v>13|7</v>
      </c>
      <c r="AT166" s="20" t="str">
        <f t="shared" si="15"/>
        <v>13|7</v>
      </c>
      <c r="AU166" s="20" t="str">
        <f>IF(Carro1[[#This Row],[Tipo]]="Início",AQ166&amp;"|"&amp;AN166,"")</f>
        <v/>
      </c>
    </row>
  </sheetData>
  <phoneticPr fontId="8" type="noConversion"/>
  <conditionalFormatting sqref="E4:AA32">
    <cfRule type="expression" dxfId="57" priority="45">
      <formula>IF(F$2=0,IFERROR(INDEX($AL:$AL,MATCH($D4&amp;"|"&amp;E$3,$AU:$AU,0)),""),IFERROR(INDEX($AR:$AR,MATCH($D4&amp;"|"&amp;E$3,$AS:$AS,0)),""))="Início"</formula>
    </cfRule>
    <cfRule type="expression" dxfId="56" priority="46">
      <formula>IF(F$2=0,IFERROR(INDEX($AL:$AL,MATCH($D4&amp;"|"&amp;E$3,$AT:$AT,0)),""),IFERROR(INDEX($AR:$AR,MATCH($D4&amp;"|"&amp;E$3,$AT:$AT,0)),""))="Espera"</formula>
    </cfRule>
    <cfRule type="cellIs" dxfId="55" priority="47" operator="equal">
      <formula>0</formula>
    </cfRule>
    <cfRule type="expression" dxfId="54" priority="48">
      <formula>IF(F$2=0,IFERROR(INDEX($AL:$AL,MATCH($D4&amp;"|"&amp;E$3,$AT:$AT,0)),""),IFERROR(INDEX($AR:$AR,MATCH($D4&amp;"|"&amp;E$3,$AT:$AT,0)),""))="Incidência"</formula>
    </cfRule>
    <cfRule type="expression" dxfId="53" priority="49">
      <formula>IF(F$2=0,IFERROR(INDEX($AL:$AL,MATCH($D4&amp;"|"&amp;E$3,$AT:$AT,0)),""),IFERROR(INDEX($AR:$AR,MATCH($D4&amp;"|"&amp;E$3,$AT:$AT,0)),""))="Almoço"</formula>
    </cfRule>
    <cfRule type="expression" dxfId="52" priority="50">
      <formula>IF(F$2=0,IFERROR(INDEX($AL:$AL,MATCH($D4&amp;"|"&amp;E$3,$AT:$AT,0)),""),IFERROR(INDEX($AR:$AR,MATCH($D4&amp;"|"&amp;E$3,$AT:$AT,0)),""))="Pausa"</formula>
    </cfRule>
    <cfRule type="expression" dxfId="51" priority="51">
      <formula>IF(F$2=0,IFERROR(INDEX($AL:$AL,MATCH($D4&amp;"|"&amp;E$3,$AT:$AT,0)),""),IFERROR(INDEX($AR:$AR,MATCH($D4&amp;"|"&amp;E$3,$AT:$AT,0)),""))="Visitar Nó"</formula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532A5-E4F4-4B6A-84CD-EC51A2C2BD28}">
  <sheetPr codeName="Sheet17">
    <tabColor theme="9" tint="0.59999389629810485"/>
  </sheetPr>
  <dimension ref="A1:AK256"/>
  <sheetViews>
    <sheetView showGridLines="0" zoomScale="40" zoomScaleNormal="40" workbookViewId="0">
      <selection activeCell="K24" sqref="K24"/>
    </sheetView>
  </sheetViews>
  <sheetFormatPr defaultRowHeight="15" x14ac:dyDescent="0.25"/>
  <cols>
    <col min="2" max="2" width="27.42578125" bestFit="1" customWidth="1"/>
    <col min="3" max="3" width="28.85546875" bestFit="1" customWidth="1"/>
    <col min="4" max="4" width="23.140625" bestFit="1" customWidth="1"/>
    <col min="5" max="5" width="21.7109375" bestFit="1" customWidth="1"/>
    <col min="6" max="6" width="17.140625" bestFit="1" customWidth="1"/>
    <col min="7" max="7" width="19.42578125" bestFit="1" customWidth="1"/>
    <col min="8" max="8" width="21.28515625" bestFit="1" customWidth="1"/>
    <col min="9" max="9" width="27.85546875" bestFit="1" customWidth="1"/>
    <col min="10" max="10" width="19.5703125" bestFit="1" customWidth="1"/>
    <col min="11" max="13" width="19.5703125" customWidth="1"/>
    <col min="14" max="14" width="13.140625" customWidth="1"/>
    <col min="15" max="15" width="6.42578125" bestFit="1" customWidth="1"/>
    <col min="16" max="16" width="28.28515625" bestFit="1" customWidth="1"/>
    <col min="17" max="17" width="27.85546875" bestFit="1" customWidth="1"/>
    <col min="18" max="18" width="28.7109375" style="18" bestFit="1" customWidth="1"/>
    <col min="19" max="19" width="30.140625" style="18" bestFit="1" customWidth="1"/>
    <col min="20" max="20" width="39.42578125" style="18" bestFit="1" customWidth="1"/>
    <col min="21" max="21" width="27.28515625" bestFit="1" customWidth="1"/>
    <col min="22" max="22" width="8.42578125" bestFit="1" customWidth="1"/>
    <col min="23" max="23" width="11.85546875" customWidth="1"/>
    <col min="24" max="24" width="13.42578125" customWidth="1"/>
    <col min="25" max="25" width="14.140625" customWidth="1"/>
    <col min="29" max="29" width="15.28515625" customWidth="1"/>
    <col min="30" max="30" width="13.5703125" customWidth="1"/>
    <col min="31" max="31" width="12.42578125" customWidth="1"/>
  </cols>
  <sheetData>
    <row r="1" spans="1:37" ht="15" customHeight="1" x14ac:dyDescent="0.25">
      <c r="A1" s="57" t="s">
        <v>271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</row>
    <row r="2" spans="1:37" ht="15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</row>
    <row r="3" spans="1:37" ht="15" customHeight="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</row>
    <row r="5" spans="1:37" x14ac:dyDescent="0.25">
      <c r="B5" s="5" t="s">
        <v>257</v>
      </c>
      <c r="C5" s="5" t="s">
        <v>11</v>
      </c>
      <c r="D5" s="5" t="s">
        <v>47</v>
      </c>
      <c r="E5" s="5" t="s">
        <v>48</v>
      </c>
      <c r="F5" s="5" t="s">
        <v>7</v>
      </c>
      <c r="G5" s="5" t="s">
        <v>260</v>
      </c>
      <c r="H5" s="5" t="s">
        <v>261</v>
      </c>
      <c r="I5" s="5" t="s">
        <v>262</v>
      </c>
      <c r="J5" s="5" t="s">
        <v>248</v>
      </c>
      <c r="O5" s="5" t="s">
        <v>46</v>
      </c>
      <c r="P5" s="5" t="s">
        <v>11</v>
      </c>
      <c r="Q5" s="19" t="s">
        <v>256</v>
      </c>
      <c r="R5"/>
      <c r="S5" s="5" t="s">
        <v>258</v>
      </c>
      <c r="T5" s="5" t="s">
        <v>259</v>
      </c>
    </row>
    <row r="6" spans="1:37" x14ac:dyDescent="0.25">
      <c r="B6">
        <v>1</v>
      </c>
      <c r="C6" s="20" t="s">
        <v>33</v>
      </c>
      <c r="D6">
        <v>0</v>
      </c>
      <c r="E6">
        <v>0</v>
      </c>
      <c r="F6" s="20" t="s">
        <v>49</v>
      </c>
      <c r="G6" s="20">
        <f t="shared" ref="G6:G69" si="0">IF(C6&lt;&gt;C7,1,0)</f>
        <v>0</v>
      </c>
      <c r="H6" s="20">
        <f t="shared" ref="H6:H69" si="1">IF(C6&lt;&gt;C5,1,0)</f>
        <v>1</v>
      </c>
      <c r="I6" s="20">
        <f>_xlfn.MAXIFS($E5:E$6,$C5:C$6,detalhe_carro2[[#This Row],[Nó]],$B5:B$6,detalhe_carro2[[#This Row],[Numero Voltas]],$G5:G$6,1)</f>
        <v>0</v>
      </c>
      <c r="J6" s="20" t="str">
        <f>IF(OR(detalhe_carro2[[#This Row],[Ultima Chegada]]=0,detalhe_carro2[[#This Row],[Chegada]]=0),"",detalhe_carro2[[#This Row],[Hora Inicio]]-detalhe_carro2[[#This Row],[Ultima Chegada]])</f>
        <v/>
      </c>
      <c r="K6" s="20"/>
      <c r="L6" s="20"/>
      <c r="M6" s="20"/>
      <c r="O6" s="21">
        <v>1</v>
      </c>
      <c r="P6" s="21" t="s">
        <v>20</v>
      </c>
      <c r="Q6" s="22" t="e">
        <f>AVERAGEIFS(detalhe_carro2[Tempo],detalhe_carro2[Numero Voltas],O6,detalhe_carro2[Nó],P6,detalhe_carro2[Chegada],1)/60</f>
        <v>#DIV/0!</v>
      </c>
      <c r="R6"/>
      <c r="S6">
        <v>1</v>
      </c>
      <c r="T6" s="20">
        <v>8.8699999999999992</v>
      </c>
    </row>
    <row r="7" spans="1:37" x14ac:dyDescent="0.25">
      <c r="B7">
        <v>1</v>
      </c>
      <c r="C7" s="20" t="s">
        <v>33</v>
      </c>
      <c r="D7">
        <v>2</v>
      </c>
      <c r="E7">
        <v>15</v>
      </c>
      <c r="F7" s="20" t="s">
        <v>50</v>
      </c>
      <c r="G7" s="20">
        <f t="shared" si="0"/>
        <v>0</v>
      </c>
      <c r="H7" s="20">
        <f t="shared" si="1"/>
        <v>0</v>
      </c>
      <c r="I7" s="20">
        <f>_xlfn.MAXIFS($E6:E$6,$C6:C$6,detalhe_carro2[[#This Row],[Nó]],$B6:B$6,detalhe_carro2[[#This Row],[Numero Voltas]],$G6:G$6,1)</f>
        <v>0</v>
      </c>
      <c r="J7" s="20" t="str">
        <f>IF(OR(detalhe_carro2[[#This Row],[Ultima Chegada]]=0,detalhe_carro2[[#This Row],[Chegada]]=0),"",detalhe_carro2[[#This Row],[Hora Inicio]]-detalhe_carro2[[#This Row],[Ultima Chegada]])</f>
        <v/>
      </c>
      <c r="K7" s="20"/>
      <c r="L7" s="20"/>
      <c r="M7" s="20"/>
      <c r="O7" s="21">
        <v>1</v>
      </c>
      <c r="P7" s="21" t="s">
        <v>22</v>
      </c>
      <c r="Q7" s="22">
        <f>AVERAGEIFS(detalhe_carro2[Tempo],detalhe_carro2[Numero Voltas],O7,detalhe_carro2[Nó],P7,detalhe_carro2[Chegada],1)/60</f>
        <v>0.35</v>
      </c>
      <c r="R7"/>
      <c r="S7">
        <v>2</v>
      </c>
      <c r="T7" s="20">
        <v>8.85</v>
      </c>
    </row>
    <row r="8" spans="1:37" x14ac:dyDescent="0.25">
      <c r="B8">
        <v>1</v>
      </c>
      <c r="C8" s="20" t="s">
        <v>33</v>
      </c>
      <c r="D8">
        <v>15</v>
      </c>
      <c r="E8">
        <v>15</v>
      </c>
      <c r="F8" s="20" t="s">
        <v>51</v>
      </c>
      <c r="G8" s="20">
        <f t="shared" si="0"/>
        <v>1</v>
      </c>
      <c r="H8" s="20">
        <f t="shared" si="1"/>
        <v>0</v>
      </c>
      <c r="I8" s="20">
        <f>_xlfn.MAXIFS($E$6:E7,$C$6:C7,detalhe_carro2[[#This Row],[Nó]],$B$6:B7,detalhe_carro2[[#This Row],[Numero Voltas]],$G$6:G7,1)</f>
        <v>0</v>
      </c>
      <c r="J8" s="20" t="str">
        <f>IF(OR(detalhe_carro2[[#This Row],[Ultima Chegada]]=0,detalhe_carro2[[#This Row],[Chegada]]=0),"",detalhe_carro2[[#This Row],[Hora Inicio]]-detalhe_carro2[[#This Row],[Ultima Chegada]])</f>
        <v/>
      </c>
      <c r="K8" s="20"/>
      <c r="L8" s="20"/>
      <c r="M8" s="20"/>
      <c r="O8" s="21">
        <v>1</v>
      </c>
      <c r="P8" s="21" t="s">
        <v>24</v>
      </c>
      <c r="Q8" s="22">
        <f>AVERAGEIFS(detalhe_carro2[Tempo],detalhe_carro2[Numero Voltas],O8,detalhe_carro2[Nó],P8,detalhe_carro2[Chegada],1)/60</f>
        <v>0.58333333333333337</v>
      </c>
      <c r="R8"/>
      <c r="S8">
        <v>3</v>
      </c>
      <c r="T8" s="20">
        <v>8.81</v>
      </c>
    </row>
    <row r="9" spans="1:37" x14ac:dyDescent="0.25">
      <c r="B9">
        <v>1</v>
      </c>
      <c r="C9" s="20" t="s">
        <v>31</v>
      </c>
      <c r="D9">
        <v>19</v>
      </c>
      <c r="E9">
        <v>28</v>
      </c>
      <c r="F9" s="20" t="s">
        <v>50</v>
      </c>
      <c r="G9" s="20">
        <f t="shared" si="0"/>
        <v>0</v>
      </c>
      <c r="H9" s="20">
        <f t="shared" si="1"/>
        <v>1</v>
      </c>
      <c r="I9" s="20">
        <f>_xlfn.MAXIFS($E$6:E8,$C$6:C8,detalhe_carro2[[#This Row],[Nó]],$B$6:B8,detalhe_carro2[[#This Row],[Numero Voltas]],$G$6:G8,1)</f>
        <v>0</v>
      </c>
      <c r="J9" s="20" t="str">
        <f>IF(OR(detalhe_carro2[[#This Row],[Ultima Chegada]]=0,detalhe_carro2[[#This Row],[Chegada]]=0),"",detalhe_carro2[[#This Row],[Hora Inicio]]-detalhe_carro2[[#This Row],[Ultima Chegada]])</f>
        <v/>
      </c>
      <c r="K9" s="20"/>
      <c r="L9" s="20"/>
      <c r="M9" s="20"/>
      <c r="O9" s="21">
        <v>1</v>
      </c>
      <c r="P9" s="21" t="s">
        <v>26</v>
      </c>
      <c r="Q9" s="22">
        <f>AVERAGEIFS(detalhe_carro2[Tempo],detalhe_carro2[Numero Voltas],O9,detalhe_carro2[Nó],P9,detalhe_carro2[Chegada],1)/60</f>
        <v>1.45</v>
      </c>
      <c r="R9"/>
      <c r="S9">
        <v>4</v>
      </c>
      <c r="T9" s="20">
        <v>8.2899999999999991</v>
      </c>
    </row>
    <row r="10" spans="1:37" x14ac:dyDescent="0.25">
      <c r="B10">
        <v>1</v>
      </c>
      <c r="C10" s="20" t="s">
        <v>31</v>
      </c>
      <c r="D10">
        <v>28</v>
      </c>
      <c r="E10">
        <v>28</v>
      </c>
      <c r="F10" s="20" t="s">
        <v>51</v>
      </c>
      <c r="G10" s="20">
        <f t="shared" si="0"/>
        <v>1</v>
      </c>
      <c r="H10" s="20">
        <f t="shared" si="1"/>
        <v>0</v>
      </c>
      <c r="I10" s="20">
        <f>_xlfn.MAXIFS($E$6:E9,$C$6:C9,detalhe_carro2[[#This Row],[Nó]],$B$6:B9,detalhe_carro2[[#This Row],[Numero Voltas]],$G$6:G9,1)</f>
        <v>0</v>
      </c>
      <c r="J10" s="20" t="str">
        <f>IF(OR(detalhe_carro2[[#This Row],[Ultima Chegada]]=0,detalhe_carro2[[#This Row],[Chegada]]=0),"",detalhe_carro2[[#This Row],[Hora Inicio]]-detalhe_carro2[[#This Row],[Ultima Chegada]])</f>
        <v/>
      </c>
      <c r="K10" s="20"/>
      <c r="L10" s="20"/>
      <c r="M10" s="20"/>
      <c r="O10" s="21">
        <v>1</v>
      </c>
      <c r="P10" s="21" t="s">
        <v>27</v>
      </c>
      <c r="Q10" s="22">
        <f>AVERAGEIFS(detalhe_carro2[Tempo],detalhe_carro2[Numero Voltas],O10,detalhe_carro2[Nó],P10,detalhe_carro2[Chegada],1)/60</f>
        <v>1.85</v>
      </c>
      <c r="R10"/>
      <c r="S10"/>
      <c r="T10"/>
    </row>
    <row r="11" spans="1:37" x14ac:dyDescent="0.25">
      <c r="B11">
        <v>1</v>
      </c>
      <c r="C11" s="20" t="s">
        <v>29</v>
      </c>
      <c r="D11">
        <v>32</v>
      </c>
      <c r="E11">
        <v>60</v>
      </c>
      <c r="F11" s="20" t="s">
        <v>50</v>
      </c>
      <c r="G11" s="20">
        <f t="shared" si="0"/>
        <v>0</v>
      </c>
      <c r="H11" s="20">
        <f t="shared" si="1"/>
        <v>1</v>
      </c>
      <c r="I11" s="20">
        <f>_xlfn.MAXIFS($E$6:E10,$C$6:C10,detalhe_carro2[[#This Row],[Nó]],$B$6:B10,detalhe_carro2[[#This Row],[Numero Voltas]],$G$6:G10,1)</f>
        <v>0</v>
      </c>
      <c r="J11" s="20" t="str">
        <f>IF(OR(detalhe_carro2[[#This Row],[Ultima Chegada]]=0,detalhe_carro2[[#This Row],[Chegada]]=0),"",detalhe_carro2[[#This Row],[Hora Inicio]]-detalhe_carro2[[#This Row],[Ultima Chegada]])</f>
        <v/>
      </c>
      <c r="K11" s="20"/>
      <c r="L11" s="20"/>
      <c r="M11" s="20"/>
      <c r="O11" s="21">
        <v>1</v>
      </c>
      <c r="P11" s="21" t="s">
        <v>29</v>
      </c>
      <c r="Q11" s="22">
        <f>AVERAGEIFS(detalhe_carro2[Tempo],detalhe_carro2[Numero Voltas],O11,detalhe_carro2[Nó],P11,detalhe_carro2[Chegada],1)/60</f>
        <v>2.35</v>
      </c>
      <c r="R11"/>
      <c r="S11"/>
      <c r="T11"/>
    </row>
    <row r="12" spans="1:37" x14ac:dyDescent="0.25">
      <c r="B12">
        <v>1</v>
      </c>
      <c r="C12" s="20" t="s">
        <v>29</v>
      </c>
      <c r="D12">
        <v>60</v>
      </c>
      <c r="E12">
        <v>60</v>
      </c>
      <c r="F12" s="20" t="s">
        <v>51</v>
      </c>
      <c r="G12" s="20">
        <f t="shared" si="0"/>
        <v>1</v>
      </c>
      <c r="H12" s="20">
        <f t="shared" si="1"/>
        <v>0</v>
      </c>
      <c r="I12" s="20">
        <f>_xlfn.MAXIFS($E$6:E11,$C$6:C11,detalhe_carro2[[#This Row],[Nó]],$B$6:B11,detalhe_carro2[[#This Row],[Numero Voltas]],$G$6:G11,1)</f>
        <v>0</v>
      </c>
      <c r="J12" s="20" t="str">
        <f>IF(OR(detalhe_carro2[[#This Row],[Ultima Chegada]]=0,detalhe_carro2[[#This Row],[Chegada]]=0),"",detalhe_carro2[[#This Row],[Hora Inicio]]-detalhe_carro2[[#This Row],[Ultima Chegada]])</f>
        <v/>
      </c>
      <c r="K12" s="20"/>
      <c r="L12" s="20"/>
      <c r="M12" s="20"/>
      <c r="O12" s="21">
        <v>1</v>
      </c>
      <c r="P12" s="21" t="s">
        <v>31</v>
      </c>
      <c r="Q12" s="22">
        <f>AVERAGEIFS(detalhe_carro2[Tempo],detalhe_carro2[Numero Voltas],O12,detalhe_carro2[Nó],P12,detalhe_carro2[Chegada],1)/60</f>
        <v>3.5666666666666669</v>
      </c>
      <c r="R12"/>
      <c r="S12"/>
      <c r="T12"/>
    </row>
    <row r="13" spans="1:37" x14ac:dyDescent="0.25">
      <c r="B13">
        <v>1</v>
      </c>
      <c r="C13" s="20" t="s">
        <v>27</v>
      </c>
      <c r="D13">
        <v>62</v>
      </c>
      <c r="E13">
        <v>75</v>
      </c>
      <c r="F13" s="20" t="s">
        <v>50</v>
      </c>
      <c r="G13" s="20">
        <f t="shared" si="0"/>
        <v>0</v>
      </c>
      <c r="H13" s="20">
        <f t="shared" si="1"/>
        <v>1</v>
      </c>
      <c r="I13" s="20">
        <f>_xlfn.MAXIFS($E$6:E12,$C$6:C12,detalhe_carro2[[#This Row],[Nó]],$B$6:B12,detalhe_carro2[[#This Row],[Numero Voltas]],$G$6:G12,1)</f>
        <v>0</v>
      </c>
      <c r="J13" s="20" t="str">
        <f>IF(OR(detalhe_carro2[[#This Row],[Ultima Chegada]]=0,detalhe_carro2[[#This Row],[Chegada]]=0),"",detalhe_carro2[[#This Row],[Hora Inicio]]-detalhe_carro2[[#This Row],[Ultima Chegada]])</f>
        <v/>
      </c>
      <c r="K13" s="20"/>
      <c r="L13" s="20"/>
      <c r="M13" s="20"/>
      <c r="O13" s="21">
        <v>1</v>
      </c>
      <c r="P13" s="21" t="s">
        <v>33</v>
      </c>
      <c r="Q13" s="22">
        <f>AVERAGEIFS(detalhe_carro2[Tempo],detalhe_carro2[Numero Voltas],O13,detalhe_carro2[Nó],P13,detalhe_carro2[Chegada],1)/60</f>
        <v>4.8</v>
      </c>
      <c r="R13"/>
      <c r="S13"/>
      <c r="T13"/>
    </row>
    <row r="14" spans="1:37" x14ac:dyDescent="0.25">
      <c r="B14">
        <v>1</v>
      </c>
      <c r="C14" s="20" t="s">
        <v>27</v>
      </c>
      <c r="D14">
        <v>75</v>
      </c>
      <c r="E14">
        <v>75</v>
      </c>
      <c r="F14" s="20" t="s">
        <v>51</v>
      </c>
      <c r="G14" s="20">
        <f t="shared" si="0"/>
        <v>1</v>
      </c>
      <c r="H14" s="20">
        <f t="shared" si="1"/>
        <v>0</v>
      </c>
      <c r="I14" s="20">
        <f>_xlfn.MAXIFS($E$6:E13,$C$6:C13,detalhe_carro2[[#This Row],[Nó]],$B$6:B13,detalhe_carro2[[#This Row],[Numero Voltas]],$G$6:G13,1)</f>
        <v>0</v>
      </c>
      <c r="J14" s="20" t="str">
        <f>IF(OR(detalhe_carro2[[#This Row],[Ultima Chegada]]=0,detalhe_carro2[[#This Row],[Chegada]]=0),"",detalhe_carro2[[#This Row],[Hora Inicio]]-detalhe_carro2[[#This Row],[Ultima Chegada]])</f>
        <v/>
      </c>
      <c r="K14" s="20"/>
      <c r="L14" s="20"/>
      <c r="M14" s="20"/>
      <c r="O14" s="27">
        <v>2</v>
      </c>
      <c r="P14" s="27" t="s">
        <v>20</v>
      </c>
      <c r="Q14" s="28">
        <f>AVERAGEIFS(detalhe_carro2[Tempo],detalhe_carro2[Numero Voltas],O14,detalhe_carro2[Nó],P14,detalhe_carro2[Chegada],1)/60</f>
        <v>1.95</v>
      </c>
      <c r="R14"/>
      <c r="S14"/>
      <c r="T14"/>
    </row>
    <row r="15" spans="1:37" x14ac:dyDescent="0.25">
      <c r="B15">
        <v>1</v>
      </c>
      <c r="C15" s="20" t="s">
        <v>26</v>
      </c>
      <c r="D15">
        <v>77</v>
      </c>
      <c r="E15">
        <v>87</v>
      </c>
      <c r="F15" s="20" t="s">
        <v>50</v>
      </c>
      <c r="G15" s="20">
        <f t="shared" si="0"/>
        <v>0</v>
      </c>
      <c r="H15" s="20">
        <f t="shared" si="1"/>
        <v>1</v>
      </c>
      <c r="I15" s="20">
        <f>_xlfn.MAXIFS($E$6:E14,$C$6:C14,detalhe_carro2[[#This Row],[Nó]],$B$6:B14,detalhe_carro2[[#This Row],[Numero Voltas]],$G$6:G14,1)</f>
        <v>0</v>
      </c>
      <c r="J15" s="20" t="str">
        <f>IF(OR(detalhe_carro2[[#This Row],[Ultima Chegada]]=0,detalhe_carro2[[#This Row],[Chegada]]=0),"",detalhe_carro2[[#This Row],[Hora Inicio]]-detalhe_carro2[[#This Row],[Ultima Chegada]])</f>
        <v/>
      </c>
      <c r="K15" s="20"/>
      <c r="L15" s="20"/>
      <c r="M15" s="20"/>
      <c r="O15" s="23">
        <v>2</v>
      </c>
      <c r="P15" s="23" t="s">
        <v>22</v>
      </c>
      <c r="Q15" s="24">
        <f>AVERAGEIFS(detalhe_carro2[Tempo],detalhe_carro2[Numero Voltas],O15,detalhe_carro2[Nó],P15,detalhe_carro2[Chegada],1)/60</f>
        <v>0.75</v>
      </c>
      <c r="R15"/>
      <c r="S15"/>
      <c r="T15"/>
    </row>
    <row r="16" spans="1:37" x14ac:dyDescent="0.25">
      <c r="B16">
        <v>1</v>
      </c>
      <c r="C16" s="20" t="s">
        <v>26</v>
      </c>
      <c r="D16">
        <v>87</v>
      </c>
      <c r="E16">
        <v>87</v>
      </c>
      <c r="F16" s="20" t="s">
        <v>51</v>
      </c>
      <c r="G16" s="20">
        <f t="shared" si="0"/>
        <v>1</v>
      </c>
      <c r="H16" s="20">
        <f t="shared" si="1"/>
        <v>0</v>
      </c>
      <c r="I16" s="20">
        <f>_xlfn.MAXIFS($E$6:E15,$C$6:C15,detalhe_carro2[[#This Row],[Nó]],$B$6:B15,detalhe_carro2[[#This Row],[Numero Voltas]],$G$6:G15,1)</f>
        <v>0</v>
      </c>
      <c r="J16" s="20" t="str">
        <f>IF(OR(detalhe_carro2[[#This Row],[Ultima Chegada]]=0,detalhe_carro2[[#This Row],[Chegada]]=0),"",detalhe_carro2[[#This Row],[Hora Inicio]]-detalhe_carro2[[#This Row],[Ultima Chegada]])</f>
        <v/>
      </c>
      <c r="K16" s="20"/>
      <c r="L16" s="20"/>
      <c r="M16" s="20"/>
      <c r="O16" s="23">
        <v>2</v>
      </c>
      <c r="P16" s="23" t="s">
        <v>24</v>
      </c>
      <c r="Q16" s="24">
        <f>AVERAGEIFS(detalhe_carro2[Tempo],detalhe_carro2[Numero Voltas],O16,detalhe_carro2[Nó],P16,detalhe_carro2[Chegada],1)/60</f>
        <v>0.75</v>
      </c>
      <c r="R16"/>
      <c r="S16"/>
      <c r="T16"/>
    </row>
    <row r="17" spans="2:20" x14ac:dyDescent="0.25">
      <c r="B17">
        <v>1</v>
      </c>
      <c r="C17" s="20" t="s">
        <v>24</v>
      </c>
      <c r="D17">
        <v>103</v>
      </c>
      <c r="E17">
        <v>123</v>
      </c>
      <c r="F17" s="20" t="s">
        <v>54</v>
      </c>
      <c r="G17" s="20">
        <f t="shared" si="0"/>
        <v>0</v>
      </c>
      <c r="H17" s="20">
        <f t="shared" si="1"/>
        <v>1</v>
      </c>
      <c r="I17" s="20">
        <f>_xlfn.MAXIFS($E$6:E16,$C$6:C16,detalhe_carro2[[#This Row],[Nó]],$B$6:B16,detalhe_carro2[[#This Row],[Numero Voltas]],$G$6:G16,1)</f>
        <v>0</v>
      </c>
      <c r="J17" s="20" t="str">
        <f>IF(OR(detalhe_carro2[[#This Row],[Ultima Chegada]]=0,detalhe_carro2[[#This Row],[Chegada]]=0),"",detalhe_carro2[[#This Row],[Hora Inicio]]-detalhe_carro2[[#This Row],[Ultima Chegada]])</f>
        <v/>
      </c>
      <c r="K17" s="20"/>
      <c r="L17" s="20"/>
      <c r="M17" s="20"/>
      <c r="O17" s="23">
        <v>2</v>
      </c>
      <c r="P17" s="23" t="s">
        <v>26</v>
      </c>
      <c r="Q17" s="24">
        <f>AVERAGEIFS(detalhe_carro2[Tempo],detalhe_carro2[Numero Voltas],O17,detalhe_carro2[Nó],P17,detalhe_carro2[Chegada],1)/60</f>
        <v>0.98333333333333328</v>
      </c>
      <c r="R17"/>
      <c r="S17"/>
      <c r="T17"/>
    </row>
    <row r="18" spans="2:20" x14ac:dyDescent="0.25">
      <c r="B18">
        <v>1</v>
      </c>
      <c r="C18" s="20" t="s">
        <v>24</v>
      </c>
      <c r="D18">
        <v>109</v>
      </c>
      <c r="E18">
        <v>123</v>
      </c>
      <c r="F18" s="20" t="s">
        <v>50</v>
      </c>
      <c r="G18" s="20">
        <f t="shared" si="0"/>
        <v>0</v>
      </c>
      <c r="H18" s="20">
        <f t="shared" si="1"/>
        <v>0</v>
      </c>
      <c r="I18" s="20">
        <f>_xlfn.MAXIFS($E$6:E17,$C$6:C17,detalhe_carro2[[#This Row],[Nó]],$B$6:B17,detalhe_carro2[[#This Row],[Numero Voltas]],$G$6:G17,1)</f>
        <v>0</v>
      </c>
      <c r="J18" s="20" t="str">
        <f>IF(OR(detalhe_carro2[[#This Row],[Ultima Chegada]]=0,detalhe_carro2[[#This Row],[Chegada]]=0),"",detalhe_carro2[[#This Row],[Hora Inicio]]-detalhe_carro2[[#This Row],[Ultima Chegada]])</f>
        <v/>
      </c>
      <c r="K18" s="20"/>
      <c r="L18" s="20"/>
      <c r="M18" s="20"/>
      <c r="O18" s="23">
        <v>2</v>
      </c>
      <c r="P18" s="23" t="s">
        <v>27</v>
      </c>
      <c r="Q18" s="24">
        <f>AVERAGEIFS(detalhe_carro2[Tempo],detalhe_carro2[Numero Voltas],O18,detalhe_carro2[Nó],P18,detalhe_carro2[Chegada],1)/60</f>
        <v>1.0444444444444445</v>
      </c>
      <c r="R18"/>
      <c r="S18"/>
      <c r="T18"/>
    </row>
    <row r="19" spans="2:20" x14ac:dyDescent="0.25">
      <c r="B19">
        <v>1</v>
      </c>
      <c r="C19" s="20" t="s">
        <v>24</v>
      </c>
      <c r="D19">
        <v>123</v>
      </c>
      <c r="E19">
        <v>123</v>
      </c>
      <c r="F19" s="20" t="s">
        <v>51</v>
      </c>
      <c r="G19" s="20">
        <f t="shared" si="0"/>
        <v>1</v>
      </c>
      <c r="H19" s="20">
        <f t="shared" si="1"/>
        <v>0</v>
      </c>
      <c r="I19" s="20">
        <f>_xlfn.MAXIFS($E$6:E18,$C$6:C18,detalhe_carro2[[#This Row],[Nó]],$B$6:B18,detalhe_carro2[[#This Row],[Numero Voltas]],$G$6:G18,1)</f>
        <v>0</v>
      </c>
      <c r="J19" s="20" t="str">
        <f>IF(OR(detalhe_carro2[[#This Row],[Ultima Chegada]]=0,detalhe_carro2[[#This Row],[Chegada]]=0),"",detalhe_carro2[[#This Row],[Hora Inicio]]-detalhe_carro2[[#This Row],[Ultima Chegada]])</f>
        <v/>
      </c>
      <c r="K19" s="20"/>
      <c r="L19" s="20"/>
      <c r="M19" s="20"/>
      <c r="O19" s="23">
        <v>2</v>
      </c>
      <c r="P19" s="23" t="s">
        <v>29</v>
      </c>
      <c r="Q19" s="24">
        <f>AVERAGEIFS(detalhe_carro2[Tempo],detalhe_carro2[Numero Voltas],O19,detalhe_carro2[Nó],P19,detalhe_carro2[Chegada],1)/60</f>
        <v>1.0555555555555556</v>
      </c>
      <c r="R19"/>
      <c r="S19"/>
      <c r="T19"/>
    </row>
    <row r="20" spans="2:20" x14ac:dyDescent="0.25">
      <c r="B20">
        <v>1</v>
      </c>
      <c r="C20" s="20" t="s">
        <v>22</v>
      </c>
      <c r="D20">
        <v>125</v>
      </c>
      <c r="E20">
        <v>130</v>
      </c>
      <c r="F20" s="20" t="s">
        <v>50</v>
      </c>
      <c r="G20" s="20">
        <f t="shared" si="0"/>
        <v>0</v>
      </c>
      <c r="H20" s="20">
        <f t="shared" si="1"/>
        <v>1</v>
      </c>
      <c r="I20" s="20">
        <f>_xlfn.MAXIFS($E$6:E19,$C$6:C19,detalhe_carro2[[#This Row],[Nó]],$B$6:B19,detalhe_carro2[[#This Row],[Numero Voltas]],$G$6:G19,1)</f>
        <v>0</v>
      </c>
      <c r="J20" s="20" t="str">
        <f>IF(OR(detalhe_carro2[[#This Row],[Ultima Chegada]]=0,detalhe_carro2[[#This Row],[Chegada]]=0),"",detalhe_carro2[[#This Row],[Hora Inicio]]-detalhe_carro2[[#This Row],[Ultima Chegada]])</f>
        <v/>
      </c>
      <c r="K20" s="20"/>
      <c r="L20" s="20"/>
      <c r="M20" s="20"/>
      <c r="O20" s="23">
        <v>2</v>
      </c>
      <c r="P20" s="23" t="s">
        <v>31</v>
      </c>
      <c r="Q20" s="24">
        <f>AVERAGEIFS(detalhe_carro2[Tempo],detalhe_carro2[Numero Voltas],O20,detalhe_carro2[Nó],P20,detalhe_carro2[Chegada],1)/60</f>
        <v>1.3611111111111112</v>
      </c>
      <c r="R20"/>
      <c r="S20"/>
      <c r="T20"/>
    </row>
    <row r="21" spans="2:20" x14ac:dyDescent="0.25">
      <c r="B21">
        <v>1</v>
      </c>
      <c r="C21" s="20" t="s">
        <v>22</v>
      </c>
      <c r="D21">
        <v>130</v>
      </c>
      <c r="E21">
        <v>130</v>
      </c>
      <c r="F21" s="20" t="s">
        <v>51</v>
      </c>
      <c r="G21" s="20">
        <f t="shared" si="0"/>
        <v>1</v>
      </c>
      <c r="H21" s="20">
        <f t="shared" si="1"/>
        <v>0</v>
      </c>
      <c r="I21" s="20">
        <f>_xlfn.MAXIFS($E$6:E20,$C$6:C20,detalhe_carro2[[#This Row],[Nó]],$B$6:B20,detalhe_carro2[[#This Row],[Numero Voltas]],$G$6:G20,1)</f>
        <v>0</v>
      </c>
      <c r="J21" s="20" t="str">
        <f>IF(OR(detalhe_carro2[[#This Row],[Ultima Chegada]]=0,detalhe_carro2[[#This Row],[Chegada]]=0),"",detalhe_carro2[[#This Row],[Hora Inicio]]-detalhe_carro2[[#This Row],[Ultima Chegada]])</f>
        <v/>
      </c>
      <c r="K21" s="20"/>
      <c r="L21" s="20"/>
      <c r="M21" s="20"/>
      <c r="O21" s="25">
        <v>2</v>
      </c>
      <c r="P21" s="25" t="s">
        <v>33</v>
      </c>
      <c r="Q21" s="26">
        <f>AVERAGEIFS(detalhe_carro2[Tempo],detalhe_carro2[Numero Voltas],O21,detalhe_carro2[Nó],P21,detalhe_carro2[Chegada],1)/60</f>
        <v>2.2416666666666667</v>
      </c>
      <c r="R21"/>
      <c r="S21"/>
      <c r="T21"/>
    </row>
    <row r="22" spans="2:20" x14ac:dyDescent="0.25">
      <c r="B22">
        <v>1</v>
      </c>
      <c r="C22" s="20" t="s">
        <v>20</v>
      </c>
      <c r="D22">
        <v>132</v>
      </c>
      <c r="E22">
        <v>132</v>
      </c>
      <c r="F22" s="20" t="s">
        <v>51</v>
      </c>
      <c r="G22" s="20">
        <f t="shared" si="0"/>
        <v>0</v>
      </c>
      <c r="H22" s="20">
        <f t="shared" si="1"/>
        <v>1</v>
      </c>
      <c r="I22" s="20">
        <f>_xlfn.MAXIFS($E$6:E21,$C$6:C21,detalhe_carro2[[#This Row],[Nó]],$B$6:B21,detalhe_carro2[[#This Row],[Numero Voltas]],$G$6:G21,1)</f>
        <v>0</v>
      </c>
      <c r="J22" s="20" t="str">
        <f>IF(OR(detalhe_carro2[[#This Row],[Ultima Chegada]]=0,detalhe_carro2[[#This Row],[Chegada]]=0),"",detalhe_carro2[[#This Row],[Hora Inicio]]-detalhe_carro2[[#This Row],[Ultima Chegada]])</f>
        <v/>
      </c>
      <c r="K22" s="20"/>
      <c r="L22" s="20"/>
      <c r="M22" s="20"/>
      <c r="O22" s="21">
        <v>3</v>
      </c>
      <c r="P22" s="21" t="s">
        <v>20</v>
      </c>
      <c r="Q22" s="22">
        <f>AVERAGEIFS(detalhe_carro2[Tempo],detalhe_carro2[Numero Voltas],O22,detalhe_carro2[Nó],P22,detalhe_carro2[Chegada],1)/60</f>
        <v>1.7916666666666667</v>
      </c>
      <c r="R22"/>
      <c r="S22"/>
      <c r="T22"/>
    </row>
    <row r="23" spans="2:20" x14ac:dyDescent="0.25">
      <c r="B23">
        <v>1</v>
      </c>
      <c r="C23" s="20" t="s">
        <v>20</v>
      </c>
      <c r="D23">
        <v>134</v>
      </c>
      <c r="E23">
        <v>149</v>
      </c>
      <c r="F23" s="20" t="s">
        <v>50</v>
      </c>
      <c r="G23" s="20">
        <f t="shared" si="0"/>
        <v>0</v>
      </c>
      <c r="H23" s="20">
        <f t="shared" si="1"/>
        <v>0</v>
      </c>
      <c r="I23" s="20">
        <f>_xlfn.MAXIFS($E$6:E22,$C$6:C22,detalhe_carro2[[#This Row],[Nó]],$B$6:B22,detalhe_carro2[[#This Row],[Numero Voltas]],$G$6:G22,1)</f>
        <v>0</v>
      </c>
      <c r="J23" s="20" t="str">
        <f>IF(OR(detalhe_carro2[[#This Row],[Ultima Chegada]]=0,detalhe_carro2[[#This Row],[Chegada]]=0),"",detalhe_carro2[[#This Row],[Hora Inicio]]-detalhe_carro2[[#This Row],[Ultima Chegada]])</f>
        <v/>
      </c>
      <c r="K23" s="20"/>
      <c r="L23" s="20"/>
      <c r="M23" s="20"/>
      <c r="O23" s="21">
        <v>3</v>
      </c>
      <c r="P23" s="21" t="s">
        <v>22</v>
      </c>
      <c r="Q23" s="22">
        <f>AVERAGEIFS(detalhe_carro2[Tempo],detalhe_carro2[Numero Voltas],O23,detalhe_carro2[Nó],P23,detalhe_carro2[Chegada],1)/60</f>
        <v>0.78333333333333333</v>
      </c>
      <c r="R23"/>
      <c r="S23"/>
      <c r="T23"/>
    </row>
    <row r="24" spans="2:20" x14ac:dyDescent="0.25">
      <c r="B24">
        <v>1</v>
      </c>
      <c r="C24" s="20" t="s">
        <v>20</v>
      </c>
      <c r="D24">
        <v>149</v>
      </c>
      <c r="E24">
        <v>149</v>
      </c>
      <c r="F24" s="20" t="s">
        <v>51</v>
      </c>
      <c r="G24" s="20">
        <f t="shared" si="0"/>
        <v>1</v>
      </c>
      <c r="H24" s="20">
        <f t="shared" si="1"/>
        <v>0</v>
      </c>
      <c r="I24" s="20">
        <f>_xlfn.MAXIFS($E$6:E23,$C$6:C23,detalhe_carro2[[#This Row],[Nó]],$B$6:B23,detalhe_carro2[[#This Row],[Numero Voltas]],$G$6:G23,1)</f>
        <v>0</v>
      </c>
      <c r="J24" s="20" t="str">
        <f>IF(OR(detalhe_carro2[[#This Row],[Ultima Chegada]]=0,detalhe_carro2[[#This Row],[Chegada]]=0),"",detalhe_carro2[[#This Row],[Hora Inicio]]-detalhe_carro2[[#This Row],[Ultima Chegada]])</f>
        <v/>
      </c>
      <c r="K24" s="20"/>
      <c r="L24" s="20"/>
      <c r="M24" s="20"/>
      <c r="O24" s="21">
        <v>3</v>
      </c>
      <c r="P24" s="21" t="s">
        <v>24</v>
      </c>
      <c r="Q24" s="22">
        <f>AVERAGEIFS(detalhe_carro2[Tempo],detalhe_carro2[Numero Voltas],O24,detalhe_carro2[Nó],P24,detalhe_carro2[Chegada],1)/60</f>
        <v>0.78333333333333333</v>
      </c>
      <c r="R24"/>
      <c r="S24"/>
      <c r="T24"/>
    </row>
    <row r="25" spans="2:20" x14ac:dyDescent="0.25">
      <c r="B25">
        <v>1</v>
      </c>
      <c r="C25" s="20" t="s">
        <v>22</v>
      </c>
      <c r="D25">
        <v>151</v>
      </c>
      <c r="E25">
        <v>156</v>
      </c>
      <c r="F25" s="20" t="s">
        <v>50</v>
      </c>
      <c r="G25" s="20">
        <f t="shared" si="0"/>
        <v>0</v>
      </c>
      <c r="H25" s="20">
        <f t="shared" si="1"/>
        <v>1</v>
      </c>
      <c r="I25" s="20">
        <f>_xlfn.MAXIFS($E$6:E24,$C$6:C24,detalhe_carro2[[#This Row],[Nó]],$B$6:B24,detalhe_carro2[[#This Row],[Numero Voltas]],$G$6:G24,1)</f>
        <v>130</v>
      </c>
      <c r="J25" s="20">
        <f>IF(OR(detalhe_carro2[[#This Row],[Ultima Chegada]]=0,detalhe_carro2[[#This Row],[Chegada]]=0),"",detalhe_carro2[[#This Row],[Hora Inicio]]-detalhe_carro2[[#This Row],[Ultima Chegada]])</f>
        <v>21</v>
      </c>
      <c r="K25" s="20"/>
      <c r="L25" s="20"/>
      <c r="M25" s="20"/>
      <c r="O25" s="21">
        <v>3</v>
      </c>
      <c r="P25" s="21" t="s">
        <v>26</v>
      </c>
      <c r="Q25" s="22">
        <f>AVERAGEIFS(detalhe_carro2[Tempo],detalhe_carro2[Numero Voltas],O25,detalhe_carro2[Nó],P25,detalhe_carro2[Chegada],1)/60</f>
        <v>0.72333333333333327</v>
      </c>
      <c r="R25"/>
      <c r="S25"/>
      <c r="T25"/>
    </row>
    <row r="26" spans="2:20" x14ac:dyDescent="0.25">
      <c r="B26">
        <v>1</v>
      </c>
      <c r="C26" s="20" t="s">
        <v>22</v>
      </c>
      <c r="D26">
        <v>156</v>
      </c>
      <c r="E26">
        <v>156</v>
      </c>
      <c r="F26" s="20" t="s">
        <v>51</v>
      </c>
      <c r="G26" s="20">
        <f t="shared" si="0"/>
        <v>1</v>
      </c>
      <c r="H26" s="20">
        <f t="shared" si="1"/>
        <v>0</v>
      </c>
      <c r="I26" s="20">
        <f>_xlfn.MAXIFS($E$6:E25,$C$6:C25,detalhe_carro2[[#This Row],[Nó]],$B$6:B25,detalhe_carro2[[#This Row],[Numero Voltas]],$G$6:G25,1)</f>
        <v>130</v>
      </c>
      <c r="J26" s="20" t="str">
        <f>IF(OR(detalhe_carro2[[#This Row],[Ultima Chegada]]=0,detalhe_carro2[[#This Row],[Chegada]]=0),"",detalhe_carro2[[#This Row],[Hora Inicio]]-detalhe_carro2[[#This Row],[Ultima Chegada]])</f>
        <v/>
      </c>
      <c r="K26" s="20"/>
      <c r="L26" s="20"/>
      <c r="M26" s="20"/>
      <c r="O26" s="21">
        <v>3</v>
      </c>
      <c r="P26" s="21" t="s">
        <v>27</v>
      </c>
      <c r="Q26" s="22">
        <f>AVERAGEIFS(detalhe_carro2[Tempo],detalhe_carro2[Numero Voltas],O26,detalhe_carro2[Nó],P26,detalhe_carro2[Chegada],1)/60</f>
        <v>0.96000000000000008</v>
      </c>
      <c r="R26"/>
      <c r="S26"/>
      <c r="T26"/>
    </row>
    <row r="27" spans="2:20" x14ac:dyDescent="0.25">
      <c r="B27">
        <v>1</v>
      </c>
      <c r="C27" s="20" t="s">
        <v>24</v>
      </c>
      <c r="D27">
        <v>158</v>
      </c>
      <c r="E27">
        <v>172</v>
      </c>
      <c r="F27" s="20" t="s">
        <v>50</v>
      </c>
      <c r="G27" s="20">
        <f t="shared" si="0"/>
        <v>0</v>
      </c>
      <c r="H27" s="20">
        <f t="shared" si="1"/>
        <v>1</v>
      </c>
      <c r="I27" s="20">
        <f>_xlfn.MAXIFS($E$6:E26,$C$6:C26,detalhe_carro2[[#This Row],[Nó]],$B$6:B26,detalhe_carro2[[#This Row],[Numero Voltas]],$G$6:G26,1)</f>
        <v>123</v>
      </c>
      <c r="J27" s="20">
        <f>IF(OR(detalhe_carro2[[#This Row],[Ultima Chegada]]=0,detalhe_carro2[[#This Row],[Chegada]]=0),"",detalhe_carro2[[#This Row],[Hora Inicio]]-detalhe_carro2[[#This Row],[Ultima Chegada]])</f>
        <v>35</v>
      </c>
      <c r="K27" s="20"/>
      <c r="L27" s="20"/>
      <c r="M27" s="20"/>
      <c r="O27" s="21">
        <v>3</v>
      </c>
      <c r="P27" s="21" t="s">
        <v>29</v>
      </c>
      <c r="Q27" s="22">
        <f>AVERAGEIFS(detalhe_carro2[Tempo],detalhe_carro2[Numero Voltas],O27,detalhe_carro2[Nó],P27,detalhe_carro2[Chegada],1)/60</f>
        <v>0.96666666666666667</v>
      </c>
      <c r="R27"/>
      <c r="S27"/>
      <c r="T27"/>
    </row>
    <row r="28" spans="2:20" x14ac:dyDescent="0.25">
      <c r="B28">
        <v>1</v>
      </c>
      <c r="C28" s="20" t="s">
        <v>24</v>
      </c>
      <c r="D28">
        <v>172</v>
      </c>
      <c r="E28">
        <v>172</v>
      </c>
      <c r="F28" s="20" t="s">
        <v>51</v>
      </c>
      <c r="G28" s="20">
        <f t="shared" si="0"/>
        <v>1</v>
      </c>
      <c r="H28" s="20">
        <f t="shared" si="1"/>
        <v>0</v>
      </c>
      <c r="I28" s="20">
        <f>_xlfn.MAXIFS($E$6:E27,$C$6:C27,detalhe_carro2[[#This Row],[Nó]],$B$6:B27,detalhe_carro2[[#This Row],[Numero Voltas]],$G$6:G27,1)</f>
        <v>123</v>
      </c>
      <c r="J28" s="20" t="str">
        <f>IF(OR(detalhe_carro2[[#This Row],[Ultima Chegada]]=0,detalhe_carro2[[#This Row],[Chegada]]=0),"",detalhe_carro2[[#This Row],[Hora Inicio]]-detalhe_carro2[[#This Row],[Ultima Chegada]])</f>
        <v/>
      </c>
      <c r="K28" s="20"/>
      <c r="L28" s="20"/>
      <c r="M28" s="20"/>
      <c r="O28" s="21">
        <v>3</v>
      </c>
      <c r="P28" s="21" t="s">
        <v>31</v>
      </c>
      <c r="Q28" s="22">
        <f>AVERAGEIFS(detalhe_carro2[Tempo],detalhe_carro2[Numero Voltas],O28,detalhe_carro2[Nó],P28,detalhe_carro2[Chegada],1)/60</f>
        <v>1.1499999999999999</v>
      </c>
      <c r="R28"/>
      <c r="S28"/>
      <c r="T28"/>
    </row>
    <row r="29" spans="2:20" x14ac:dyDescent="0.25">
      <c r="B29">
        <v>1</v>
      </c>
      <c r="C29" s="20" t="s">
        <v>26</v>
      </c>
      <c r="D29">
        <v>174</v>
      </c>
      <c r="E29">
        <v>184</v>
      </c>
      <c r="F29" s="20" t="s">
        <v>50</v>
      </c>
      <c r="G29" s="20">
        <f t="shared" si="0"/>
        <v>0</v>
      </c>
      <c r="H29" s="20">
        <f t="shared" si="1"/>
        <v>1</v>
      </c>
      <c r="I29" s="20">
        <f>_xlfn.MAXIFS($E$6:E28,$C$6:C28,detalhe_carro2[[#This Row],[Nó]],$B$6:B28,detalhe_carro2[[#This Row],[Numero Voltas]],$G$6:G28,1)</f>
        <v>87</v>
      </c>
      <c r="J29" s="20">
        <f>IF(OR(detalhe_carro2[[#This Row],[Ultima Chegada]]=0,detalhe_carro2[[#This Row],[Chegada]]=0),"",detalhe_carro2[[#This Row],[Hora Inicio]]-detalhe_carro2[[#This Row],[Ultima Chegada]])</f>
        <v>87</v>
      </c>
      <c r="K29" s="20"/>
      <c r="L29" s="20"/>
      <c r="M29" s="20"/>
      <c r="O29" s="21">
        <v>3</v>
      </c>
      <c r="P29" s="21" t="s">
        <v>33</v>
      </c>
      <c r="Q29" s="22">
        <f>AVERAGEIFS(detalhe_carro2[Tempo],detalhe_carro2[Numero Voltas],O29,detalhe_carro2[Nó],P29,detalhe_carro2[Chegada],1)/60</f>
        <v>2.0388888888888888</v>
      </c>
      <c r="R29"/>
      <c r="S29"/>
      <c r="T29"/>
    </row>
    <row r="30" spans="2:20" x14ac:dyDescent="0.25">
      <c r="B30">
        <v>1</v>
      </c>
      <c r="C30" s="20" t="s">
        <v>26</v>
      </c>
      <c r="D30">
        <v>184</v>
      </c>
      <c r="E30">
        <v>184</v>
      </c>
      <c r="F30" s="20" t="s">
        <v>51</v>
      </c>
      <c r="G30" s="20">
        <f t="shared" si="0"/>
        <v>1</v>
      </c>
      <c r="H30" s="20">
        <f t="shared" si="1"/>
        <v>0</v>
      </c>
      <c r="I30" s="20">
        <f>_xlfn.MAXIFS($E$6:E29,$C$6:C29,detalhe_carro2[[#This Row],[Nó]],$B$6:B29,detalhe_carro2[[#This Row],[Numero Voltas]],$G$6:G29,1)</f>
        <v>87</v>
      </c>
      <c r="J30" s="20" t="str">
        <f>IF(OR(detalhe_carro2[[#This Row],[Ultima Chegada]]=0,detalhe_carro2[[#This Row],[Chegada]]=0),"",detalhe_carro2[[#This Row],[Hora Inicio]]-detalhe_carro2[[#This Row],[Ultima Chegada]])</f>
        <v/>
      </c>
      <c r="K30" s="20"/>
      <c r="L30" s="20"/>
      <c r="M30" s="20"/>
      <c r="O30" s="27">
        <v>4</v>
      </c>
      <c r="P30" s="27" t="s">
        <v>20</v>
      </c>
      <c r="Q30" s="28">
        <f>AVERAGEIFS(detalhe_carro2[Tempo],detalhe_carro2[Numero Voltas],O30,detalhe_carro2[Nó],P30,detalhe_carro2[Chegada],1)/60</f>
        <v>1.4055555555555554</v>
      </c>
      <c r="R30"/>
      <c r="S30"/>
      <c r="T30"/>
    </row>
    <row r="31" spans="2:20" x14ac:dyDescent="0.25">
      <c r="B31">
        <v>1</v>
      </c>
      <c r="C31" s="20" t="s">
        <v>27</v>
      </c>
      <c r="D31">
        <v>186</v>
      </c>
      <c r="E31">
        <v>199</v>
      </c>
      <c r="F31" s="20" t="s">
        <v>50</v>
      </c>
      <c r="G31" s="20">
        <f t="shared" si="0"/>
        <v>0</v>
      </c>
      <c r="H31" s="20">
        <f t="shared" si="1"/>
        <v>1</v>
      </c>
      <c r="I31" s="20">
        <f>_xlfn.MAXIFS($E$6:E30,$C$6:C30,detalhe_carro2[[#This Row],[Nó]],$B$6:B30,detalhe_carro2[[#This Row],[Numero Voltas]],$G$6:G30,1)</f>
        <v>75</v>
      </c>
      <c r="J31" s="20">
        <f>IF(OR(detalhe_carro2[[#This Row],[Ultima Chegada]]=0,detalhe_carro2[[#This Row],[Chegada]]=0),"",detalhe_carro2[[#This Row],[Hora Inicio]]-detalhe_carro2[[#This Row],[Ultima Chegada]])</f>
        <v>111</v>
      </c>
      <c r="K31" s="20"/>
      <c r="L31" s="20"/>
      <c r="M31" s="20"/>
      <c r="O31" s="23">
        <v>4</v>
      </c>
      <c r="P31" s="23" t="s">
        <v>22</v>
      </c>
      <c r="Q31" s="24">
        <f>AVERAGEIFS(detalhe_carro2[Tempo],detalhe_carro2[Numero Voltas],O31,detalhe_carro2[Nó],P31,detalhe_carro2[Chegada],1)/60</f>
        <v>0.65476190476190477</v>
      </c>
      <c r="R31"/>
      <c r="S31"/>
      <c r="T31"/>
    </row>
    <row r="32" spans="2:20" x14ac:dyDescent="0.25">
      <c r="B32">
        <v>1</v>
      </c>
      <c r="C32" s="20" t="s">
        <v>27</v>
      </c>
      <c r="D32">
        <v>199</v>
      </c>
      <c r="E32">
        <v>199</v>
      </c>
      <c r="F32" s="20" t="s">
        <v>51</v>
      </c>
      <c r="G32" s="20">
        <f t="shared" si="0"/>
        <v>1</v>
      </c>
      <c r="H32" s="20">
        <f t="shared" si="1"/>
        <v>0</v>
      </c>
      <c r="I32" s="20">
        <f>_xlfn.MAXIFS($E$6:E31,$C$6:C31,detalhe_carro2[[#This Row],[Nó]],$B$6:B31,detalhe_carro2[[#This Row],[Numero Voltas]],$G$6:G31,1)</f>
        <v>75</v>
      </c>
      <c r="J32" s="20" t="str">
        <f>IF(OR(detalhe_carro2[[#This Row],[Ultima Chegada]]=0,detalhe_carro2[[#This Row],[Chegada]]=0),"",detalhe_carro2[[#This Row],[Hora Inicio]]-detalhe_carro2[[#This Row],[Ultima Chegada]])</f>
        <v/>
      </c>
      <c r="K32" s="20"/>
      <c r="L32" s="20"/>
      <c r="M32" s="20"/>
      <c r="O32" s="23">
        <v>4</v>
      </c>
      <c r="P32" s="23" t="s">
        <v>24</v>
      </c>
      <c r="Q32" s="24">
        <f>AVERAGEIFS(detalhe_carro2[Tempo],detalhe_carro2[Numero Voltas],O32,detalhe_carro2[Nó],P32,detalhe_carro2[Chegada],1)/60</f>
        <v>0.65476190476190477</v>
      </c>
      <c r="R32"/>
      <c r="S32"/>
      <c r="T32"/>
    </row>
    <row r="33" spans="2:20" x14ac:dyDescent="0.25">
      <c r="B33">
        <v>1</v>
      </c>
      <c r="C33" s="20" t="s">
        <v>29</v>
      </c>
      <c r="D33">
        <v>201</v>
      </c>
      <c r="E33">
        <v>229</v>
      </c>
      <c r="F33" s="20" t="s">
        <v>50</v>
      </c>
      <c r="G33" s="20">
        <f t="shared" si="0"/>
        <v>0</v>
      </c>
      <c r="H33" s="20">
        <f t="shared" si="1"/>
        <v>1</v>
      </c>
      <c r="I33" s="20">
        <f>_xlfn.MAXIFS($E$6:E32,$C$6:C32,detalhe_carro2[[#This Row],[Nó]],$B$6:B32,detalhe_carro2[[#This Row],[Numero Voltas]],$G$6:G32,1)</f>
        <v>60</v>
      </c>
      <c r="J33" s="20">
        <f>IF(OR(detalhe_carro2[[#This Row],[Ultima Chegada]]=0,detalhe_carro2[[#This Row],[Chegada]]=0),"",detalhe_carro2[[#This Row],[Hora Inicio]]-detalhe_carro2[[#This Row],[Ultima Chegada]])</f>
        <v>141</v>
      </c>
      <c r="K33" s="20"/>
      <c r="L33" s="20"/>
      <c r="M33" s="20"/>
      <c r="O33" s="23">
        <v>4</v>
      </c>
      <c r="P33" s="23" t="s">
        <v>26</v>
      </c>
      <c r="Q33" s="24">
        <f>AVERAGEIFS(detalhe_carro2[Tempo],detalhe_carro2[Numero Voltas],O33,detalhe_carro2[Nó],P33,detalhe_carro2[Chegada],1)/60</f>
        <v>0.61190476190476195</v>
      </c>
      <c r="R33"/>
      <c r="S33"/>
      <c r="T33"/>
    </row>
    <row r="34" spans="2:20" x14ac:dyDescent="0.25">
      <c r="B34">
        <v>1</v>
      </c>
      <c r="C34" s="20" t="s">
        <v>29</v>
      </c>
      <c r="D34">
        <v>229</v>
      </c>
      <c r="E34">
        <v>229</v>
      </c>
      <c r="F34" s="20" t="s">
        <v>51</v>
      </c>
      <c r="G34" s="20">
        <f t="shared" si="0"/>
        <v>1</v>
      </c>
      <c r="H34" s="20">
        <f t="shared" si="1"/>
        <v>0</v>
      </c>
      <c r="I34" s="20">
        <f>_xlfn.MAXIFS($E$6:E33,$C$6:C33,detalhe_carro2[[#This Row],[Nó]],$B$6:B33,detalhe_carro2[[#This Row],[Numero Voltas]],$G$6:G33,1)</f>
        <v>60</v>
      </c>
      <c r="J34" s="20" t="str">
        <f>IF(OR(detalhe_carro2[[#This Row],[Ultima Chegada]]=0,detalhe_carro2[[#This Row],[Chegada]]=0),"",detalhe_carro2[[#This Row],[Hora Inicio]]-detalhe_carro2[[#This Row],[Ultima Chegada]])</f>
        <v/>
      </c>
      <c r="K34" s="20"/>
      <c r="L34" s="20"/>
      <c r="M34" s="20"/>
      <c r="O34" s="23">
        <v>4</v>
      </c>
      <c r="P34" s="23" t="s">
        <v>27</v>
      </c>
      <c r="Q34" s="24">
        <f>AVERAGEIFS(detalhe_carro2[Tempo],detalhe_carro2[Numero Voltas],O34,detalhe_carro2[Nó],P34,detalhe_carro2[Chegada],1)/60</f>
        <v>0.78095238095238095</v>
      </c>
      <c r="R34"/>
      <c r="S34"/>
      <c r="T34"/>
    </row>
    <row r="35" spans="2:20" x14ac:dyDescent="0.25">
      <c r="B35">
        <v>1</v>
      </c>
      <c r="C35" s="20" t="s">
        <v>31</v>
      </c>
      <c r="D35">
        <v>242</v>
      </c>
      <c r="E35">
        <v>270</v>
      </c>
      <c r="F35" s="20" t="s">
        <v>52</v>
      </c>
      <c r="G35" s="20">
        <f t="shared" si="0"/>
        <v>0</v>
      </c>
      <c r="H35" s="20">
        <f t="shared" si="1"/>
        <v>1</v>
      </c>
      <c r="I35" s="20">
        <f>_xlfn.MAXIFS($E$6:E34,$C$6:C34,detalhe_carro2[[#This Row],[Nó]],$B$6:B34,detalhe_carro2[[#This Row],[Numero Voltas]],$G$6:G34,1)</f>
        <v>28</v>
      </c>
      <c r="J35" s="20">
        <f>IF(OR(detalhe_carro2[[#This Row],[Ultima Chegada]]=0,detalhe_carro2[[#This Row],[Chegada]]=0),"",detalhe_carro2[[#This Row],[Hora Inicio]]-detalhe_carro2[[#This Row],[Ultima Chegada]])</f>
        <v>214</v>
      </c>
      <c r="K35" s="20"/>
      <c r="L35" s="20"/>
      <c r="M35" s="20"/>
      <c r="O35" s="23">
        <v>4</v>
      </c>
      <c r="P35" s="23" t="s">
        <v>29</v>
      </c>
      <c r="Q35" s="24">
        <f>AVERAGEIFS(detalhe_carro2[Tempo],detalhe_carro2[Numero Voltas],O35,detalhe_carro2[Nó],P35,detalhe_carro2[Chegada],1)/60</f>
        <v>0.78571428571428581</v>
      </c>
      <c r="R35"/>
      <c r="S35"/>
      <c r="T35"/>
    </row>
    <row r="36" spans="2:20" x14ac:dyDescent="0.25">
      <c r="B36">
        <v>1</v>
      </c>
      <c r="C36" s="20" t="s">
        <v>31</v>
      </c>
      <c r="D36">
        <v>261</v>
      </c>
      <c r="E36">
        <v>270</v>
      </c>
      <c r="F36" s="20" t="s">
        <v>50</v>
      </c>
      <c r="G36" s="20">
        <f t="shared" si="0"/>
        <v>0</v>
      </c>
      <c r="H36" s="20">
        <f t="shared" si="1"/>
        <v>0</v>
      </c>
      <c r="I36" s="20">
        <f>_xlfn.MAXIFS($E$6:E35,$C$6:C35,detalhe_carro2[[#This Row],[Nó]],$B$6:B35,detalhe_carro2[[#This Row],[Numero Voltas]],$G$6:G35,1)</f>
        <v>28</v>
      </c>
      <c r="J36" s="20" t="str">
        <f>IF(OR(detalhe_carro2[[#This Row],[Ultima Chegada]]=0,detalhe_carro2[[#This Row],[Chegada]]=0),"",detalhe_carro2[[#This Row],[Hora Inicio]]-detalhe_carro2[[#This Row],[Ultima Chegada]])</f>
        <v/>
      </c>
      <c r="K36" s="20"/>
      <c r="L36" s="20"/>
      <c r="M36" s="20"/>
      <c r="O36" s="23">
        <v>4</v>
      </c>
      <c r="P36" s="23" t="s">
        <v>31</v>
      </c>
      <c r="Q36" s="24">
        <f>AVERAGEIFS(detalhe_carro2[Tempo],detalhe_carro2[Numero Voltas],O36,detalhe_carro2[Nó],P36,detalhe_carro2[Chegada],1)/60</f>
        <v>0.91666666666666663</v>
      </c>
      <c r="R36"/>
      <c r="S36"/>
      <c r="T36"/>
    </row>
    <row r="37" spans="2:20" x14ac:dyDescent="0.25">
      <c r="B37">
        <v>1</v>
      </c>
      <c r="C37" s="20" t="s">
        <v>31</v>
      </c>
      <c r="D37">
        <v>270</v>
      </c>
      <c r="E37">
        <v>299</v>
      </c>
      <c r="F37" s="20" t="s">
        <v>52</v>
      </c>
      <c r="G37" s="20">
        <f t="shared" si="0"/>
        <v>0</v>
      </c>
      <c r="H37" s="20">
        <f t="shared" si="1"/>
        <v>0</v>
      </c>
      <c r="I37" s="20">
        <f>_xlfn.MAXIFS($E$6:E36,$C$6:C36,detalhe_carro2[[#This Row],[Nó]],$B$6:B36,detalhe_carro2[[#This Row],[Numero Voltas]],$G$6:G36,1)</f>
        <v>28</v>
      </c>
      <c r="J37" s="20" t="str">
        <f>IF(OR(detalhe_carro2[[#This Row],[Ultima Chegada]]=0,detalhe_carro2[[#This Row],[Chegada]]=0),"",detalhe_carro2[[#This Row],[Hora Inicio]]-detalhe_carro2[[#This Row],[Ultima Chegada]])</f>
        <v/>
      </c>
      <c r="K37" s="20"/>
      <c r="L37" s="20"/>
      <c r="M37" s="20"/>
      <c r="O37" s="25">
        <v>4</v>
      </c>
      <c r="P37" s="25" t="s">
        <v>33</v>
      </c>
      <c r="Q37" s="26">
        <f>AVERAGEIFS(detalhe_carro2[Tempo],detalhe_carro2[Numero Voltas],O37,detalhe_carro2[Nó],P37,detalhe_carro2[Chegada],1)/60</f>
        <v>1.6875</v>
      </c>
      <c r="R37"/>
      <c r="S37"/>
      <c r="T37"/>
    </row>
    <row r="38" spans="2:20" x14ac:dyDescent="0.25">
      <c r="B38">
        <v>1</v>
      </c>
      <c r="C38" s="20" t="s">
        <v>31</v>
      </c>
      <c r="D38">
        <v>299</v>
      </c>
      <c r="E38">
        <v>299</v>
      </c>
      <c r="F38" s="20" t="s">
        <v>51</v>
      </c>
      <c r="G38" s="20">
        <f t="shared" si="0"/>
        <v>1</v>
      </c>
      <c r="H38" s="20">
        <f t="shared" si="1"/>
        <v>0</v>
      </c>
      <c r="I38" s="20">
        <f>_xlfn.MAXIFS($E$6:E37,$C$6:C37,detalhe_carro2[[#This Row],[Nó]],$B$6:B37,detalhe_carro2[[#This Row],[Numero Voltas]],$G$6:G37,1)</f>
        <v>28</v>
      </c>
      <c r="J38" s="20" t="str">
        <f>IF(OR(detalhe_carro2[[#This Row],[Ultima Chegada]]=0,detalhe_carro2[[#This Row],[Chegada]]=0),"",detalhe_carro2[[#This Row],[Hora Inicio]]-detalhe_carro2[[#This Row],[Ultima Chegada]])</f>
        <v/>
      </c>
      <c r="K38" s="20"/>
      <c r="L38" s="20"/>
      <c r="M38" s="20"/>
      <c r="Q38" s="18"/>
      <c r="R38"/>
      <c r="S38"/>
      <c r="T38"/>
    </row>
    <row r="39" spans="2:20" x14ac:dyDescent="0.25">
      <c r="B39">
        <v>1</v>
      </c>
      <c r="C39" s="20" t="s">
        <v>33</v>
      </c>
      <c r="D39">
        <v>303</v>
      </c>
      <c r="E39">
        <v>331</v>
      </c>
      <c r="F39" s="20" t="s">
        <v>52</v>
      </c>
      <c r="G39" s="20">
        <f t="shared" si="0"/>
        <v>0</v>
      </c>
      <c r="H39" s="20">
        <f t="shared" si="1"/>
        <v>1</v>
      </c>
      <c r="I39" s="20">
        <f>_xlfn.MAXIFS($E$6:E38,$C$6:C38,detalhe_carro2[[#This Row],[Nó]],$B$6:B38,detalhe_carro2[[#This Row],[Numero Voltas]],$G$6:G38,1)</f>
        <v>15</v>
      </c>
      <c r="J39" s="20">
        <f>IF(OR(detalhe_carro2[[#This Row],[Ultima Chegada]]=0,detalhe_carro2[[#This Row],[Chegada]]=0),"",detalhe_carro2[[#This Row],[Hora Inicio]]-detalhe_carro2[[#This Row],[Ultima Chegada]])</f>
        <v>288</v>
      </c>
      <c r="K39" s="20"/>
      <c r="L39" s="20"/>
      <c r="M39" s="20"/>
      <c r="Q39" s="18"/>
      <c r="R39"/>
      <c r="S39"/>
      <c r="T39"/>
    </row>
    <row r="40" spans="2:20" x14ac:dyDescent="0.25">
      <c r="B40">
        <v>1</v>
      </c>
      <c r="C40" s="20" t="s">
        <v>33</v>
      </c>
      <c r="D40">
        <v>331</v>
      </c>
      <c r="E40">
        <v>331</v>
      </c>
      <c r="F40" s="20" t="s">
        <v>51</v>
      </c>
      <c r="G40" s="20">
        <f t="shared" si="0"/>
        <v>0</v>
      </c>
      <c r="H40" s="20">
        <f t="shared" si="1"/>
        <v>0</v>
      </c>
      <c r="I40" s="20">
        <f>_xlfn.MAXIFS($E$6:E39,$C$6:C39,detalhe_carro2[[#This Row],[Nó]],$B$6:B39,detalhe_carro2[[#This Row],[Numero Voltas]],$G$6:G39,1)</f>
        <v>15</v>
      </c>
      <c r="J40" s="20" t="str">
        <f>IF(OR(detalhe_carro2[[#This Row],[Ultima Chegada]]=0,detalhe_carro2[[#This Row],[Chegada]]=0),"",detalhe_carro2[[#This Row],[Hora Inicio]]-detalhe_carro2[[#This Row],[Ultima Chegada]])</f>
        <v/>
      </c>
      <c r="K40" s="20"/>
      <c r="L40" s="20"/>
      <c r="M40" s="20"/>
      <c r="Q40" s="18"/>
      <c r="R40"/>
      <c r="S40"/>
      <c r="T40"/>
    </row>
    <row r="41" spans="2:20" x14ac:dyDescent="0.25">
      <c r="B41">
        <v>1</v>
      </c>
      <c r="C41" s="20" t="s">
        <v>33</v>
      </c>
      <c r="D41">
        <v>393</v>
      </c>
      <c r="E41">
        <v>421</v>
      </c>
      <c r="F41" s="20" t="s">
        <v>52</v>
      </c>
      <c r="G41" s="20">
        <f t="shared" si="0"/>
        <v>0</v>
      </c>
      <c r="H41" s="20">
        <f t="shared" si="1"/>
        <v>0</v>
      </c>
      <c r="I41" s="20">
        <f>_xlfn.MAXIFS($E$6:E40,$C$6:C40,detalhe_carro2[[#This Row],[Nó]],$B$6:B40,detalhe_carro2[[#This Row],[Numero Voltas]],$G$6:G40,1)</f>
        <v>15</v>
      </c>
      <c r="J41" s="20" t="str">
        <f>IF(OR(detalhe_carro2[[#This Row],[Ultima Chegada]]=0,detalhe_carro2[[#This Row],[Chegada]]=0),"",detalhe_carro2[[#This Row],[Hora Inicio]]-detalhe_carro2[[#This Row],[Ultima Chegada]])</f>
        <v/>
      </c>
      <c r="K41" s="20"/>
      <c r="L41" s="20"/>
      <c r="M41" s="20"/>
      <c r="Q41" s="18"/>
      <c r="R41"/>
      <c r="S41"/>
      <c r="T41"/>
    </row>
    <row r="42" spans="2:20" x14ac:dyDescent="0.25">
      <c r="B42">
        <v>1</v>
      </c>
      <c r="C42" s="20" t="s">
        <v>33</v>
      </c>
      <c r="D42">
        <v>361</v>
      </c>
      <c r="E42">
        <v>421</v>
      </c>
      <c r="F42" s="20" t="s">
        <v>54</v>
      </c>
      <c r="G42" s="20">
        <f t="shared" si="0"/>
        <v>0</v>
      </c>
      <c r="H42" s="20">
        <f t="shared" si="1"/>
        <v>0</v>
      </c>
      <c r="I42" s="20">
        <f>_xlfn.MAXIFS($E$6:E41,$C$6:C41,detalhe_carro2[[#This Row],[Nó]],$B$6:B41,detalhe_carro2[[#This Row],[Numero Voltas]],$G$6:G41,1)</f>
        <v>15</v>
      </c>
      <c r="J42" s="20" t="str">
        <f>IF(OR(detalhe_carro2[[#This Row],[Ultima Chegada]]=0,detalhe_carro2[[#This Row],[Chegada]]=0),"",detalhe_carro2[[#This Row],[Hora Inicio]]-detalhe_carro2[[#This Row],[Ultima Chegada]])</f>
        <v/>
      </c>
      <c r="K42" s="20"/>
      <c r="L42" s="20"/>
      <c r="M42" s="20"/>
      <c r="Q42" s="18"/>
      <c r="R42"/>
      <c r="S42"/>
      <c r="T42"/>
    </row>
    <row r="43" spans="2:20" x14ac:dyDescent="0.25">
      <c r="B43">
        <v>1</v>
      </c>
      <c r="C43" s="20" t="s">
        <v>33</v>
      </c>
      <c r="D43">
        <v>421</v>
      </c>
      <c r="E43">
        <v>450</v>
      </c>
      <c r="F43" s="20" t="s">
        <v>52</v>
      </c>
      <c r="G43" s="20">
        <f t="shared" si="0"/>
        <v>0</v>
      </c>
      <c r="H43" s="20">
        <f t="shared" si="1"/>
        <v>0</v>
      </c>
      <c r="I43" s="20">
        <f>_xlfn.MAXIFS($E$6:E42,$C$6:C42,detalhe_carro2[[#This Row],[Nó]],$B$6:B42,detalhe_carro2[[#This Row],[Numero Voltas]],$G$6:G42,1)</f>
        <v>15</v>
      </c>
      <c r="J43" s="20" t="str">
        <f>IF(OR(detalhe_carro2[[#This Row],[Ultima Chegada]]=0,detalhe_carro2[[#This Row],[Chegada]]=0),"",detalhe_carro2[[#This Row],[Hora Inicio]]-detalhe_carro2[[#This Row],[Ultima Chegada]])</f>
        <v/>
      </c>
      <c r="K43" s="20"/>
      <c r="L43" s="20"/>
      <c r="M43" s="20"/>
      <c r="Q43" s="18"/>
      <c r="R43"/>
      <c r="S43"/>
      <c r="T43"/>
    </row>
    <row r="44" spans="2:20" x14ac:dyDescent="0.25">
      <c r="B44">
        <v>1</v>
      </c>
      <c r="C44" s="20" t="s">
        <v>33</v>
      </c>
      <c r="D44">
        <v>450</v>
      </c>
      <c r="E44">
        <v>450</v>
      </c>
      <c r="F44" s="20" t="s">
        <v>51</v>
      </c>
      <c r="G44" s="20">
        <f t="shared" si="0"/>
        <v>0</v>
      </c>
      <c r="H44" s="20">
        <f t="shared" si="1"/>
        <v>0</v>
      </c>
      <c r="I44" s="20">
        <f>_xlfn.MAXIFS($E$6:E43,$C$6:C43,detalhe_carro2[[#This Row],[Nó]],$B$6:B43,detalhe_carro2[[#This Row],[Numero Voltas]],$G$6:G43,1)</f>
        <v>15</v>
      </c>
      <c r="J44" s="20" t="str">
        <f>IF(OR(detalhe_carro2[[#This Row],[Ultima Chegada]]=0,detalhe_carro2[[#This Row],[Chegada]]=0),"",detalhe_carro2[[#This Row],[Hora Inicio]]-detalhe_carro2[[#This Row],[Ultima Chegada]])</f>
        <v/>
      </c>
      <c r="K44" s="20"/>
      <c r="L44" s="20"/>
      <c r="M44" s="20"/>
      <c r="Q44" s="18"/>
      <c r="R44"/>
      <c r="S44"/>
      <c r="T44"/>
    </row>
    <row r="45" spans="2:20" x14ac:dyDescent="0.25">
      <c r="B45">
        <v>1</v>
      </c>
      <c r="C45" s="20" t="s">
        <v>33</v>
      </c>
      <c r="D45">
        <v>452</v>
      </c>
      <c r="E45">
        <v>480</v>
      </c>
      <c r="F45" s="20" t="s">
        <v>52</v>
      </c>
      <c r="G45" s="20">
        <f t="shared" si="0"/>
        <v>0</v>
      </c>
      <c r="H45" s="20">
        <f t="shared" si="1"/>
        <v>0</v>
      </c>
      <c r="I45" s="20">
        <f>_xlfn.MAXIFS($E$6:E44,$C$6:C44,detalhe_carro2[[#This Row],[Nó]],$B$6:B44,detalhe_carro2[[#This Row],[Numero Voltas]],$G$6:G44,1)</f>
        <v>15</v>
      </c>
      <c r="J45" s="20" t="str">
        <f>IF(OR(detalhe_carro2[[#This Row],[Ultima Chegada]]=0,detalhe_carro2[[#This Row],[Chegada]]=0),"",detalhe_carro2[[#This Row],[Hora Inicio]]-detalhe_carro2[[#This Row],[Ultima Chegada]])</f>
        <v/>
      </c>
      <c r="K45" s="20"/>
      <c r="L45" s="20"/>
      <c r="M45" s="20"/>
      <c r="Q45" s="18"/>
      <c r="R45"/>
      <c r="S45"/>
      <c r="T45"/>
    </row>
    <row r="46" spans="2:20" x14ac:dyDescent="0.25">
      <c r="B46">
        <v>1</v>
      </c>
      <c r="C46" s="20" t="s">
        <v>33</v>
      </c>
      <c r="D46">
        <v>480</v>
      </c>
      <c r="E46">
        <v>480</v>
      </c>
      <c r="F46" s="20" t="s">
        <v>51</v>
      </c>
      <c r="G46" s="20">
        <f t="shared" si="0"/>
        <v>0</v>
      </c>
      <c r="H46" s="20">
        <f t="shared" si="1"/>
        <v>0</v>
      </c>
      <c r="I46" s="20">
        <f>_xlfn.MAXIFS($E$6:E45,$C$6:C45,detalhe_carro2[[#This Row],[Nó]],$B$6:B45,detalhe_carro2[[#This Row],[Numero Voltas]],$G$6:G45,1)</f>
        <v>15</v>
      </c>
      <c r="J46" s="20" t="str">
        <f>IF(OR(detalhe_carro2[[#This Row],[Ultima Chegada]]=0,detalhe_carro2[[#This Row],[Chegada]]=0),"",detalhe_carro2[[#This Row],[Hora Inicio]]-detalhe_carro2[[#This Row],[Ultima Chegada]])</f>
        <v/>
      </c>
      <c r="K46" s="20"/>
      <c r="L46" s="20"/>
      <c r="M46" s="20"/>
      <c r="Q46" s="18"/>
      <c r="R46"/>
      <c r="S46"/>
      <c r="T46"/>
    </row>
    <row r="47" spans="2:20" x14ac:dyDescent="0.25">
      <c r="B47">
        <v>2</v>
      </c>
      <c r="C47" s="20" t="s">
        <v>33</v>
      </c>
      <c r="D47">
        <v>0</v>
      </c>
      <c r="E47">
        <v>0</v>
      </c>
      <c r="F47" s="20" t="s">
        <v>49</v>
      </c>
      <c r="G47" s="20">
        <f t="shared" si="0"/>
        <v>0</v>
      </c>
      <c r="H47" s="20">
        <f t="shared" si="1"/>
        <v>0</v>
      </c>
      <c r="I47" s="20">
        <f>_xlfn.MAXIFS($E$6:E46,$C$6:C46,detalhe_carro2[[#This Row],[Nó]],$B$6:B46,detalhe_carro2[[#This Row],[Numero Voltas]],$G$6:G46,1)</f>
        <v>0</v>
      </c>
      <c r="J47" s="20" t="str">
        <f>IF(OR(detalhe_carro2[[#This Row],[Ultima Chegada]]=0,detalhe_carro2[[#This Row],[Chegada]]=0),"",detalhe_carro2[[#This Row],[Hora Inicio]]-detalhe_carro2[[#This Row],[Ultima Chegada]])</f>
        <v/>
      </c>
      <c r="K47" s="20"/>
      <c r="L47" s="20"/>
      <c r="M47" s="20"/>
      <c r="S47"/>
      <c r="T47"/>
    </row>
    <row r="48" spans="2:20" x14ac:dyDescent="0.25">
      <c r="B48">
        <v>2</v>
      </c>
      <c r="C48" s="20" t="s">
        <v>33</v>
      </c>
      <c r="D48">
        <v>2</v>
      </c>
      <c r="E48">
        <v>15</v>
      </c>
      <c r="F48" s="20" t="s">
        <v>50</v>
      </c>
      <c r="G48" s="20">
        <f t="shared" si="0"/>
        <v>0</v>
      </c>
      <c r="H48" s="20">
        <f t="shared" si="1"/>
        <v>0</v>
      </c>
      <c r="I48" s="20">
        <f>_xlfn.MAXIFS($E$6:E47,$C$6:C47,detalhe_carro2[[#This Row],[Nó]],$B$6:B47,detalhe_carro2[[#This Row],[Numero Voltas]],$G$6:G47,1)</f>
        <v>0</v>
      </c>
      <c r="J48" s="20" t="str">
        <f>IF(OR(detalhe_carro2[[#This Row],[Ultima Chegada]]=0,detalhe_carro2[[#This Row],[Chegada]]=0),"",detalhe_carro2[[#This Row],[Hora Inicio]]-detalhe_carro2[[#This Row],[Ultima Chegada]])</f>
        <v/>
      </c>
      <c r="K48" s="20"/>
      <c r="L48" s="20"/>
      <c r="M48" s="20"/>
      <c r="S48"/>
      <c r="T48"/>
    </row>
    <row r="49" spans="2:20" x14ac:dyDescent="0.25">
      <c r="B49">
        <v>2</v>
      </c>
      <c r="C49" s="20" t="s">
        <v>33</v>
      </c>
      <c r="D49">
        <v>15</v>
      </c>
      <c r="E49">
        <v>15</v>
      </c>
      <c r="F49" s="20" t="s">
        <v>51</v>
      </c>
      <c r="G49" s="20">
        <f t="shared" si="0"/>
        <v>1</v>
      </c>
      <c r="H49" s="20">
        <f t="shared" si="1"/>
        <v>0</v>
      </c>
      <c r="I49" s="20">
        <f>_xlfn.MAXIFS($E$6:E48,$C$6:C48,detalhe_carro2[[#This Row],[Nó]],$B$6:B48,detalhe_carro2[[#This Row],[Numero Voltas]],$G$6:G48,1)</f>
        <v>0</v>
      </c>
      <c r="J49" s="20" t="str">
        <f>IF(OR(detalhe_carro2[[#This Row],[Ultima Chegada]]=0,detalhe_carro2[[#This Row],[Chegada]]=0),"",detalhe_carro2[[#This Row],[Hora Inicio]]-detalhe_carro2[[#This Row],[Ultima Chegada]])</f>
        <v/>
      </c>
      <c r="K49" s="20"/>
      <c r="L49" s="20"/>
      <c r="M49" s="20"/>
      <c r="S49"/>
      <c r="T49"/>
    </row>
    <row r="50" spans="2:20" x14ac:dyDescent="0.25">
      <c r="B50">
        <v>2</v>
      </c>
      <c r="C50" s="20" t="s">
        <v>31</v>
      </c>
      <c r="D50">
        <v>19</v>
      </c>
      <c r="E50">
        <v>28</v>
      </c>
      <c r="F50" s="20" t="s">
        <v>50</v>
      </c>
      <c r="G50" s="20">
        <f t="shared" si="0"/>
        <v>0</v>
      </c>
      <c r="H50" s="20">
        <f t="shared" si="1"/>
        <v>1</v>
      </c>
      <c r="I50" s="20">
        <f>_xlfn.MAXIFS($E$6:E49,$C$6:C49,detalhe_carro2[[#This Row],[Nó]],$B$6:B49,detalhe_carro2[[#This Row],[Numero Voltas]],$G$6:G49,1)</f>
        <v>0</v>
      </c>
      <c r="J50" s="20" t="str">
        <f>IF(OR(detalhe_carro2[[#This Row],[Ultima Chegada]]=0,detalhe_carro2[[#This Row],[Chegada]]=0),"",detalhe_carro2[[#This Row],[Hora Inicio]]-detalhe_carro2[[#This Row],[Ultima Chegada]])</f>
        <v/>
      </c>
      <c r="K50" s="20"/>
      <c r="L50" s="20"/>
      <c r="M50" s="20"/>
    </row>
    <row r="51" spans="2:20" x14ac:dyDescent="0.25">
      <c r="B51">
        <v>2</v>
      </c>
      <c r="C51" s="20" t="s">
        <v>31</v>
      </c>
      <c r="D51">
        <v>28</v>
      </c>
      <c r="E51">
        <v>28</v>
      </c>
      <c r="F51" s="20" t="s">
        <v>51</v>
      </c>
      <c r="G51" s="20">
        <f t="shared" si="0"/>
        <v>1</v>
      </c>
      <c r="H51" s="20">
        <f t="shared" si="1"/>
        <v>0</v>
      </c>
      <c r="I51" s="20">
        <f>_xlfn.MAXIFS($E$6:E50,$C$6:C50,detalhe_carro2[[#This Row],[Nó]],$B$6:B50,detalhe_carro2[[#This Row],[Numero Voltas]],$G$6:G50,1)</f>
        <v>0</v>
      </c>
      <c r="J51" s="20" t="str">
        <f>IF(OR(detalhe_carro2[[#This Row],[Ultima Chegada]]=0,detalhe_carro2[[#This Row],[Chegada]]=0),"",detalhe_carro2[[#This Row],[Hora Inicio]]-detalhe_carro2[[#This Row],[Ultima Chegada]])</f>
        <v/>
      </c>
      <c r="K51" s="20"/>
      <c r="L51" s="20"/>
      <c r="M51" s="20"/>
    </row>
    <row r="52" spans="2:20" x14ac:dyDescent="0.25">
      <c r="B52">
        <v>2</v>
      </c>
      <c r="C52" s="20" t="s">
        <v>29</v>
      </c>
      <c r="D52">
        <v>32</v>
      </c>
      <c r="E52">
        <v>60</v>
      </c>
      <c r="F52" s="20" t="s">
        <v>50</v>
      </c>
      <c r="G52" s="20">
        <f t="shared" si="0"/>
        <v>0</v>
      </c>
      <c r="H52" s="20">
        <f t="shared" si="1"/>
        <v>1</v>
      </c>
      <c r="I52" s="20">
        <f>_xlfn.MAXIFS($E$6:E51,$C$6:C51,detalhe_carro2[[#This Row],[Nó]],$B$6:B51,detalhe_carro2[[#This Row],[Numero Voltas]],$G$6:G51,1)</f>
        <v>0</v>
      </c>
      <c r="J52" s="20" t="str">
        <f>IF(OR(detalhe_carro2[[#This Row],[Ultima Chegada]]=0,detalhe_carro2[[#This Row],[Chegada]]=0),"",detalhe_carro2[[#This Row],[Hora Inicio]]-detalhe_carro2[[#This Row],[Ultima Chegada]])</f>
        <v/>
      </c>
      <c r="K52" s="20"/>
      <c r="L52" s="20"/>
      <c r="M52" s="20"/>
    </row>
    <row r="53" spans="2:20" x14ac:dyDescent="0.25">
      <c r="B53">
        <v>2</v>
      </c>
      <c r="C53" s="20" t="s">
        <v>29</v>
      </c>
      <c r="D53">
        <v>60</v>
      </c>
      <c r="E53">
        <v>60</v>
      </c>
      <c r="F53" s="20" t="s">
        <v>51</v>
      </c>
      <c r="G53" s="20">
        <f t="shared" si="0"/>
        <v>1</v>
      </c>
      <c r="H53" s="20">
        <f t="shared" si="1"/>
        <v>0</v>
      </c>
      <c r="I53" s="20">
        <f>_xlfn.MAXIFS($E$6:E52,$C$6:C52,detalhe_carro2[[#This Row],[Nó]],$B$6:B52,detalhe_carro2[[#This Row],[Numero Voltas]],$G$6:G52,1)</f>
        <v>0</v>
      </c>
      <c r="J53" s="20" t="str">
        <f>IF(OR(detalhe_carro2[[#This Row],[Ultima Chegada]]=0,detalhe_carro2[[#This Row],[Chegada]]=0),"",detalhe_carro2[[#This Row],[Hora Inicio]]-detalhe_carro2[[#This Row],[Ultima Chegada]])</f>
        <v/>
      </c>
      <c r="K53" s="20"/>
      <c r="L53" s="20"/>
      <c r="M53" s="20"/>
    </row>
    <row r="54" spans="2:20" x14ac:dyDescent="0.25">
      <c r="B54">
        <v>2</v>
      </c>
      <c r="C54" s="20" t="s">
        <v>27</v>
      </c>
      <c r="D54">
        <v>62</v>
      </c>
      <c r="E54">
        <v>75</v>
      </c>
      <c r="F54" s="20" t="s">
        <v>50</v>
      </c>
      <c r="G54" s="20">
        <f t="shared" si="0"/>
        <v>0</v>
      </c>
      <c r="H54" s="20">
        <f t="shared" si="1"/>
        <v>1</v>
      </c>
      <c r="I54" s="20">
        <f>_xlfn.MAXIFS($E$6:E53,$C$6:C53,detalhe_carro2[[#This Row],[Nó]],$B$6:B53,detalhe_carro2[[#This Row],[Numero Voltas]],$G$6:G53,1)</f>
        <v>0</v>
      </c>
      <c r="J54" s="20" t="str">
        <f>IF(OR(detalhe_carro2[[#This Row],[Ultima Chegada]]=0,detalhe_carro2[[#This Row],[Chegada]]=0),"",detalhe_carro2[[#This Row],[Hora Inicio]]-detalhe_carro2[[#This Row],[Ultima Chegada]])</f>
        <v/>
      </c>
      <c r="K54" s="20"/>
      <c r="L54" s="20"/>
      <c r="M54" s="20"/>
    </row>
    <row r="55" spans="2:20" x14ac:dyDescent="0.25">
      <c r="B55">
        <v>2</v>
      </c>
      <c r="C55" s="20" t="s">
        <v>27</v>
      </c>
      <c r="D55">
        <v>75</v>
      </c>
      <c r="E55">
        <v>75</v>
      </c>
      <c r="F55" s="20" t="s">
        <v>51</v>
      </c>
      <c r="G55" s="20">
        <f t="shared" si="0"/>
        <v>1</v>
      </c>
      <c r="H55" s="20">
        <f t="shared" si="1"/>
        <v>0</v>
      </c>
      <c r="I55" s="20">
        <f>_xlfn.MAXIFS($E$6:E54,$C$6:C54,detalhe_carro2[[#This Row],[Nó]],$B$6:B54,detalhe_carro2[[#This Row],[Numero Voltas]],$G$6:G54,1)</f>
        <v>0</v>
      </c>
      <c r="J55" s="20" t="str">
        <f>IF(OR(detalhe_carro2[[#This Row],[Ultima Chegada]]=0,detalhe_carro2[[#This Row],[Chegada]]=0),"",detalhe_carro2[[#This Row],[Hora Inicio]]-detalhe_carro2[[#This Row],[Ultima Chegada]])</f>
        <v/>
      </c>
      <c r="K55" s="20"/>
      <c r="L55" s="20"/>
      <c r="M55" s="20"/>
    </row>
    <row r="56" spans="2:20" x14ac:dyDescent="0.25">
      <c r="B56">
        <v>2</v>
      </c>
      <c r="C56" s="20" t="s">
        <v>26</v>
      </c>
      <c r="D56">
        <v>77</v>
      </c>
      <c r="E56">
        <v>87</v>
      </c>
      <c r="F56" s="20" t="s">
        <v>50</v>
      </c>
      <c r="G56" s="20">
        <f t="shared" si="0"/>
        <v>0</v>
      </c>
      <c r="H56" s="20">
        <f t="shared" si="1"/>
        <v>1</v>
      </c>
      <c r="I56" s="20">
        <f>_xlfn.MAXIFS($E$6:E55,$C$6:C55,detalhe_carro2[[#This Row],[Nó]],$B$6:B55,detalhe_carro2[[#This Row],[Numero Voltas]],$G$6:G55,1)</f>
        <v>0</v>
      </c>
      <c r="J56" s="20" t="str">
        <f>IF(OR(detalhe_carro2[[#This Row],[Ultima Chegada]]=0,detalhe_carro2[[#This Row],[Chegada]]=0),"",detalhe_carro2[[#This Row],[Hora Inicio]]-detalhe_carro2[[#This Row],[Ultima Chegada]])</f>
        <v/>
      </c>
      <c r="K56" s="20"/>
      <c r="L56" s="20"/>
      <c r="M56" s="20"/>
    </row>
    <row r="57" spans="2:20" x14ac:dyDescent="0.25">
      <c r="B57">
        <v>2</v>
      </c>
      <c r="C57" s="20" t="s">
        <v>26</v>
      </c>
      <c r="D57">
        <v>87</v>
      </c>
      <c r="E57">
        <v>87</v>
      </c>
      <c r="F57" s="20" t="s">
        <v>51</v>
      </c>
      <c r="G57" s="20">
        <f t="shared" si="0"/>
        <v>1</v>
      </c>
      <c r="H57" s="20">
        <f t="shared" si="1"/>
        <v>0</v>
      </c>
      <c r="I57" s="20">
        <f>_xlfn.MAXIFS($E$6:E56,$C$6:C56,detalhe_carro2[[#This Row],[Nó]],$B$6:B56,detalhe_carro2[[#This Row],[Numero Voltas]],$G$6:G56,1)</f>
        <v>0</v>
      </c>
      <c r="J57" s="20" t="str">
        <f>IF(OR(detalhe_carro2[[#This Row],[Ultima Chegada]]=0,detalhe_carro2[[#This Row],[Chegada]]=0),"",detalhe_carro2[[#This Row],[Hora Inicio]]-detalhe_carro2[[#This Row],[Ultima Chegada]])</f>
        <v/>
      </c>
      <c r="K57" s="20"/>
      <c r="L57" s="20"/>
      <c r="M57" s="20"/>
    </row>
    <row r="58" spans="2:20" x14ac:dyDescent="0.25">
      <c r="B58">
        <v>2</v>
      </c>
      <c r="C58" s="20" t="s">
        <v>24</v>
      </c>
      <c r="D58">
        <v>103</v>
      </c>
      <c r="E58">
        <v>123</v>
      </c>
      <c r="F58" s="20" t="s">
        <v>54</v>
      </c>
      <c r="G58" s="20">
        <f t="shared" si="0"/>
        <v>0</v>
      </c>
      <c r="H58" s="20">
        <f t="shared" si="1"/>
        <v>1</v>
      </c>
      <c r="I58" s="20">
        <f>_xlfn.MAXIFS($E$6:E57,$C$6:C57,detalhe_carro2[[#This Row],[Nó]],$B$6:B57,detalhe_carro2[[#This Row],[Numero Voltas]],$G$6:G57,1)</f>
        <v>0</v>
      </c>
      <c r="J58" s="20" t="str">
        <f>IF(OR(detalhe_carro2[[#This Row],[Ultima Chegada]]=0,detalhe_carro2[[#This Row],[Chegada]]=0),"",detalhe_carro2[[#This Row],[Hora Inicio]]-detalhe_carro2[[#This Row],[Ultima Chegada]])</f>
        <v/>
      </c>
      <c r="K58" s="20"/>
      <c r="L58" s="20"/>
      <c r="M58" s="20"/>
    </row>
    <row r="59" spans="2:20" x14ac:dyDescent="0.25">
      <c r="B59">
        <v>2</v>
      </c>
      <c r="C59" s="20" t="s">
        <v>24</v>
      </c>
      <c r="D59">
        <v>109</v>
      </c>
      <c r="E59">
        <v>123</v>
      </c>
      <c r="F59" s="20" t="s">
        <v>50</v>
      </c>
      <c r="G59" s="20">
        <f t="shared" si="0"/>
        <v>0</v>
      </c>
      <c r="H59" s="20">
        <f t="shared" si="1"/>
        <v>0</v>
      </c>
      <c r="I59" s="20">
        <f>_xlfn.MAXIFS($E$6:E58,$C$6:C58,detalhe_carro2[[#This Row],[Nó]],$B$6:B58,detalhe_carro2[[#This Row],[Numero Voltas]],$G$6:G58,1)</f>
        <v>0</v>
      </c>
      <c r="J59" s="20" t="str">
        <f>IF(OR(detalhe_carro2[[#This Row],[Ultima Chegada]]=0,detalhe_carro2[[#This Row],[Chegada]]=0),"",detalhe_carro2[[#This Row],[Hora Inicio]]-detalhe_carro2[[#This Row],[Ultima Chegada]])</f>
        <v/>
      </c>
      <c r="K59" s="20"/>
      <c r="L59" s="20"/>
      <c r="M59" s="20"/>
    </row>
    <row r="60" spans="2:20" x14ac:dyDescent="0.25">
      <c r="B60">
        <v>2</v>
      </c>
      <c r="C60" s="20" t="s">
        <v>24</v>
      </c>
      <c r="D60">
        <v>123</v>
      </c>
      <c r="E60">
        <v>123</v>
      </c>
      <c r="F60" s="20" t="s">
        <v>51</v>
      </c>
      <c r="G60" s="20">
        <f t="shared" si="0"/>
        <v>1</v>
      </c>
      <c r="H60" s="20">
        <f t="shared" si="1"/>
        <v>0</v>
      </c>
      <c r="I60" s="20">
        <f>_xlfn.MAXIFS($E$6:E59,$C$6:C59,detalhe_carro2[[#This Row],[Nó]],$B$6:B59,detalhe_carro2[[#This Row],[Numero Voltas]],$G$6:G59,1)</f>
        <v>0</v>
      </c>
      <c r="J60" s="20" t="str">
        <f>IF(OR(detalhe_carro2[[#This Row],[Ultima Chegada]]=0,detalhe_carro2[[#This Row],[Chegada]]=0),"",detalhe_carro2[[#This Row],[Hora Inicio]]-detalhe_carro2[[#This Row],[Ultima Chegada]])</f>
        <v/>
      </c>
      <c r="K60" s="20"/>
      <c r="L60" s="20"/>
      <c r="M60" s="20"/>
    </row>
    <row r="61" spans="2:20" x14ac:dyDescent="0.25">
      <c r="B61">
        <v>2</v>
      </c>
      <c r="C61" s="20" t="s">
        <v>22</v>
      </c>
      <c r="D61">
        <v>125</v>
      </c>
      <c r="E61">
        <v>130</v>
      </c>
      <c r="F61" s="20" t="s">
        <v>50</v>
      </c>
      <c r="G61" s="20">
        <f t="shared" si="0"/>
        <v>0</v>
      </c>
      <c r="H61" s="20">
        <f t="shared" si="1"/>
        <v>1</v>
      </c>
      <c r="I61" s="20">
        <f>_xlfn.MAXIFS($E$6:E60,$C$6:C60,detalhe_carro2[[#This Row],[Nó]],$B$6:B60,detalhe_carro2[[#This Row],[Numero Voltas]],$G$6:G60,1)</f>
        <v>0</v>
      </c>
      <c r="J61" s="20" t="str">
        <f>IF(OR(detalhe_carro2[[#This Row],[Ultima Chegada]]=0,detalhe_carro2[[#This Row],[Chegada]]=0),"",detalhe_carro2[[#This Row],[Hora Inicio]]-detalhe_carro2[[#This Row],[Ultima Chegada]])</f>
        <v/>
      </c>
      <c r="K61" s="20"/>
      <c r="L61" s="20"/>
      <c r="M61" s="20"/>
    </row>
    <row r="62" spans="2:20" x14ac:dyDescent="0.25">
      <c r="B62">
        <v>2</v>
      </c>
      <c r="C62" s="20" t="s">
        <v>22</v>
      </c>
      <c r="D62">
        <v>130</v>
      </c>
      <c r="E62">
        <v>130</v>
      </c>
      <c r="F62" s="20" t="s">
        <v>51</v>
      </c>
      <c r="G62" s="20">
        <f t="shared" si="0"/>
        <v>1</v>
      </c>
      <c r="H62" s="20">
        <f t="shared" si="1"/>
        <v>0</v>
      </c>
      <c r="I62" s="20">
        <f>_xlfn.MAXIFS($E$6:E61,$C$6:C61,detalhe_carro2[[#This Row],[Nó]],$B$6:B61,detalhe_carro2[[#This Row],[Numero Voltas]],$G$6:G61,1)</f>
        <v>0</v>
      </c>
      <c r="J62" s="20" t="str">
        <f>IF(OR(detalhe_carro2[[#This Row],[Ultima Chegada]]=0,detalhe_carro2[[#This Row],[Chegada]]=0),"",detalhe_carro2[[#This Row],[Hora Inicio]]-detalhe_carro2[[#This Row],[Ultima Chegada]])</f>
        <v/>
      </c>
      <c r="K62" s="20"/>
      <c r="L62" s="20"/>
      <c r="M62" s="20"/>
    </row>
    <row r="63" spans="2:20" x14ac:dyDescent="0.25">
      <c r="B63">
        <v>2</v>
      </c>
      <c r="C63" s="20" t="s">
        <v>20</v>
      </c>
      <c r="D63">
        <v>132</v>
      </c>
      <c r="E63">
        <v>132</v>
      </c>
      <c r="F63" s="20" t="s">
        <v>51</v>
      </c>
      <c r="G63" s="20">
        <f t="shared" si="0"/>
        <v>0</v>
      </c>
      <c r="H63" s="20">
        <f t="shared" si="1"/>
        <v>1</v>
      </c>
      <c r="I63" s="20">
        <f>_xlfn.MAXIFS($E$6:E62,$C$6:C62,detalhe_carro2[[#This Row],[Nó]],$B$6:B62,detalhe_carro2[[#This Row],[Numero Voltas]],$G$6:G62,1)</f>
        <v>0</v>
      </c>
      <c r="J63" s="20" t="str">
        <f>IF(OR(detalhe_carro2[[#This Row],[Ultima Chegada]]=0,detalhe_carro2[[#This Row],[Chegada]]=0),"",detalhe_carro2[[#This Row],[Hora Inicio]]-detalhe_carro2[[#This Row],[Ultima Chegada]])</f>
        <v/>
      </c>
      <c r="K63" s="20"/>
      <c r="L63" s="20"/>
      <c r="M63" s="20"/>
    </row>
    <row r="64" spans="2:20" x14ac:dyDescent="0.25">
      <c r="B64">
        <v>2</v>
      </c>
      <c r="C64" s="20" t="s">
        <v>20</v>
      </c>
      <c r="D64">
        <v>134</v>
      </c>
      <c r="E64">
        <v>149</v>
      </c>
      <c r="F64" s="20" t="s">
        <v>50</v>
      </c>
      <c r="G64" s="20">
        <f t="shared" si="0"/>
        <v>0</v>
      </c>
      <c r="H64" s="20">
        <f t="shared" si="1"/>
        <v>0</v>
      </c>
      <c r="I64" s="20">
        <f>_xlfn.MAXIFS($E$6:E63,$C$6:C63,detalhe_carro2[[#This Row],[Nó]],$B$6:B63,detalhe_carro2[[#This Row],[Numero Voltas]],$G$6:G63,1)</f>
        <v>0</v>
      </c>
      <c r="J64" s="20" t="str">
        <f>IF(OR(detalhe_carro2[[#This Row],[Ultima Chegada]]=0,detalhe_carro2[[#This Row],[Chegada]]=0),"",detalhe_carro2[[#This Row],[Hora Inicio]]-detalhe_carro2[[#This Row],[Ultima Chegada]])</f>
        <v/>
      </c>
      <c r="K64" s="20"/>
      <c r="L64" s="20"/>
      <c r="M64" s="20"/>
    </row>
    <row r="65" spans="2:13" x14ac:dyDescent="0.25">
      <c r="B65">
        <v>2</v>
      </c>
      <c r="C65" s="20" t="s">
        <v>20</v>
      </c>
      <c r="D65">
        <v>149</v>
      </c>
      <c r="E65">
        <v>149</v>
      </c>
      <c r="F65" s="20" t="s">
        <v>51</v>
      </c>
      <c r="G65" s="20">
        <f t="shared" si="0"/>
        <v>1</v>
      </c>
      <c r="H65" s="20">
        <f t="shared" si="1"/>
        <v>0</v>
      </c>
      <c r="I65" s="20">
        <f>_xlfn.MAXIFS($E$6:E64,$C$6:C64,detalhe_carro2[[#This Row],[Nó]],$B$6:B64,detalhe_carro2[[#This Row],[Numero Voltas]],$G$6:G64,1)</f>
        <v>0</v>
      </c>
      <c r="J65" s="20" t="str">
        <f>IF(OR(detalhe_carro2[[#This Row],[Ultima Chegada]]=0,detalhe_carro2[[#This Row],[Chegada]]=0),"",detalhe_carro2[[#This Row],[Hora Inicio]]-detalhe_carro2[[#This Row],[Ultima Chegada]])</f>
        <v/>
      </c>
      <c r="K65" s="20"/>
      <c r="L65" s="20"/>
      <c r="M65" s="20"/>
    </row>
    <row r="66" spans="2:13" x14ac:dyDescent="0.25">
      <c r="B66">
        <v>2</v>
      </c>
      <c r="C66" s="20" t="s">
        <v>22</v>
      </c>
      <c r="D66">
        <v>151</v>
      </c>
      <c r="E66">
        <v>156</v>
      </c>
      <c r="F66" s="20" t="s">
        <v>50</v>
      </c>
      <c r="G66" s="20">
        <f t="shared" si="0"/>
        <v>0</v>
      </c>
      <c r="H66" s="20">
        <f t="shared" si="1"/>
        <v>1</v>
      </c>
      <c r="I66" s="20">
        <f>_xlfn.MAXIFS($E$6:E65,$C$6:C65,detalhe_carro2[[#This Row],[Nó]],$B$6:B65,detalhe_carro2[[#This Row],[Numero Voltas]],$G$6:G65,1)</f>
        <v>130</v>
      </c>
      <c r="J66" s="20">
        <f>IF(OR(detalhe_carro2[[#This Row],[Ultima Chegada]]=0,detalhe_carro2[[#This Row],[Chegada]]=0),"",detalhe_carro2[[#This Row],[Hora Inicio]]-detalhe_carro2[[#This Row],[Ultima Chegada]])</f>
        <v>21</v>
      </c>
      <c r="K66" s="20"/>
      <c r="L66" s="20"/>
      <c r="M66" s="20"/>
    </row>
    <row r="67" spans="2:13" x14ac:dyDescent="0.25">
      <c r="B67">
        <v>2</v>
      </c>
      <c r="C67" s="20" t="s">
        <v>22</v>
      </c>
      <c r="D67">
        <v>156</v>
      </c>
      <c r="E67">
        <v>156</v>
      </c>
      <c r="F67" s="20" t="s">
        <v>51</v>
      </c>
      <c r="G67" s="20">
        <f t="shared" si="0"/>
        <v>1</v>
      </c>
      <c r="H67" s="20">
        <f t="shared" si="1"/>
        <v>0</v>
      </c>
      <c r="I67" s="20">
        <f>_xlfn.MAXIFS($E$6:E66,$C$6:C66,detalhe_carro2[[#This Row],[Nó]],$B$6:B66,detalhe_carro2[[#This Row],[Numero Voltas]],$G$6:G66,1)</f>
        <v>130</v>
      </c>
      <c r="J67" s="20" t="str">
        <f>IF(OR(detalhe_carro2[[#This Row],[Ultima Chegada]]=0,detalhe_carro2[[#This Row],[Chegada]]=0),"",detalhe_carro2[[#This Row],[Hora Inicio]]-detalhe_carro2[[#This Row],[Ultima Chegada]])</f>
        <v/>
      </c>
      <c r="K67" s="20"/>
      <c r="L67" s="20"/>
      <c r="M67" s="20"/>
    </row>
    <row r="68" spans="2:13" x14ac:dyDescent="0.25">
      <c r="B68">
        <v>2</v>
      </c>
      <c r="C68" s="20" t="s">
        <v>24</v>
      </c>
      <c r="D68">
        <v>158</v>
      </c>
      <c r="E68">
        <v>172</v>
      </c>
      <c r="F68" s="20" t="s">
        <v>50</v>
      </c>
      <c r="G68" s="20">
        <f t="shared" si="0"/>
        <v>0</v>
      </c>
      <c r="H68" s="20">
        <f t="shared" si="1"/>
        <v>1</v>
      </c>
      <c r="I68" s="20">
        <f>_xlfn.MAXIFS($E$6:E67,$C$6:C67,detalhe_carro2[[#This Row],[Nó]],$B$6:B67,detalhe_carro2[[#This Row],[Numero Voltas]],$G$6:G67,1)</f>
        <v>123</v>
      </c>
      <c r="J68" s="20">
        <f>IF(OR(detalhe_carro2[[#This Row],[Ultima Chegada]]=0,detalhe_carro2[[#This Row],[Chegada]]=0),"",detalhe_carro2[[#This Row],[Hora Inicio]]-detalhe_carro2[[#This Row],[Ultima Chegada]])</f>
        <v>35</v>
      </c>
      <c r="K68" s="20"/>
      <c r="L68" s="20"/>
      <c r="M68" s="20"/>
    </row>
    <row r="69" spans="2:13" x14ac:dyDescent="0.25">
      <c r="B69">
        <v>2</v>
      </c>
      <c r="C69" s="20" t="s">
        <v>24</v>
      </c>
      <c r="D69">
        <v>172</v>
      </c>
      <c r="E69">
        <v>172</v>
      </c>
      <c r="F69" s="20" t="s">
        <v>51</v>
      </c>
      <c r="G69" s="20">
        <f t="shared" si="0"/>
        <v>1</v>
      </c>
      <c r="H69" s="20">
        <f t="shared" si="1"/>
        <v>0</v>
      </c>
      <c r="I69" s="20">
        <f>_xlfn.MAXIFS($E$6:E68,$C$6:C68,detalhe_carro2[[#This Row],[Nó]],$B$6:B68,detalhe_carro2[[#This Row],[Numero Voltas]],$G$6:G68,1)</f>
        <v>123</v>
      </c>
      <c r="J69" s="20" t="str">
        <f>IF(OR(detalhe_carro2[[#This Row],[Ultima Chegada]]=0,detalhe_carro2[[#This Row],[Chegada]]=0),"",detalhe_carro2[[#This Row],[Hora Inicio]]-detalhe_carro2[[#This Row],[Ultima Chegada]])</f>
        <v/>
      </c>
      <c r="K69" s="20"/>
      <c r="L69" s="20"/>
      <c r="M69" s="20"/>
    </row>
    <row r="70" spans="2:13" x14ac:dyDescent="0.25">
      <c r="B70">
        <v>2</v>
      </c>
      <c r="C70" s="20" t="s">
        <v>26</v>
      </c>
      <c r="D70">
        <v>174</v>
      </c>
      <c r="E70">
        <v>184</v>
      </c>
      <c r="F70" s="20" t="s">
        <v>50</v>
      </c>
      <c r="G70" s="20">
        <f t="shared" ref="G70:G133" si="2">IF(C70&lt;&gt;C71,1,0)</f>
        <v>0</v>
      </c>
      <c r="H70" s="20">
        <f t="shared" ref="H70:H133" si="3">IF(C70&lt;&gt;C69,1,0)</f>
        <v>1</v>
      </c>
      <c r="I70" s="20">
        <f>_xlfn.MAXIFS($E$6:E69,$C$6:C69,detalhe_carro2[[#This Row],[Nó]],$B$6:B69,detalhe_carro2[[#This Row],[Numero Voltas]],$G$6:G69,1)</f>
        <v>87</v>
      </c>
      <c r="J70" s="20">
        <f>IF(OR(detalhe_carro2[[#This Row],[Ultima Chegada]]=0,detalhe_carro2[[#This Row],[Chegada]]=0),"",detalhe_carro2[[#This Row],[Hora Inicio]]-detalhe_carro2[[#This Row],[Ultima Chegada]])</f>
        <v>87</v>
      </c>
      <c r="K70" s="20"/>
      <c r="L70" s="20"/>
      <c r="M70" s="20"/>
    </row>
    <row r="71" spans="2:13" x14ac:dyDescent="0.25">
      <c r="B71">
        <v>2</v>
      </c>
      <c r="C71" s="20" t="s">
        <v>26</v>
      </c>
      <c r="D71">
        <v>184</v>
      </c>
      <c r="E71">
        <v>184</v>
      </c>
      <c r="F71" s="20" t="s">
        <v>51</v>
      </c>
      <c r="G71" s="20">
        <f t="shared" si="2"/>
        <v>1</v>
      </c>
      <c r="H71" s="20">
        <f t="shared" si="3"/>
        <v>0</v>
      </c>
      <c r="I71" s="20">
        <f>_xlfn.MAXIFS($E$6:E70,$C$6:C70,detalhe_carro2[[#This Row],[Nó]],$B$6:B70,detalhe_carro2[[#This Row],[Numero Voltas]],$G$6:G70,1)</f>
        <v>87</v>
      </c>
      <c r="J71" s="20" t="str">
        <f>IF(OR(detalhe_carro2[[#This Row],[Ultima Chegada]]=0,detalhe_carro2[[#This Row],[Chegada]]=0),"",detalhe_carro2[[#This Row],[Hora Inicio]]-detalhe_carro2[[#This Row],[Ultima Chegada]])</f>
        <v/>
      </c>
      <c r="K71" s="20"/>
      <c r="L71" s="20"/>
      <c r="M71" s="20"/>
    </row>
    <row r="72" spans="2:13" x14ac:dyDescent="0.25">
      <c r="B72">
        <v>2</v>
      </c>
      <c r="C72" s="20" t="s">
        <v>27</v>
      </c>
      <c r="D72">
        <v>186</v>
      </c>
      <c r="E72">
        <v>199</v>
      </c>
      <c r="F72" s="20" t="s">
        <v>50</v>
      </c>
      <c r="G72" s="20">
        <f t="shared" si="2"/>
        <v>0</v>
      </c>
      <c r="H72" s="20">
        <f t="shared" si="3"/>
        <v>1</v>
      </c>
      <c r="I72" s="20">
        <f>_xlfn.MAXIFS($E$6:E71,$C$6:C71,detalhe_carro2[[#This Row],[Nó]],$B$6:B71,detalhe_carro2[[#This Row],[Numero Voltas]],$G$6:G71,1)</f>
        <v>75</v>
      </c>
      <c r="J72" s="20">
        <f>IF(OR(detalhe_carro2[[#This Row],[Ultima Chegada]]=0,detalhe_carro2[[#This Row],[Chegada]]=0),"",detalhe_carro2[[#This Row],[Hora Inicio]]-detalhe_carro2[[#This Row],[Ultima Chegada]])</f>
        <v>111</v>
      </c>
      <c r="K72" s="20"/>
      <c r="L72" s="20"/>
      <c r="M72" s="20"/>
    </row>
    <row r="73" spans="2:13" x14ac:dyDescent="0.25">
      <c r="B73">
        <v>2</v>
      </c>
      <c r="C73" s="20" t="s">
        <v>27</v>
      </c>
      <c r="D73">
        <v>199</v>
      </c>
      <c r="E73">
        <v>199</v>
      </c>
      <c r="F73" s="20" t="s">
        <v>51</v>
      </c>
      <c r="G73" s="20">
        <f t="shared" si="2"/>
        <v>1</v>
      </c>
      <c r="H73" s="20">
        <f t="shared" si="3"/>
        <v>0</v>
      </c>
      <c r="I73" s="20">
        <f>_xlfn.MAXIFS($E$6:E72,$C$6:C72,detalhe_carro2[[#This Row],[Nó]],$B$6:B72,detalhe_carro2[[#This Row],[Numero Voltas]],$G$6:G72,1)</f>
        <v>75</v>
      </c>
      <c r="J73" s="20" t="str">
        <f>IF(OR(detalhe_carro2[[#This Row],[Ultima Chegada]]=0,detalhe_carro2[[#This Row],[Chegada]]=0),"",detalhe_carro2[[#This Row],[Hora Inicio]]-detalhe_carro2[[#This Row],[Ultima Chegada]])</f>
        <v/>
      </c>
      <c r="K73" s="20"/>
      <c r="L73" s="20"/>
      <c r="M73" s="20"/>
    </row>
    <row r="74" spans="2:13" x14ac:dyDescent="0.25">
      <c r="B74">
        <v>2</v>
      </c>
      <c r="C74" s="20" t="s">
        <v>29</v>
      </c>
      <c r="D74">
        <v>201</v>
      </c>
      <c r="E74">
        <v>229</v>
      </c>
      <c r="F74" s="20" t="s">
        <v>50</v>
      </c>
      <c r="G74" s="20">
        <f t="shared" si="2"/>
        <v>0</v>
      </c>
      <c r="H74" s="20">
        <f t="shared" si="3"/>
        <v>1</v>
      </c>
      <c r="I74" s="20">
        <f>_xlfn.MAXIFS($E$6:E73,$C$6:C73,detalhe_carro2[[#This Row],[Nó]],$B$6:B73,detalhe_carro2[[#This Row],[Numero Voltas]],$G$6:G73,1)</f>
        <v>60</v>
      </c>
      <c r="J74" s="20">
        <f>IF(OR(detalhe_carro2[[#This Row],[Ultima Chegada]]=0,detalhe_carro2[[#This Row],[Chegada]]=0),"",detalhe_carro2[[#This Row],[Hora Inicio]]-detalhe_carro2[[#This Row],[Ultima Chegada]])</f>
        <v>141</v>
      </c>
      <c r="K74" s="20"/>
      <c r="L74" s="20"/>
      <c r="M74" s="20"/>
    </row>
    <row r="75" spans="2:13" x14ac:dyDescent="0.25">
      <c r="B75">
        <v>2</v>
      </c>
      <c r="C75" s="20" t="s">
        <v>29</v>
      </c>
      <c r="D75">
        <v>229</v>
      </c>
      <c r="E75">
        <v>229</v>
      </c>
      <c r="F75" s="20" t="s">
        <v>51</v>
      </c>
      <c r="G75" s="20">
        <f t="shared" si="2"/>
        <v>1</v>
      </c>
      <c r="H75" s="20">
        <f t="shared" si="3"/>
        <v>0</v>
      </c>
      <c r="I75" s="20">
        <f>_xlfn.MAXIFS($E$6:E74,$C$6:C74,detalhe_carro2[[#This Row],[Nó]],$B$6:B74,detalhe_carro2[[#This Row],[Numero Voltas]],$G$6:G74,1)</f>
        <v>60</v>
      </c>
      <c r="J75" s="20" t="str">
        <f>IF(OR(detalhe_carro2[[#This Row],[Ultima Chegada]]=0,detalhe_carro2[[#This Row],[Chegada]]=0),"",detalhe_carro2[[#This Row],[Hora Inicio]]-detalhe_carro2[[#This Row],[Ultima Chegada]])</f>
        <v/>
      </c>
      <c r="K75" s="20"/>
      <c r="L75" s="20"/>
      <c r="M75" s="20"/>
    </row>
    <row r="76" spans="2:13" x14ac:dyDescent="0.25">
      <c r="B76">
        <v>2</v>
      </c>
      <c r="C76" s="20" t="s">
        <v>31</v>
      </c>
      <c r="D76">
        <v>233</v>
      </c>
      <c r="E76">
        <v>242</v>
      </c>
      <c r="F76" s="20" t="s">
        <v>50</v>
      </c>
      <c r="G76" s="20">
        <f t="shared" si="2"/>
        <v>0</v>
      </c>
      <c r="H76" s="20">
        <f t="shared" si="3"/>
        <v>1</v>
      </c>
      <c r="I76" s="20">
        <f>_xlfn.MAXIFS($E$6:E75,$C$6:C75,detalhe_carro2[[#This Row],[Nó]],$B$6:B75,detalhe_carro2[[#This Row],[Numero Voltas]],$G$6:G75,1)</f>
        <v>28</v>
      </c>
      <c r="J76" s="20">
        <f>IF(OR(detalhe_carro2[[#This Row],[Ultima Chegada]]=0,detalhe_carro2[[#This Row],[Chegada]]=0),"",detalhe_carro2[[#This Row],[Hora Inicio]]-detalhe_carro2[[#This Row],[Ultima Chegada]])</f>
        <v>205</v>
      </c>
      <c r="K76" s="20"/>
      <c r="L76" s="20"/>
      <c r="M76" s="20"/>
    </row>
    <row r="77" spans="2:13" x14ac:dyDescent="0.25">
      <c r="B77">
        <v>2</v>
      </c>
      <c r="C77" s="20" t="s">
        <v>31</v>
      </c>
      <c r="D77">
        <v>242</v>
      </c>
      <c r="E77">
        <v>242</v>
      </c>
      <c r="F77" s="20" t="s">
        <v>51</v>
      </c>
      <c r="G77" s="20">
        <f t="shared" si="2"/>
        <v>1</v>
      </c>
      <c r="H77" s="20">
        <f t="shared" si="3"/>
        <v>0</v>
      </c>
      <c r="I77" s="20">
        <f>_xlfn.MAXIFS($E$6:E76,$C$6:C76,detalhe_carro2[[#This Row],[Nó]],$B$6:B76,detalhe_carro2[[#This Row],[Numero Voltas]],$G$6:G76,1)</f>
        <v>28</v>
      </c>
      <c r="J77" s="20" t="str">
        <f>IF(OR(detalhe_carro2[[#This Row],[Ultima Chegada]]=0,detalhe_carro2[[#This Row],[Chegada]]=0),"",detalhe_carro2[[#This Row],[Hora Inicio]]-detalhe_carro2[[#This Row],[Ultima Chegada]])</f>
        <v/>
      </c>
      <c r="K77" s="20"/>
      <c r="L77" s="20"/>
      <c r="M77" s="20"/>
    </row>
    <row r="78" spans="2:13" x14ac:dyDescent="0.25">
      <c r="B78">
        <v>2</v>
      </c>
      <c r="C78" s="20" t="s">
        <v>33</v>
      </c>
      <c r="D78">
        <v>246</v>
      </c>
      <c r="E78">
        <v>246</v>
      </c>
      <c r="F78" s="20" t="s">
        <v>51</v>
      </c>
      <c r="G78" s="20">
        <f t="shared" si="2"/>
        <v>0</v>
      </c>
      <c r="H78" s="20">
        <f t="shared" si="3"/>
        <v>1</v>
      </c>
      <c r="I78" s="20">
        <f>_xlfn.MAXIFS($E$6:E77,$C$6:C77,detalhe_carro2[[#This Row],[Nó]],$B$6:B77,detalhe_carro2[[#This Row],[Numero Voltas]],$G$6:G77,1)</f>
        <v>15</v>
      </c>
      <c r="J78" s="20">
        <f>IF(OR(detalhe_carro2[[#This Row],[Ultima Chegada]]=0,detalhe_carro2[[#This Row],[Chegada]]=0),"",detalhe_carro2[[#This Row],[Hora Inicio]]-detalhe_carro2[[#This Row],[Ultima Chegada]])</f>
        <v>231</v>
      </c>
      <c r="K78" s="20"/>
      <c r="L78" s="20"/>
      <c r="M78" s="20"/>
    </row>
    <row r="79" spans="2:13" x14ac:dyDescent="0.25">
      <c r="B79">
        <v>2</v>
      </c>
      <c r="C79" s="20" t="s">
        <v>33</v>
      </c>
      <c r="D79">
        <v>248</v>
      </c>
      <c r="E79">
        <v>248</v>
      </c>
      <c r="F79" s="20" t="s">
        <v>51</v>
      </c>
      <c r="G79" s="20">
        <f t="shared" si="2"/>
        <v>1</v>
      </c>
      <c r="H79" s="20">
        <f t="shared" si="3"/>
        <v>0</v>
      </c>
      <c r="I79" s="20">
        <f>_xlfn.MAXIFS($E$6:E78,$C$6:C78,detalhe_carro2[[#This Row],[Nó]],$B$6:B78,detalhe_carro2[[#This Row],[Numero Voltas]],$G$6:G78,1)</f>
        <v>15</v>
      </c>
      <c r="J79" s="20" t="str">
        <f>IF(OR(detalhe_carro2[[#This Row],[Ultima Chegada]]=0,detalhe_carro2[[#This Row],[Chegada]]=0),"",detalhe_carro2[[#This Row],[Hora Inicio]]-detalhe_carro2[[#This Row],[Ultima Chegada]])</f>
        <v/>
      </c>
      <c r="K79" s="20"/>
      <c r="L79" s="20"/>
      <c r="M79" s="20"/>
    </row>
    <row r="80" spans="2:13" x14ac:dyDescent="0.25">
      <c r="B80">
        <v>2</v>
      </c>
      <c r="C80" s="20" t="s">
        <v>31</v>
      </c>
      <c r="D80">
        <v>252</v>
      </c>
      <c r="E80">
        <v>252</v>
      </c>
      <c r="F80" s="20" t="s">
        <v>51</v>
      </c>
      <c r="G80" s="20">
        <f t="shared" si="2"/>
        <v>1</v>
      </c>
      <c r="H80" s="20">
        <f t="shared" si="3"/>
        <v>1</v>
      </c>
      <c r="I80" s="20">
        <f>_xlfn.MAXIFS($E$6:E79,$C$6:C79,detalhe_carro2[[#This Row],[Nó]],$B$6:B79,detalhe_carro2[[#This Row],[Numero Voltas]],$G$6:G79,1)</f>
        <v>242</v>
      </c>
      <c r="J80" s="20">
        <f>IF(OR(detalhe_carro2[[#This Row],[Ultima Chegada]]=0,detalhe_carro2[[#This Row],[Chegada]]=0),"",detalhe_carro2[[#This Row],[Hora Inicio]]-detalhe_carro2[[#This Row],[Ultima Chegada]])</f>
        <v>10</v>
      </c>
      <c r="K80" s="20"/>
      <c r="L80" s="20"/>
      <c r="M80" s="20"/>
    </row>
    <row r="81" spans="2:13" x14ac:dyDescent="0.25">
      <c r="B81">
        <v>2</v>
      </c>
      <c r="C81" s="20" t="s">
        <v>29</v>
      </c>
      <c r="D81">
        <v>256</v>
      </c>
      <c r="E81">
        <v>256</v>
      </c>
      <c r="F81" s="20" t="s">
        <v>51</v>
      </c>
      <c r="G81" s="20">
        <f t="shared" si="2"/>
        <v>1</v>
      </c>
      <c r="H81" s="20">
        <f t="shared" si="3"/>
        <v>1</v>
      </c>
      <c r="I81" s="20">
        <f>_xlfn.MAXIFS($E$6:E80,$C$6:C80,detalhe_carro2[[#This Row],[Nó]],$B$6:B80,detalhe_carro2[[#This Row],[Numero Voltas]],$G$6:G80,1)</f>
        <v>229</v>
      </c>
      <c r="J81" s="20">
        <f>IF(OR(detalhe_carro2[[#This Row],[Ultima Chegada]]=0,detalhe_carro2[[#This Row],[Chegada]]=0),"",detalhe_carro2[[#This Row],[Hora Inicio]]-detalhe_carro2[[#This Row],[Ultima Chegada]])</f>
        <v>27</v>
      </c>
      <c r="K81" s="20"/>
      <c r="L81" s="20"/>
      <c r="M81" s="20"/>
    </row>
    <row r="82" spans="2:13" x14ac:dyDescent="0.25">
      <c r="B82">
        <v>2</v>
      </c>
      <c r="C82" s="20" t="s">
        <v>27</v>
      </c>
      <c r="D82">
        <v>258</v>
      </c>
      <c r="E82">
        <v>258</v>
      </c>
      <c r="F82" s="20" t="s">
        <v>51</v>
      </c>
      <c r="G82" s="20">
        <f t="shared" si="2"/>
        <v>1</v>
      </c>
      <c r="H82" s="20">
        <f t="shared" si="3"/>
        <v>1</v>
      </c>
      <c r="I82" s="20">
        <f>_xlfn.MAXIFS($E$6:E81,$C$6:C81,detalhe_carro2[[#This Row],[Nó]],$B$6:B81,detalhe_carro2[[#This Row],[Numero Voltas]],$G$6:G81,1)</f>
        <v>199</v>
      </c>
      <c r="J82" s="20">
        <f>IF(OR(detalhe_carro2[[#This Row],[Ultima Chegada]]=0,detalhe_carro2[[#This Row],[Chegada]]=0),"",detalhe_carro2[[#This Row],[Hora Inicio]]-detalhe_carro2[[#This Row],[Ultima Chegada]])</f>
        <v>59</v>
      </c>
      <c r="K82" s="20"/>
      <c r="L82" s="20"/>
      <c r="M82" s="20"/>
    </row>
    <row r="83" spans="2:13" x14ac:dyDescent="0.25">
      <c r="B83">
        <v>2</v>
      </c>
      <c r="C83" s="20" t="s">
        <v>26</v>
      </c>
      <c r="D83">
        <v>260</v>
      </c>
      <c r="E83">
        <v>260</v>
      </c>
      <c r="F83" s="20" t="s">
        <v>51</v>
      </c>
      <c r="G83" s="20">
        <f t="shared" si="2"/>
        <v>1</v>
      </c>
      <c r="H83" s="20">
        <f t="shared" si="3"/>
        <v>1</v>
      </c>
      <c r="I83" s="20">
        <f>_xlfn.MAXIFS($E$6:E82,$C$6:C82,detalhe_carro2[[#This Row],[Nó]],$B$6:B82,detalhe_carro2[[#This Row],[Numero Voltas]],$G$6:G82,1)</f>
        <v>184</v>
      </c>
      <c r="J83" s="20">
        <f>IF(OR(detalhe_carro2[[#This Row],[Ultima Chegada]]=0,detalhe_carro2[[#This Row],[Chegada]]=0),"",detalhe_carro2[[#This Row],[Hora Inicio]]-detalhe_carro2[[#This Row],[Ultima Chegada]])</f>
        <v>76</v>
      </c>
      <c r="K83" s="20"/>
      <c r="L83" s="20"/>
      <c r="M83" s="20"/>
    </row>
    <row r="84" spans="2:13" x14ac:dyDescent="0.25">
      <c r="B84">
        <v>2</v>
      </c>
      <c r="C84" s="20" t="s">
        <v>24</v>
      </c>
      <c r="D84">
        <v>262</v>
      </c>
      <c r="E84">
        <v>262</v>
      </c>
      <c r="F84" s="20" t="s">
        <v>51</v>
      </c>
      <c r="G84" s="20">
        <f t="shared" si="2"/>
        <v>1</v>
      </c>
      <c r="H84" s="20">
        <f t="shared" si="3"/>
        <v>1</v>
      </c>
      <c r="I84" s="20">
        <f>_xlfn.MAXIFS($E$6:E83,$C$6:C83,detalhe_carro2[[#This Row],[Nó]],$B$6:B83,detalhe_carro2[[#This Row],[Numero Voltas]],$G$6:G83,1)</f>
        <v>172</v>
      </c>
      <c r="J84" s="20">
        <f>IF(OR(detalhe_carro2[[#This Row],[Ultima Chegada]]=0,detalhe_carro2[[#This Row],[Chegada]]=0),"",detalhe_carro2[[#This Row],[Hora Inicio]]-detalhe_carro2[[#This Row],[Ultima Chegada]])</f>
        <v>90</v>
      </c>
      <c r="K84" s="20"/>
      <c r="L84" s="20"/>
      <c r="M84" s="20"/>
    </row>
    <row r="85" spans="2:13" x14ac:dyDescent="0.25">
      <c r="B85">
        <v>2</v>
      </c>
      <c r="C85" s="20" t="s">
        <v>22</v>
      </c>
      <c r="D85">
        <v>264</v>
      </c>
      <c r="E85">
        <v>264</v>
      </c>
      <c r="F85" s="20" t="s">
        <v>51</v>
      </c>
      <c r="G85" s="20">
        <f t="shared" si="2"/>
        <v>1</v>
      </c>
      <c r="H85" s="20">
        <f t="shared" si="3"/>
        <v>1</v>
      </c>
      <c r="I85" s="20">
        <f>_xlfn.MAXIFS($E$6:E84,$C$6:C84,detalhe_carro2[[#This Row],[Nó]],$B$6:B84,detalhe_carro2[[#This Row],[Numero Voltas]],$G$6:G84,1)</f>
        <v>156</v>
      </c>
      <c r="J85" s="20">
        <f>IF(OR(detalhe_carro2[[#This Row],[Ultima Chegada]]=0,detalhe_carro2[[#This Row],[Chegada]]=0),"",detalhe_carro2[[#This Row],[Hora Inicio]]-detalhe_carro2[[#This Row],[Ultima Chegada]])</f>
        <v>108</v>
      </c>
      <c r="K85" s="20"/>
      <c r="L85" s="20"/>
      <c r="M85" s="20"/>
    </row>
    <row r="86" spans="2:13" x14ac:dyDescent="0.25">
      <c r="B86">
        <v>2</v>
      </c>
      <c r="C86" s="20" t="s">
        <v>20</v>
      </c>
      <c r="D86">
        <v>266</v>
      </c>
      <c r="E86">
        <v>266</v>
      </c>
      <c r="F86" s="20" t="s">
        <v>51</v>
      </c>
      <c r="G86" s="20">
        <f t="shared" si="2"/>
        <v>0</v>
      </c>
      <c r="H86" s="20">
        <f t="shared" si="3"/>
        <v>1</v>
      </c>
      <c r="I86" s="20">
        <f>_xlfn.MAXIFS($E$6:E85,$C$6:C85,detalhe_carro2[[#This Row],[Nó]],$B$6:B85,detalhe_carro2[[#This Row],[Numero Voltas]],$G$6:G85,1)</f>
        <v>149</v>
      </c>
      <c r="J86" s="20">
        <f>IF(OR(detalhe_carro2[[#This Row],[Ultima Chegada]]=0,detalhe_carro2[[#This Row],[Chegada]]=0),"",detalhe_carro2[[#This Row],[Hora Inicio]]-detalhe_carro2[[#This Row],[Ultima Chegada]])</f>
        <v>117</v>
      </c>
      <c r="K86" s="20"/>
      <c r="L86" s="20"/>
      <c r="M86" s="20"/>
    </row>
    <row r="87" spans="2:13" x14ac:dyDescent="0.25">
      <c r="B87">
        <v>2</v>
      </c>
      <c r="C87" s="20" t="s">
        <v>20</v>
      </c>
      <c r="D87">
        <v>268</v>
      </c>
      <c r="E87">
        <v>268</v>
      </c>
      <c r="F87" s="20" t="s">
        <v>51</v>
      </c>
      <c r="G87" s="20">
        <f t="shared" si="2"/>
        <v>1</v>
      </c>
      <c r="H87" s="20">
        <f t="shared" si="3"/>
        <v>0</v>
      </c>
      <c r="I87" s="20">
        <f>_xlfn.MAXIFS($E$6:E86,$C$6:C86,detalhe_carro2[[#This Row],[Nó]],$B$6:B86,detalhe_carro2[[#This Row],[Numero Voltas]],$G$6:G86,1)</f>
        <v>149</v>
      </c>
      <c r="J87" s="20" t="str">
        <f>IF(OR(detalhe_carro2[[#This Row],[Ultima Chegada]]=0,detalhe_carro2[[#This Row],[Chegada]]=0),"",detalhe_carro2[[#This Row],[Hora Inicio]]-detalhe_carro2[[#This Row],[Ultima Chegada]])</f>
        <v/>
      </c>
      <c r="K87" s="20"/>
      <c r="L87" s="20"/>
      <c r="M87" s="20"/>
    </row>
    <row r="88" spans="2:13" x14ac:dyDescent="0.25">
      <c r="B88">
        <v>2</v>
      </c>
      <c r="C88" s="20" t="s">
        <v>22</v>
      </c>
      <c r="D88">
        <v>270</v>
      </c>
      <c r="E88">
        <v>270</v>
      </c>
      <c r="F88" s="20" t="s">
        <v>51</v>
      </c>
      <c r="G88" s="20">
        <f t="shared" si="2"/>
        <v>1</v>
      </c>
      <c r="H88" s="20">
        <f t="shared" si="3"/>
        <v>1</v>
      </c>
      <c r="I88" s="20">
        <f>_xlfn.MAXIFS($E$6:E87,$C$6:C87,detalhe_carro2[[#This Row],[Nó]],$B$6:B87,detalhe_carro2[[#This Row],[Numero Voltas]],$G$6:G87,1)</f>
        <v>264</v>
      </c>
      <c r="J88" s="20">
        <f>IF(OR(detalhe_carro2[[#This Row],[Ultima Chegada]]=0,detalhe_carro2[[#This Row],[Chegada]]=0),"",detalhe_carro2[[#This Row],[Hora Inicio]]-detalhe_carro2[[#This Row],[Ultima Chegada]])</f>
        <v>6</v>
      </c>
      <c r="K88" s="20"/>
      <c r="L88" s="20"/>
      <c r="M88" s="20"/>
    </row>
    <row r="89" spans="2:13" x14ac:dyDescent="0.25">
      <c r="B89">
        <v>2</v>
      </c>
      <c r="C89" s="20" t="s">
        <v>24</v>
      </c>
      <c r="D89">
        <v>272</v>
      </c>
      <c r="E89">
        <v>272</v>
      </c>
      <c r="F89" s="20" t="s">
        <v>51</v>
      </c>
      <c r="G89" s="20">
        <f t="shared" si="2"/>
        <v>1</v>
      </c>
      <c r="H89" s="20">
        <f t="shared" si="3"/>
        <v>1</v>
      </c>
      <c r="I89" s="20">
        <f>_xlfn.MAXIFS($E$6:E88,$C$6:C88,detalhe_carro2[[#This Row],[Nó]],$B$6:B88,detalhe_carro2[[#This Row],[Numero Voltas]],$G$6:G88,1)</f>
        <v>262</v>
      </c>
      <c r="J89" s="20">
        <f>IF(OR(detalhe_carro2[[#This Row],[Ultima Chegada]]=0,detalhe_carro2[[#This Row],[Chegada]]=0),"",detalhe_carro2[[#This Row],[Hora Inicio]]-detalhe_carro2[[#This Row],[Ultima Chegada]])</f>
        <v>10</v>
      </c>
      <c r="K89" s="20"/>
      <c r="L89" s="20"/>
      <c r="M89" s="20"/>
    </row>
    <row r="90" spans="2:13" x14ac:dyDescent="0.25">
      <c r="B90">
        <v>2</v>
      </c>
      <c r="C90" s="20" t="s">
        <v>26</v>
      </c>
      <c r="D90">
        <v>274</v>
      </c>
      <c r="E90">
        <v>274</v>
      </c>
      <c r="F90" s="20" t="s">
        <v>51</v>
      </c>
      <c r="G90" s="20">
        <f t="shared" si="2"/>
        <v>1</v>
      </c>
      <c r="H90" s="20">
        <f t="shared" si="3"/>
        <v>1</v>
      </c>
      <c r="I90" s="20">
        <f>_xlfn.MAXIFS($E$6:E89,$C$6:C89,detalhe_carro2[[#This Row],[Nó]],$B$6:B89,detalhe_carro2[[#This Row],[Numero Voltas]],$G$6:G89,1)</f>
        <v>260</v>
      </c>
      <c r="J90" s="20">
        <f>IF(OR(detalhe_carro2[[#This Row],[Ultima Chegada]]=0,detalhe_carro2[[#This Row],[Chegada]]=0),"",detalhe_carro2[[#This Row],[Hora Inicio]]-detalhe_carro2[[#This Row],[Ultima Chegada]])</f>
        <v>14</v>
      </c>
      <c r="K90" s="20"/>
      <c r="L90" s="20"/>
      <c r="M90" s="20"/>
    </row>
    <row r="91" spans="2:13" x14ac:dyDescent="0.25">
      <c r="B91">
        <v>2</v>
      </c>
      <c r="C91" s="20" t="s">
        <v>27</v>
      </c>
      <c r="D91">
        <v>276</v>
      </c>
      <c r="E91">
        <v>276</v>
      </c>
      <c r="F91" s="20" t="s">
        <v>51</v>
      </c>
      <c r="G91" s="20">
        <f t="shared" si="2"/>
        <v>1</v>
      </c>
      <c r="H91" s="20">
        <f t="shared" si="3"/>
        <v>1</v>
      </c>
      <c r="I91" s="20">
        <f>_xlfn.MAXIFS($E$6:E90,$C$6:C90,detalhe_carro2[[#This Row],[Nó]],$B$6:B90,detalhe_carro2[[#This Row],[Numero Voltas]],$G$6:G90,1)</f>
        <v>258</v>
      </c>
      <c r="J91" s="20">
        <f>IF(OR(detalhe_carro2[[#This Row],[Ultima Chegada]]=0,detalhe_carro2[[#This Row],[Chegada]]=0),"",detalhe_carro2[[#This Row],[Hora Inicio]]-detalhe_carro2[[#This Row],[Ultima Chegada]])</f>
        <v>18</v>
      </c>
      <c r="K91" s="20"/>
      <c r="L91" s="20"/>
      <c r="M91" s="20"/>
    </row>
    <row r="92" spans="2:13" x14ac:dyDescent="0.25">
      <c r="B92">
        <v>2</v>
      </c>
      <c r="C92" s="20" t="s">
        <v>29</v>
      </c>
      <c r="D92">
        <v>278</v>
      </c>
      <c r="E92">
        <v>278</v>
      </c>
      <c r="F92" s="20" t="s">
        <v>51</v>
      </c>
      <c r="G92" s="20">
        <f t="shared" si="2"/>
        <v>1</v>
      </c>
      <c r="H92" s="20">
        <f t="shared" si="3"/>
        <v>1</v>
      </c>
      <c r="I92" s="20">
        <f>_xlfn.MAXIFS($E$6:E91,$C$6:C91,detalhe_carro2[[#This Row],[Nó]],$B$6:B91,detalhe_carro2[[#This Row],[Numero Voltas]],$G$6:G91,1)</f>
        <v>256</v>
      </c>
      <c r="J92" s="20">
        <f>IF(OR(detalhe_carro2[[#This Row],[Ultima Chegada]]=0,detalhe_carro2[[#This Row],[Chegada]]=0),"",detalhe_carro2[[#This Row],[Hora Inicio]]-detalhe_carro2[[#This Row],[Ultima Chegada]])</f>
        <v>22</v>
      </c>
      <c r="K92" s="20"/>
      <c r="L92" s="20"/>
      <c r="M92" s="20"/>
    </row>
    <row r="93" spans="2:13" x14ac:dyDescent="0.25">
      <c r="B93">
        <v>2</v>
      </c>
      <c r="C93" s="20" t="s">
        <v>31</v>
      </c>
      <c r="D93">
        <v>282</v>
      </c>
      <c r="E93">
        <v>282</v>
      </c>
      <c r="F93" s="20" t="s">
        <v>51</v>
      </c>
      <c r="G93" s="20">
        <f t="shared" si="2"/>
        <v>1</v>
      </c>
      <c r="H93" s="20">
        <f t="shared" si="3"/>
        <v>1</v>
      </c>
      <c r="I93" s="20">
        <f>_xlfn.MAXIFS($E$6:E92,$C$6:C92,detalhe_carro2[[#This Row],[Nó]],$B$6:B92,detalhe_carro2[[#This Row],[Numero Voltas]],$G$6:G92,1)</f>
        <v>252</v>
      </c>
      <c r="J93" s="20">
        <f>IF(OR(detalhe_carro2[[#This Row],[Ultima Chegada]]=0,detalhe_carro2[[#This Row],[Chegada]]=0),"",detalhe_carro2[[#This Row],[Hora Inicio]]-detalhe_carro2[[#This Row],[Ultima Chegada]])</f>
        <v>30</v>
      </c>
      <c r="K93" s="20"/>
      <c r="L93" s="20"/>
      <c r="M93" s="20"/>
    </row>
    <row r="94" spans="2:13" x14ac:dyDescent="0.25">
      <c r="B94">
        <v>2</v>
      </c>
      <c r="C94" s="20" t="s">
        <v>33</v>
      </c>
      <c r="D94">
        <v>286</v>
      </c>
      <c r="E94">
        <v>318</v>
      </c>
      <c r="F94" s="20" t="s">
        <v>52</v>
      </c>
      <c r="G94" s="20">
        <f t="shared" si="2"/>
        <v>0</v>
      </c>
      <c r="H94" s="20">
        <f t="shared" si="3"/>
        <v>1</v>
      </c>
      <c r="I94" s="20">
        <f>_xlfn.MAXIFS($E$6:E93,$C$6:C93,detalhe_carro2[[#This Row],[Nó]],$B$6:B93,detalhe_carro2[[#This Row],[Numero Voltas]],$G$6:G93,1)</f>
        <v>248</v>
      </c>
      <c r="J94" s="20">
        <f>IF(OR(detalhe_carro2[[#This Row],[Ultima Chegada]]=0,detalhe_carro2[[#This Row],[Chegada]]=0),"",detalhe_carro2[[#This Row],[Hora Inicio]]-detalhe_carro2[[#This Row],[Ultima Chegada]])</f>
        <v>38</v>
      </c>
      <c r="K94" s="20"/>
      <c r="L94" s="20"/>
      <c r="M94" s="20"/>
    </row>
    <row r="95" spans="2:13" x14ac:dyDescent="0.25">
      <c r="B95">
        <v>2</v>
      </c>
      <c r="C95" s="20" t="s">
        <v>33</v>
      </c>
      <c r="D95">
        <v>318</v>
      </c>
      <c r="E95">
        <v>318</v>
      </c>
      <c r="F95" s="20" t="s">
        <v>51</v>
      </c>
      <c r="G95" s="20">
        <f t="shared" si="2"/>
        <v>0</v>
      </c>
      <c r="H95" s="20">
        <f t="shared" si="3"/>
        <v>0</v>
      </c>
      <c r="I95" s="20">
        <f>_xlfn.MAXIFS($E$6:E94,$C$6:C94,detalhe_carro2[[#This Row],[Nó]],$B$6:B94,detalhe_carro2[[#This Row],[Numero Voltas]],$G$6:G94,1)</f>
        <v>248</v>
      </c>
      <c r="J95" s="20" t="str">
        <f>IF(OR(detalhe_carro2[[#This Row],[Ultima Chegada]]=0,detalhe_carro2[[#This Row],[Chegada]]=0),"",detalhe_carro2[[#This Row],[Hora Inicio]]-detalhe_carro2[[#This Row],[Ultima Chegada]])</f>
        <v/>
      </c>
      <c r="K95" s="20"/>
      <c r="L95" s="20"/>
      <c r="M95" s="20"/>
    </row>
    <row r="96" spans="2:13" x14ac:dyDescent="0.25">
      <c r="B96">
        <v>2</v>
      </c>
      <c r="C96" s="20" t="s">
        <v>33</v>
      </c>
      <c r="D96">
        <v>380</v>
      </c>
      <c r="E96">
        <v>413</v>
      </c>
      <c r="F96" s="20" t="s">
        <v>52</v>
      </c>
      <c r="G96" s="20">
        <f t="shared" si="2"/>
        <v>0</v>
      </c>
      <c r="H96" s="20">
        <f t="shared" si="3"/>
        <v>0</v>
      </c>
      <c r="I96" s="20">
        <f>_xlfn.MAXIFS($E$6:E95,$C$6:C95,detalhe_carro2[[#This Row],[Nó]],$B$6:B95,detalhe_carro2[[#This Row],[Numero Voltas]],$G$6:G95,1)</f>
        <v>248</v>
      </c>
      <c r="J96" s="20" t="str">
        <f>IF(OR(detalhe_carro2[[#This Row],[Ultima Chegada]]=0,detalhe_carro2[[#This Row],[Chegada]]=0),"",detalhe_carro2[[#This Row],[Hora Inicio]]-detalhe_carro2[[#This Row],[Ultima Chegada]])</f>
        <v/>
      </c>
      <c r="K96" s="20"/>
      <c r="L96" s="20"/>
      <c r="M96" s="20"/>
    </row>
    <row r="97" spans="2:13" x14ac:dyDescent="0.25">
      <c r="B97">
        <v>2</v>
      </c>
      <c r="C97" s="20" t="s">
        <v>33</v>
      </c>
      <c r="D97">
        <v>353</v>
      </c>
      <c r="E97">
        <v>413</v>
      </c>
      <c r="F97" s="20" t="s">
        <v>54</v>
      </c>
      <c r="G97" s="20">
        <f t="shared" si="2"/>
        <v>0</v>
      </c>
      <c r="H97" s="20">
        <f t="shared" si="3"/>
        <v>0</v>
      </c>
      <c r="I97" s="20">
        <f>_xlfn.MAXIFS($E$6:E96,$C$6:C96,detalhe_carro2[[#This Row],[Nó]],$B$6:B96,detalhe_carro2[[#This Row],[Numero Voltas]],$G$6:G96,1)</f>
        <v>248</v>
      </c>
      <c r="J97" s="20" t="str">
        <f>IF(OR(detalhe_carro2[[#This Row],[Ultima Chegada]]=0,detalhe_carro2[[#This Row],[Chegada]]=0),"",detalhe_carro2[[#This Row],[Hora Inicio]]-detalhe_carro2[[#This Row],[Ultima Chegada]])</f>
        <v/>
      </c>
      <c r="K97" s="20"/>
      <c r="L97" s="20"/>
      <c r="M97" s="20"/>
    </row>
    <row r="98" spans="2:13" x14ac:dyDescent="0.25">
      <c r="B98">
        <v>2</v>
      </c>
      <c r="C98" s="20" t="s">
        <v>33</v>
      </c>
      <c r="D98">
        <v>413</v>
      </c>
      <c r="E98">
        <v>446</v>
      </c>
      <c r="F98" s="20" t="s">
        <v>52</v>
      </c>
      <c r="G98" s="20">
        <f t="shared" si="2"/>
        <v>0</v>
      </c>
      <c r="H98" s="20">
        <f t="shared" si="3"/>
        <v>0</v>
      </c>
      <c r="I98" s="20">
        <f>_xlfn.MAXIFS($E$6:E97,$C$6:C97,detalhe_carro2[[#This Row],[Nó]],$B$6:B97,detalhe_carro2[[#This Row],[Numero Voltas]],$G$6:G97,1)</f>
        <v>248</v>
      </c>
      <c r="J98" s="20" t="str">
        <f>IF(OR(detalhe_carro2[[#This Row],[Ultima Chegada]]=0,detalhe_carro2[[#This Row],[Chegada]]=0),"",detalhe_carro2[[#This Row],[Hora Inicio]]-detalhe_carro2[[#This Row],[Ultima Chegada]])</f>
        <v/>
      </c>
      <c r="K98" s="20"/>
      <c r="L98" s="20"/>
      <c r="M98" s="20"/>
    </row>
    <row r="99" spans="2:13" x14ac:dyDescent="0.25">
      <c r="B99">
        <v>2</v>
      </c>
      <c r="C99" s="20" t="s">
        <v>33</v>
      </c>
      <c r="D99">
        <v>446</v>
      </c>
      <c r="E99">
        <v>446</v>
      </c>
      <c r="F99" s="20" t="s">
        <v>51</v>
      </c>
      <c r="G99" s="20">
        <f t="shared" si="2"/>
        <v>0</v>
      </c>
      <c r="H99" s="20">
        <f t="shared" si="3"/>
        <v>0</v>
      </c>
      <c r="I99" s="20">
        <f>_xlfn.MAXIFS($E$6:E98,$C$6:C98,detalhe_carro2[[#This Row],[Nó]],$B$6:B98,detalhe_carro2[[#This Row],[Numero Voltas]],$G$6:G98,1)</f>
        <v>248</v>
      </c>
      <c r="J99" s="20" t="str">
        <f>IF(OR(detalhe_carro2[[#This Row],[Ultima Chegada]]=0,detalhe_carro2[[#This Row],[Chegada]]=0),"",detalhe_carro2[[#This Row],[Hora Inicio]]-detalhe_carro2[[#This Row],[Ultima Chegada]])</f>
        <v/>
      </c>
      <c r="K99" s="20"/>
      <c r="L99" s="20"/>
      <c r="M99" s="20"/>
    </row>
    <row r="100" spans="2:13" x14ac:dyDescent="0.25">
      <c r="B100">
        <v>2</v>
      </c>
      <c r="C100" s="20" t="s">
        <v>33</v>
      </c>
      <c r="D100">
        <v>448</v>
      </c>
      <c r="E100">
        <v>480</v>
      </c>
      <c r="F100" s="20" t="s">
        <v>52</v>
      </c>
      <c r="G100" s="20">
        <f t="shared" si="2"/>
        <v>0</v>
      </c>
      <c r="H100" s="20">
        <f t="shared" si="3"/>
        <v>0</v>
      </c>
      <c r="I100" s="20">
        <f>_xlfn.MAXIFS($E$6:E99,$C$6:C99,detalhe_carro2[[#This Row],[Nó]],$B$6:B99,detalhe_carro2[[#This Row],[Numero Voltas]],$G$6:G99,1)</f>
        <v>248</v>
      </c>
      <c r="J100" s="20" t="str">
        <f>IF(OR(detalhe_carro2[[#This Row],[Ultima Chegada]]=0,detalhe_carro2[[#This Row],[Chegada]]=0),"",detalhe_carro2[[#This Row],[Hora Inicio]]-detalhe_carro2[[#This Row],[Ultima Chegada]])</f>
        <v/>
      </c>
      <c r="K100" s="20"/>
      <c r="L100" s="20"/>
      <c r="M100" s="20"/>
    </row>
    <row r="101" spans="2:13" x14ac:dyDescent="0.25">
      <c r="B101">
        <v>2</v>
      </c>
      <c r="C101" s="20" t="s">
        <v>33</v>
      </c>
      <c r="D101">
        <v>480</v>
      </c>
      <c r="E101">
        <v>480</v>
      </c>
      <c r="F101" s="20" t="s">
        <v>51</v>
      </c>
      <c r="G101" s="20">
        <f t="shared" si="2"/>
        <v>0</v>
      </c>
      <c r="H101" s="20">
        <f t="shared" si="3"/>
        <v>0</v>
      </c>
      <c r="I101" s="20">
        <f>_xlfn.MAXIFS($E$6:E100,$C$6:C100,detalhe_carro2[[#This Row],[Nó]],$B$6:B100,detalhe_carro2[[#This Row],[Numero Voltas]],$G$6:G100,1)</f>
        <v>248</v>
      </c>
      <c r="J101" s="20" t="str">
        <f>IF(OR(detalhe_carro2[[#This Row],[Ultima Chegada]]=0,detalhe_carro2[[#This Row],[Chegada]]=0),"",detalhe_carro2[[#This Row],[Hora Inicio]]-detalhe_carro2[[#This Row],[Ultima Chegada]])</f>
        <v/>
      </c>
      <c r="K101" s="20"/>
      <c r="L101" s="20"/>
      <c r="M101" s="20"/>
    </row>
    <row r="102" spans="2:13" x14ac:dyDescent="0.25">
      <c r="B102">
        <v>3</v>
      </c>
      <c r="C102" s="20" t="s">
        <v>33</v>
      </c>
      <c r="D102">
        <v>0</v>
      </c>
      <c r="E102">
        <v>0</v>
      </c>
      <c r="F102" s="20" t="s">
        <v>49</v>
      </c>
      <c r="G102" s="20">
        <f t="shared" si="2"/>
        <v>0</v>
      </c>
      <c r="H102" s="20">
        <f t="shared" si="3"/>
        <v>0</v>
      </c>
      <c r="I102" s="20">
        <f>_xlfn.MAXIFS($E$6:E101,$C$6:C101,detalhe_carro2[[#This Row],[Nó]],$B$6:B101,detalhe_carro2[[#This Row],[Numero Voltas]],$G$6:G101,1)</f>
        <v>0</v>
      </c>
      <c r="J102" s="20" t="str">
        <f>IF(OR(detalhe_carro2[[#This Row],[Ultima Chegada]]=0,detalhe_carro2[[#This Row],[Chegada]]=0),"",detalhe_carro2[[#This Row],[Hora Inicio]]-detalhe_carro2[[#This Row],[Ultima Chegada]])</f>
        <v/>
      </c>
      <c r="K102" s="20"/>
      <c r="L102" s="20"/>
      <c r="M102" s="20"/>
    </row>
    <row r="103" spans="2:13" x14ac:dyDescent="0.25">
      <c r="B103">
        <v>3</v>
      </c>
      <c r="C103" s="20" t="s">
        <v>33</v>
      </c>
      <c r="D103">
        <v>2</v>
      </c>
      <c r="E103">
        <v>15</v>
      </c>
      <c r="F103" s="20" t="s">
        <v>50</v>
      </c>
      <c r="G103" s="20">
        <f t="shared" si="2"/>
        <v>0</v>
      </c>
      <c r="H103" s="20">
        <f t="shared" si="3"/>
        <v>0</v>
      </c>
      <c r="I103" s="20">
        <f>_xlfn.MAXIFS($E$6:E102,$C$6:C102,detalhe_carro2[[#This Row],[Nó]],$B$6:B102,detalhe_carro2[[#This Row],[Numero Voltas]],$G$6:G102,1)</f>
        <v>0</v>
      </c>
      <c r="J103" s="20" t="str">
        <f>IF(OR(detalhe_carro2[[#This Row],[Ultima Chegada]]=0,detalhe_carro2[[#This Row],[Chegada]]=0),"",detalhe_carro2[[#This Row],[Hora Inicio]]-detalhe_carro2[[#This Row],[Ultima Chegada]])</f>
        <v/>
      </c>
      <c r="K103" s="20"/>
      <c r="L103" s="20"/>
      <c r="M103" s="20"/>
    </row>
    <row r="104" spans="2:13" x14ac:dyDescent="0.25">
      <c r="B104">
        <v>3</v>
      </c>
      <c r="C104" s="20" t="s">
        <v>33</v>
      </c>
      <c r="D104">
        <v>15</v>
      </c>
      <c r="E104">
        <v>15</v>
      </c>
      <c r="F104" s="20" t="s">
        <v>51</v>
      </c>
      <c r="G104" s="20">
        <f t="shared" si="2"/>
        <v>1</v>
      </c>
      <c r="H104" s="20">
        <f t="shared" si="3"/>
        <v>0</v>
      </c>
      <c r="I104" s="20">
        <f>_xlfn.MAXIFS($E$6:E103,$C$6:C103,detalhe_carro2[[#This Row],[Nó]],$B$6:B103,detalhe_carro2[[#This Row],[Numero Voltas]],$G$6:G103,1)</f>
        <v>0</v>
      </c>
      <c r="J104" s="20" t="str">
        <f>IF(OR(detalhe_carro2[[#This Row],[Ultima Chegada]]=0,detalhe_carro2[[#This Row],[Chegada]]=0),"",detalhe_carro2[[#This Row],[Hora Inicio]]-detalhe_carro2[[#This Row],[Ultima Chegada]])</f>
        <v/>
      </c>
      <c r="K104" s="20"/>
      <c r="L104" s="20"/>
      <c r="M104" s="20"/>
    </row>
    <row r="105" spans="2:13" x14ac:dyDescent="0.25">
      <c r="B105">
        <v>3</v>
      </c>
      <c r="C105" s="20" t="s">
        <v>31</v>
      </c>
      <c r="D105">
        <v>19</v>
      </c>
      <c r="E105">
        <v>28</v>
      </c>
      <c r="F105" s="20" t="s">
        <v>50</v>
      </c>
      <c r="G105" s="20">
        <f t="shared" si="2"/>
        <v>0</v>
      </c>
      <c r="H105" s="20">
        <f t="shared" si="3"/>
        <v>1</v>
      </c>
      <c r="I105" s="20">
        <f>_xlfn.MAXIFS($E$6:E104,$C$6:C104,detalhe_carro2[[#This Row],[Nó]],$B$6:B104,detalhe_carro2[[#This Row],[Numero Voltas]],$G$6:G104,1)</f>
        <v>0</v>
      </c>
      <c r="J105" s="20" t="str">
        <f>IF(OR(detalhe_carro2[[#This Row],[Ultima Chegada]]=0,detalhe_carro2[[#This Row],[Chegada]]=0),"",detalhe_carro2[[#This Row],[Hora Inicio]]-detalhe_carro2[[#This Row],[Ultima Chegada]])</f>
        <v/>
      </c>
      <c r="K105" s="20"/>
      <c r="L105" s="20"/>
      <c r="M105" s="20"/>
    </row>
    <row r="106" spans="2:13" x14ac:dyDescent="0.25">
      <c r="B106">
        <v>3</v>
      </c>
      <c r="C106" s="20" t="s">
        <v>31</v>
      </c>
      <c r="D106">
        <v>28</v>
      </c>
      <c r="E106">
        <v>28</v>
      </c>
      <c r="F106" s="20" t="s">
        <v>51</v>
      </c>
      <c r="G106" s="20">
        <f t="shared" si="2"/>
        <v>1</v>
      </c>
      <c r="H106" s="20">
        <f t="shared" si="3"/>
        <v>0</v>
      </c>
      <c r="I106" s="20">
        <f>_xlfn.MAXIFS($E$6:E105,$C$6:C105,detalhe_carro2[[#This Row],[Nó]],$B$6:B105,detalhe_carro2[[#This Row],[Numero Voltas]],$G$6:G105,1)</f>
        <v>0</v>
      </c>
      <c r="J106" s="20" t="str">
        <f>IF(OR(detalhe_carro2[[#This Row],[Ultima Chegada]]=0,detalhe_carro2[[#This Row],[Chegada]]=0),"",detalhe_carro2[[#This Row],[Hora Inicio]]-detalhe_carro2[[#This Row],[Ultima Chegada]])</f>
        <v/>
      </c>
      <c r="K106" s="20"/>
      <c r="L106" s="20"/>
      <c r="M106" s="20"/>
    </row>
    <row r="107" spans="2:13" x14ac:dyDescent="0.25">
      <c r="B107">
        <v>3</v>
      </c>
      <c r="C107" s="20" t="s">
        <v>29</v>
      </c>
      <c r="D107">
        <v>32</v>
      </c>
      <c r="E107">
        <v>60</v>
      </c>
      <c r="F107" s="20" t="s">
        <v>50</v>
      </c>
      <c r="G107" s="20">
        <f t="shared" si="2"/>
        <v>0</v>
      </c>
      <c r="H107" s="20">
        <f t="shared" si="3"/>
        <v>1</v>
      </c>
      <c r="I107" s="20">
        <f>_xlfn.MAXIFS($E$6:E106,$C$6:C106,detalhe_carro2[[#This Row],[Nó]],$B$6:B106,detalhe_carro2[[#This Row],[Numero Voltas]],$G$6:G106,1)</f>
        <v>0</v>
      </c>
      <c r="J107" s="20" t="str">
        <f>IF(OR(detalhe_carro2[[#This Row],[Ultima Chegada]]=0,detalhe_carro2[[#This Row],[Chegada]]=0),"",detalhe_carro2[[#This Row],[Hora Inicio]]-detalhe_carro2[[#This Row],[Ultima Chegada]])</f>
        <v/>
      </c>
      <c r="K107" s="20"/>
      <c r="L107" s="20"/>
      <c r="M107" s="20"/>
    </row>
    <row r="108" spans="2:13" x14ac:dyDescent="0.25">
      <c r="B108">
        <v>3</v>
      </c>
      <c r="C108" s="20" t="s">
        <v>29</v>
      </c>
      <c r="D108">
        <v>60</v>
      </c>
      <c r="E108">
        <v>60</v>
      </c>
      <c r="F108" s="20" t="s">
        <v>51</v>
      </c>
      <c r="G108" s="20">
        <f t="shared" si="2"/>
        <v>1</v>
      </c>
      <c r="H108" s="20">
        <f t="shared" si="3"/>
        <v>0</v>
      </c>
      <c r="I108" s="20">
        <f>_xlfn.MAXIFS($E$6:E107,$C$6:C107,detalhe_carro2[[#This Row],[Nó]],$B$6:B107,detalhe_carro2[[#This Row],[Numero Voltas]],$G$6:G107,1)</f>
        <v>0</v>
      </c>
      <c r="J108" s="20" t="str">
        <f>IF(OR(detalhe_carro2[[#This Row],[Ultima Chegada]]=0,detalhe_carro2[[#This Row],[Chegada]]=0),"",detalhe_carro2[[#This Row],[Hora Inicio]]-detalhe_carro2[[#This Row],[Ultima Chegada]])</f>
        <v/>
      </c>
      <c r="K108" s="20"/>
      <c r="L108" s="20"/>
      <c r="M108" s="20"/>
    </row>
    <row r="109" spans="2:13" x14ac:dyDescent="0.25">
      <c r="B109">
        <v>3</v>
      </c>
      <c r="C109" s="20" t="s">
        <v>27</v>
      </c>
      <c r="D109">
        <v>62</v>
      </c>
      <c r="E109">
        <v>75</v>
      </c>
      <c r="F109" s="20" t="s">
        <v>50</v>
      </c>
      <c r="G109" s="20">
        <f t="shared" si="2"/>
        <v>0</v>
      </c>
      <c r="H109" s="20">
        <f t="shared" si="3"/>
        <v>1</v>
      </c>
      <c r="I109" s="20">
        <f>_xlfn.MAXIFS($E$6:E108,$C$6:C108,detalhe_carro2[[#This Row],[Nó]],$B$6:B108,detalhe_carro2[[#This Row],[Numero Voltas]],$G$6:G108,1)</f>
        <v>0</v>
      </c>
      <c r="J109" s="20" t="str">
        <f>IF(OR(detalhe_carro2[[#This Row],[Ultima Chegada]]=0,detalhe_carro2[[#This Row],[Chegada]]=0),"",detalhe_carro2[[#This Row],[Hora Inicio]]-detalhe_carro2[[#This Row],[Ultima Chegada]])</f>
        <v/>
      </c>
      <c r="K109" s="20"/>
      <c r="L109" s="20"/>
      <c r="M109" s="20"/>
    </row>
    <row r="110" spans="2:13" x14ac:dyDescent="0.25">
      <c r="B110">
        <v>3</v>
      </c>
      <c r="C110" s="20" t="s">
        <v>27</v>
      </c>
      <c r="D110">
        <v>75</v>
      </c>
      <c r="E110">
        <v>75</v>
      </c>
      <c r="F110" s="20" t="s">
        <v>51</v>
      </c>
      <c r="G110" s="20">
        <f t="shared" si="2"/>
        <v>1</v>
      </c>
      <c r="H110" s="20">
        <f t="shared" si="3"/>
        <v>0</v>
      </c>
      <c r="I110" s="20">
        <f>_xlfn.MAXIFS($E$6:E109,$C$6:C109,detalhe_carro2[[#This Row],[Nó]],$B$6:B109,detalhe_carro2[[#This Row],[Numero Voltas]],$G$6:G109,1)</f>
        <v>0</v>
      </c>
      <c r="J110" s="20" t="str">
        <f>IF(OR(detalhe_carro2[[#This Row],[Ultima Chegada]]=0,detalhe_carro2[[#This Row],[Chegada]]=0),"",detalhe_carro2[[#This Row],[Hora Inicio]]-detalhe_carro2[[#This Row],[Ultima Chegada]])</f>
        <v/>
      </c>
      <c r="K110" s="20"/>
      <c r="L110" s="20"/>
      <c r="M110" s="20"/>
    </row>
    <row r="111" spans="2:13" x14ac:dyDescent="0.25">
      <c r="B111">
        <v>3</v>
      </c>
      <c r="C111" s="20" t="s">
        <v>26</v>
      </c>
      <c r="D111">
        <v>77</v>
      </c>
      <c r="E111">
        <v>87</v>
      </c>
      <c r="F111" s="20" t="s">
        <v>50</v>
      </c>
      <c r="G111" s="20">
        <f t="shared" si="2"/>
        <v>0</v>
      </c>
      <c r="H111" s="20">
        <f t="shared" si="3"/>
        <v>1</v>
      </c>
      <c r="I111" s="20">
        <f>_xlfn.MAXIFS($E$6:E110,$C$6:C110,detalhe_carro2[[#This Row],[Nó]],$B$6:B110,detalhe_carro2[[#This Row],[Numero Voltas]],$G$6:G110,1)</f>
        <v>0</v>
      </c>
      <c r="J111" s="20" t="str">
        <f>IF(OR(detalhe_carro2[[#This Row],[Ultima Chegada]]=0,detalhe_carro2[[#This Row],[Chegada]]=0),"",detalhe_carro2[[#This Row],[Hora Inicio]]-detalhe_carro2[[#This Row],[Ultima Chegada]])</f>
        <v/>
      </c>
      <c r="K111" s="20"/>
      <c r="L111" s="20"/>
      <c r="M111" s="20"/>
    </row>
    <row r="112" spans="2:13" x14ac:dyDescent="0.25">
      <c r="B112">
        <v>3</v>
      </c>
      <c r="C112" s="20" t="s">
        <v>26</v>
      </c>
      <c r="D112">
        <v>87</v>
      </c>
      <c r="E112">
        <v>87</v>
      </c>
      <c r="F112" s="20" t="s">
        <v>51</v>
      </c>
      <c r="G112" s="20">
        <f t="shared" si="2"/>
        <v>1</v>
      </c>
      <c r="H112" s="20">
        <f t="shared" si="3"/>
        <v>0</v>
      </c>
      <c r="I112" s="20">
        <f>_xlfn.MAXIFS($E$6:E111,$C$6:C111,detalhe_carro2[[#This Row],[Nó]],$B$6:B111,detalhe_carro2[[#This Row],[Numero Voltas]],$G$6:G111,1)</f>
        <v>0</v>
      </c>
      <c r="J112" s="20" t="str">
        <f>IF(OR(detalhe_carro2[[#This Row],[Ultima Chegada]]=0,detalhe_carro2[[#This Row],[Chegada]]=0),"",detalhe_carro2[[#This Row],[Hora Inicio]]-detalhe_carro2[[#This Row],[Ultima Chegada]])</f>
        <v/>
      </c>
      <c r="K112" s="20"/>
      <c r="L112" s="20"/>
      <c r="M112" s="20"/>
    </row>
    <row r="113" spans="2:13" x14ac:dyDescent="0.25">
      <c r="B113">
        <v>3</v>
      </c>
      <c r="C113" s="20" t="s">
        <v>24</v>
      </c>
      <c r="D113">
        <v>103</v>
      </c>
      <c r="E113">
        <v>123</v>
      </c>
      <c r="F113" s="20" t="s">
        <v>54</v>
      </c>
      <c r="G113" s="20">
        <f t="shared" si="2"/>
        <v>0</v>
      </c>
      <c r="H113" s="20">
        <f t="shared" si="3"/>
        <v>1</v>
      </c>
      <c r="I113" s="20">
        <f>_xlfn.MAXIFS($E$6:E112,$C$6:C112,detalhe_carro2[[#This Row],[Nó]],$B$6:B112,detalhe_carro2[[#This Row],[Numero Voltas]],$G$6:G112,1)</f>
        <v>0</v>
      </c>
      <c r="J113" s="20" t="str">
        <f>IF(OR(detalhe_carro2[[#This Row],[Ultima Chegada]]=0,detalhe_carro2[[#This Row],[Chegada]]=0),"",detalhe_carro2[[#This Row],[Hora Inicio]]-detalhe_carro2[[#This Row],[Ultima Chegada]])</f>
        <v/>
      </c>
      <c r="K113" s="20"/>
      <c r="L113" s="20"/>
      <c r="M113" s="20"/>
    </row>
    <row r="114" spans="2:13" x14ac:dyDescent="0.25">
      <c r="B114">
        <v>3</v>
      </c>
      <c r="C114" s="20" t="s">
        <v>24</v>
      </c>
      <c r="D114">
        <v>109</v>
      </c>
      <c r="E114">
        <v>123</v>
      </c>
      <c r="F114" s="20" t="s">
        <v>50</v>
      </c>
      <c r="G114" s="20">
        <f t="shared" si="2"/>
        <v>0</v>
      </c>
      <c r="H114" s="20">
        <f t="shared" si="3"/>
        <v>0</v>
      </c>
      <c r="I114" s="20">
        <f>_xlfn.MAXIFS($E$6:E113,$C$6:C113,detalhe_carro2[[#This Row],[Nó]],$B$6:B113,detalhe_carro2[[#This Row],[Numero Voltas]],$G$6:G113,1)</f>
        <v>0</v>
      </c>
      <c r="J114" s="20" t="str">
        <f>IF(OR(detalhe_carro2[[#This Row],[Ultima Chegada]]=0,detalhe_carro2[[#This Row],[Chegada]]=0),"",detalhe_carro2[[#This Row],[Hora Inicio]]-detalhe_carro2[[#This Row],[Ultima Chegada]])</f>
        <v/>
      </c>
      <c r="K114" s="20"/>
      <c r="L114" s="20"/>
      <c r="M114" s="20"/>
    </row>
    <row r="115" spans="2:13" x14ac:dyDescent="0.25">
      <c r="B115">
        <v>3</v>
      </c>
      <c r="C115" s="20" t="s">
        <v>24</v>
      </c>
      <c r="D115">
        <v>123</v>
      </c>
      <c r="E115">
        <v>123</v>
      </c>
      <c r="F115" s="20" t="s">
        <v>51</v>
      </c>
      <c r="G115" s="20">
        <f t="shared" si="2"/>
        <v>1</v>
      </c>
      <c r="H115" s="20">
        <f t="shared" si="3"/>
        <v>0</v>
      </c>
      <c r="I115" s="20">
        <f>_xlfn.MAXIFS($E$6:E114,$C$6:C114,detalhe_carro2[[#This Row],[Nó]],$B$6:B114,detalhe_carro2[[#This Row],[Numero Voltas]],$G$6:G114,1)</f>
        <v>0</v>
      </c>
      <c r="J115" s="20" t="str">
        <f>IF(OR(detalhe_carro2[[#This Row],[Ultima Chegada]]=0,detalhe_carro2[[#This Row],[Chegada]]=0),"",detalhe_carro2[[#This Row],[Hora Inicio]]-detalhe_carro2[[#This Row],[Ultima Chegada]])</f>
        <v/>
      </c>
      <c r="K115" s="20"/>
      <c r="L115" s="20"/>
      <c r="M115" s="20"/>
    </row>
    <row r="116" spans="2:13" x14ac:dyDescent="0.25">
      <c r="B116">
        <v>3</v>
      </c>
      <c r="C116" s="20" t="s">
        <v>22</v>
      </c>
      <c r="D116">
        <v>125</v>
      </c>
      <c r="E116">
        <v>130</v>
      </c>
      <c r="F116" s="20" t="s">
        <v>50</v>
      </c>
      <c r="G116" s="20">
        <f t="shared" si="2"/>
        <v>0</v>
      </c>
      <c r="H116" s="20">
        <f t="shared" si="3"/>
        <v>1</v>
      </c>
      <c r="I116" s="20">
        <f>_xlfn.MAXIFS($E$6:E115,$C$6:C115,detalhe_carro2[[#This Row],[Nó]],$B$6:B115,detalhe_carro2[[#This Row],[Numero Voltas]],$G$6:G115,1)</f>
        <v>0</v>
      </c>
      <c r="J116" s="20" t="str">
        <f>IF(OR(detalhe_carro2[[#This Row],[Ultima Chegada]]=0,detalhe_carro2[[#This Row],[Chegada]]=0),"",detalhe_carro2[[#This Row],[Hora Inicio]]-detalhe_carro2[[#This Row],[Ultima Chegada]])</f>
        <v/>
      </c>
      <c r="K116" s="20"/>
      <c r="L116" s="20"/>
      <c r="M116" s="20"/>
    </row>
    <row r="117" spans="2:13" x14ac:dyDescent="0.25">
      <c r="B117">
        <v>3</v>
      </c>
      <c r="C117" s="20" t="s">
        <v>22</v>
      </c>
      <c r="D117">
        <v>130</v>
      </c>
      <c r="E117">
        <v>130</v>
      </c>
      <c r="F117" s="20" t="s">
        <v>51</v>
      </c>
      <c r="G117" s="20">
        <f t="shared" si="2"/>
        <v>1</v>
      </c>
      <c r="H117" s="20">
        <f t="shared" si="3"/>
        <v>0</v>
      </c>
      <c r="I117" s="20">
        <f>_xlfn.MAXIFS($E$6:E116,$C$6:C116,detalhe_carro2[[#This Row],[Nó]],$B$6:B116,detalhe_carro2[[#This Row],[Numero Voltas]],$G$6:G116,1)</f>
        <v>0</v>
      </c>
      <c r="J117" s="20" t="str">
        <f>IF(OR(detalhe_carro2[[#This Row],[Ultima Chegada]]=0,detalhe_carro2[[#This Row],[Chegada]]=0),"",detalhe_carro2[[#This Row],[Hora Inicio]]-detalhe_carro2[[#This Row],[Ultima Chegada]])</f>
        <v/>
      </c>
      <c r="K117" s="20"/>
      <c r="L117" s="20"/>
      <c r="M117" s="20"/>
    </row>
    <row r="118" spans="2:13" x14ac:dyDescent="0.25">
      <c r="B118">
        <v>3</v>
      </c>
      <c r="C118" s="20" t="s">
        <v>20</v>
      </c>
      <c r="D118">
        <v>132</v>
      </c>
      <c r="E118">
        <v>132</v>
      </c>
      <c r="F118" s="20" t="s">
        <v>51</v>
      </c>
      <c r="G118" s="20">
        <f t="shared" si="2"/>
        <v>0</v>
      </c>
      <c r="H118" s="20">
        <f t="shared" si="3"/>
        <v>1</v>
      </c>
      <c r="I118" s="20">
        <f>_xlfn.MAXIFS($E$6:E117,$C$6:C117,detalhe_carro2[[#This Row],[Nó]],$B$6:B117,detalhe_carro2[[#This Row],[Numero Voltas]],$G$6:G117,1)</f>
        <v>0</v>
      </c>
      <c r="J118" s="20" t="str">
        <f>IF(OR(detalhe_carro2[[#This Row],[Ultima Chegada]]=0,detalhe_carro2[[#This Row],[Chegada]]=0),"",detalhe_carro2[[#This Row],[Hora Inicio]]-detalhe_carro2[[#This Row],[Ultima Chegada]])</f>
        <v/>
      </c>
      <c r="K118" s="20"/>
      <c r="L118" s="20"/>
      <c r="M118" s="20"/>
    </row>
    <row r="119" spans="2:13" x14ac:dyDescent="0.25">
      <c r="B119">
        <v>3</v>
      </c>
      <c r="C119" s="20" t="s">
        <v>20</v>
      </c>
      <c r="D119">
        <v>134</v>
      </c>
      <c r="E119">
        <v>149</v>
      </c>
      <c r="F119" s="20" t="s">
        <v>50</v>
      </c>
      <c r="G119" s="20">
        <f t="shared" si="2"/>
        <v>0</v>
      </c>
      <c r="H119" s="20">
        <f t="shared" si="3"/>
        <v>0</v>
      </c>
      <c r="I119" s="20">
        <f>_xlfn.MAXIFS($E$6:E118,$C$6:C118,detalhe_carro2[[#This Row],[Nó]],$B$6:B118,detalhe_carro2[[#This Row],[Numero Voltas]],$G$6:G118,1)</f>
        <v>0</v>
      </c>
      <c r="J119" s="20" t="str">
        <f>IF(OR(detalhe_carro2[[#This Row],[Ultima Chegada]]=0,detalhe_carro2[[#This Row],[Chegada]]=0),"",detalhe_carro2[[#This Row],[Hora Inicio]]-detalhe_carro2[[#This Row],[Ultima Chegada]])</f>
        <v/>
      </c>
      <c r="K119" s="20"/>
      <c r="L119" s="20"/>
      <c r="M119" s="20"/>
    </row>
    <row r="120" spans="2:13" x14ac:dyDescent="0.25">
      <c r="B120">
        <v>3</v>
      </c>
      <c r="C120" s="20" t="s">
        <v>20</v>
      </c>
      <c r="D120">
        <v>149</v>
      </c>
      <c r="E120">
        <v>149</v>
      </c>
      <c r="F120" s="20" t="s">
        <v>51</v>
      </c>
      <c r="G120" s="20">
        <f t="shared" si="2"/>
        <v>1</v>
      </c>
      <c r="H120" s="20">
        <f t="shared" si="3"/>
        <v>0</v>
      </c>
      <c r="I120" s="20">
        <f>_xlfn.MAXIFS($E$6:E119,$C$6:C119,detalhe_carro2[[#This Row],[Nó]],$B$6:B119,detalhe_carro2[[#This Row],[Numero Voltas]],$G$6:G119,1)</f>
        <v>0</v>
      </c>
      <c r="J120" s="20" t="str">
        <f>IF(OR(detalhe_carro2[[#This Row],[Ultima Chegada]]=0,detalhe_carro2[[#This Row],[Chegada]]=0),"",detalhe_carro2[[#This Row],[Hora Inicio]]-detalhe_carro2[[#This Row],[Ultima Chegada]])</f>
        <v/>
      </c>
      <c r="K120" s="20"/>
      <c r="L120" s="20"/>
      <c r="M120" s="20"/>
    </row>
    <row r="121" spans="2:13" x14ac:dyDescent="0.25">
      <c r="B121">
        <v>3</v>
      </c>
      <c r="C121" s="20" t="s">
        <v>22</v>
      </c>
      <c r="D121">
        <v>151</v>
      </c>
      <c r="E121">
        <v>156</v>
      </c>
      <c r="F121" s="20" t="s">
        <v>50</v>
      </c>
      <c r="G121" s="20">
        <f t="shared" si="2"/>
        <v>0</v>
      </c>
      <c r="H121" s="20">
        <f t="shared" si="3"/>
        <v>1</v>
      </c>
      <c r="I121" s="20">
        <f>_xlfn.MAXIFS($E$6:E120,$C$6:C120,detalhe_carro2[[#This Row],[Nó]],$B$6:B120,detalhe_carro2[[#This Row],[Numero Voltas]],$G$6:G120,1)</f>
        <v>130</v>
      </c>
      <c r="J121" s="20">
        <f>IF(OR(detalhe_carro2[[#This Row],[Ultima Chegada]]=0,detalhe_carro2[[#This Row],[Chegada]]=0),"",detalhe_carro2[[#This Row],[Hora Inicio]]-detalhe_carro2[[#This Row],[Ultima Chegada]])</f>
        <v>21</v>
      </c>
      <c r="K121" s="20"/>
      <c r="L121" s="20"/>
      <c r="M121" s="20"/>
    </row>
    <row r="122" spans="2:13" x14ac:dyDescent="0.25">
      <c r="B122">
        <v>3</v>
      </c>
      <c r="C122" s="20" t="s">
        <v>22</v>
      </c>
      <c r="D122">
        <v>156</v>
      </c>
      <c r="E122">
        <v>156</v>
      </c>
      <c r="F122" s="20" t="s">
        <v>51</v>
      </c>
      <c r="G122" s="20">
        <f t="shared" si="2"/>
        <v>1</v>
      </c>
      <c r="H122" s="20">
        <f t="shared" si="3"/>
        <v>0</v>
      </c>
      <c r="I122" s="20">
        <f>_xlfn.MAXIFS($E$6:E121,$C$6:C121,detalhe_carro2[[#This Row],[Nó]],$B$6:B121,detalhe_carro2[[#This Row],[Numero Voltas]],$G$6:G121,1)</f>
        <v>130</v>
      </c>
      <c r="J122" s="20" t="str">
        <f>IF(OR(detalhe_carro2[[#This Row],[Ultima Chegada]]=0,detalhe_carro2[[#This Row],[Chegada]]=0),"",detalhe_carro2[[#This Row],[Hora Inicio]]-detalhe_carro2[[#This Row],[Ultima Chegada]])</f>
        <v/>
      </c>
      <c r="K122" s="20"/>
      <c r="L122" s="20"/>
      <c r="M122" s="20"/>
    </row>
    <row r="123" spans="2:13" x14ac:dyDescent="0.25">
      <c r="B123">
        <v>3</v>
      </c>
      <c r="C123" s="20" t="s">
        <v>24</v>
      </c>
      <c r="D123">
        <v>158</v>
      </c>
      <c r="E123">
        <v>172</v>
      </c>
      <c r="F123" s="20" t="s">
        <v>50</v>
      </c>
      <c r="G123" s="20">
        <f t="shared" si="2"/>
        <v>0</v>
      </c>
      <c r="H123" s="20">
        <f t="shared" si="3"/>
        <v>1</v>
      </c>
      <c r="I123" s="20">
        <f>_xlfn.MAXIFS($E$6:E122,$C$6:C122,detalhe_carro2[[#This Row],[Nó]],$B$6:B122,detalhe_carro2[[#This Row],[Numero Voltas]],$G$6:G122,1)</f>
        <v>123</v>
      </c>
      <c r="J123" s="20">
        <f>IF(OR(detalhe_carro2[[#This Row],[Ultima Chegada]]=0,detalhe_carro2[[#This Row],[Chegada]]=0),"",detalhe_carro2[[#This Row],[Hora Inicio]]-detalhe_carro2[[#This Row],[Ultima Chegada]])</f>
        <v>35</v>
      </c>
      <c r="K123" s="20"/>
      <c r="L123" s="20"/>
      <c r="M123" s="20"/>
    </row>
    <row r="124" spans="2:13" x14ac:dyDescent="0.25">
      <c r="B124">
        <v>3</v>
      </c>
      <c r="C124" s="20" t="s">
        <v>24</v>
      </c>
      <c r="D124">
        <v>172</v>
      </c>
      <c r="E124">
        <v>172</v>
      </c>
      <c r="F124" s="20" t="s">
        <v>51</v>
      </c>
      <c r="G124" s="20">
        <f t="shared" si="2"/>
        <v>1</v>
      </c>
      <c r="H124" s="20">
        <f t="shared" si="3"/>
        <v>0</v>
      </c>
      <c r="I124" s="20">
        <f>_xlfn.MAXIFS($E$6:E123,$C$6:C123,detalhe_carro2[[#This Row],[Nó]],$B$6:B123,detalhe_carro2[[#This Row],[Numero Voltas]],$G$6:G123,1)</f>
        <v>123</v>
      </c>
      <c r="J124" s="20" t="str">
        <f>IF(OR(detalhe_carro2[[#This Row],[Ultima Chegada]]=0,detalhe_carro2[[#This Row],[Chegada]]=0),"",detalhe_carro2[[#This Row],[Hora Inicio]]-detalhe_carro2[[#This Row],[Ultima Chegada]])</f>
        <v/>
      </c>
      <c r="K124" s="20"/>
      <c r="L124" s="20"/>
      <c r="M124" s="20"/>
    </row>
    <row r="125" spans="2:13" x14ac:dyDescent="0.25">
      <c r="B125">
        <v>3</v>
      </c>
      <c r="C125" s="20" t="s">
        <v>26</v>
      </c>
      <c r="D125">
        <v>174</v>
      </c>
      <c r="E125">
        <v>184</v>
      </c>
      <c r="F125" s="20" t="s">
        <v>50</v>
      </c>
      <c r="G125" s="20">
        <f t="shared" si="2"/>
        <v>0</v>
      </c>
      <c r="H125" s="20">
        <f t="shared" si="3"/>
        <v>1</v>
      </c>
      <c r="I125" s="20">
        <f>_xlfn.MAXIFS($E$6:E124,$C$6:C124,detalhe_carro2[[#This Row],[Nó]],$B$6:B124,detalhe_carro2[[#This Row],[Numero Voltas]],$G$6:G124,1)</f>
        <v>87</v>
      </c>
      <c r="J125" s="20">
        <f>IF(OR(detalhe_carro2[[#This Row],[Ultima Chegada]]=0,detalhe_carro2[[#This Row],[Chegada]]=0),"",detalhe_carro2[[#This Row],[Hora Inicio]]-detalhe_carro2[[#This Row],[Ultima Chegada]])</f>
        <v>87</v>
      </c>
      <c r="K125" s="20"/>
      <c r="L125" s="20"/>
      <c r="M125" s="20"/>
    </row>
    <row r="126" spans="2:13" x14ac:dyDescent="0.25">
      <c r="B126">
        <v>3</v>
      </c>
      <c r="C126" s="20" t="s">
        <v>26</v>
      </c>
      <c r="D126">
        <v>184</v>
      </c>
      <c r="E126">
        <v>184</v>
      </c>
      <c r="F126" s="20" t="s">
        <v>51</v>
      </c>
      <c r="G126" s="20">
        <f t="shared" si="2"/>
        <v>1</v>
      </c>
      <c r="H126" s="20">
        <f t="shared" si="3"/>
        <v>0</v>
      </c>
      <c r="I126" s="20">
        <f>_xlfn.MAXIFS($E$6:E125,$C$6:C125,detalhe_carro2[[#This Row],[Nó]],$B$6:B125,detalhe_carro2[[#This Row],[Numero Voltas]],$G$6:G125,1)</f>
        <v>87</v>
      </c>
      <c r="J126" s="20" t="str">
        <f>IF(OR(detalhe_carro2[[#This Row],[Ultima Chegada]]=0,detalhe_carro2[[#This Row],[Chegada]]=0),"",detalhe_carro2[[#This Row],[Hora Inicio]]-detalhe_carro2[[#This Row],[Ultima Chegada]])</f>
        <v/>
      </c>
      <c r="K126" s="20"/>
      <c r="L126" s="20"/>
      <c r="M126" s="20"/>
    </row>
    <row r="127" spans="2:13" x14ac:dyDescent="0.25">
      <c r="B127">
        <v>3</v>
      </c>
      <c r="C127" s="20" t="s">
        <v>27</v>
      </c>
      <c r="D127">
        <v>186</v>
      </c>
      <c r="E127">
        <v>199</v>
      </c>
      <c r="F127" s="20" t="s">
        <v>50</v>
      </c>
      <c r="G127" s="20">
        <f t="shared" si="2"/>
        <v>0</v>
      </c>
      <c r="H127" s="20">
        <f t="shared" si="3"/>
        <v>1</v>
      </c>
      <c r="I127" s="20">
        <f>_xlfn.MAXIFS($E$6:E126,$C$6:C126,detalhe_carro2[[#This Row],[Nó]],$B$6:B126,detalhe_carro2[[#This Row],[Numero Voltas]],$G$6:G126,1)</f>
        <v>75</v>
      </c>
      <c r="J127" s="20">
        <f>IF(OR(detalhe_carro2[[#This Row],[Ultima Chegada]]=0,detalhe_carro2[[#This Row],[Chegada]]=0),"",detalhe_carro2[[#This Row],[Hora Inicio]]-detalhe_carro2[[#This Row],[Ultima Chegada]])</f>
        <v>111</v>
      </c>
      <c r="K127" s="20"/>
      <c r="L127" s="20"/>
      <c r="M127" s="20"/>
    </row>
    <row r="128" spans="2:13" x14ac:dyDescent="0.25">
      <c r="B128">
        <v>3</v>
      </c>
      <c r="C128" s="20" t="s">
        <v>27</v>
      </c>
      <c r="D128">
        <v>199</v>
      </c>
      <c r="E128">
        <v>199</v>
      </c>
      <c r="F128" s="20" t="s">
        <v>51</v>
      </c>
      <c r="G128" s="20">
        <f t="shared" si="2"/>
        <v>1</v>
      </c>
      <c r="H128" s="20">
        <f t="shared" si="3"/>
        <v>0</v>
      </c>
      <c r="I128" s="20">
        <f>_xlfn.MAXIFS($E$6:E127,$C$6:C127,detalhe_carro2[[#This Row],[Nó]],$B$6:B127,detalhe_carro2[[#This Row],[Numero Voltas]],$G$6:G127,1)</f>
        <v>75</v>
      </c>
      <c r="J128" s="20" t="str">
        <f>IF(OR(detalhe_carro2[[#This Row],[Ultima Chegada]]=0,detalhe_carro2[[#This Row],[Chegada]]=0),"",detalhe_carro2[[#This Row],[Hora Inicio]]-detalhe_carro2[[#This Row],[Ultima Chegada]])</f>
        <v/>
      </c>
      <c r="K128" s="20"/>
      <c r="L128" s="20"/>
      <c r="M128" s="20"/>
    </row>
    <row r="129" spans="2:13" x14ac:dyDescent="0.25">
      <c r="B129">
        <v>3</v>
      </c>
      <c r="C129" s="20" t="s">
        <v>29</v>
      </c>
      <c r="D129">
        <v>201</v>
      </c>
      <c r="E129">
        <v>229</v>
      </c>
      <c r="F129" s="20" t="s">
        <v>50</v>
      </c>
      <c r="G129" s="20">
        <f t="shared" si="2"/>
        <v>0</v>
      </c>
      <c r="H129" s="20">
        <f t="shared" si="3"/>
        <v>1</v>
      </c>
      <c r="I129" s="20">
        <f>_xlfn.MAXIFS($E$6:E128,$C$6:C128,detalhe_carro2[[#This Row],[Nó]],$B$6:B128,detalhe_carro2[[#This Row],[Numero Voltas]],$G$6:G128,1)</f>
        <v>60</v>
      </c>
      <c r="J129" s="20">
        <f>IF(OR(detalhe_carro2[[#This Row],[Ultima Chegada]]=0,detalhe_carro2[[#This Row],[Chegada]]=0),"",detalhe_carro2[[#This Row],[Hora Inicio]]-detalhe_carro2[[#This Row],[Ultima Chegada]])</f>
        <v>141</v>
      </c>
      <c r="K129" s="20"/>
      <c r="L129" s="20"/>
      <c r="M129" s="20"/>
    </row>
    <row r="130" spans="2:13" x14ac:dyDescent="0.25">
      <c r="B130">
        <v>3</v>
      </c>
      <c r="C130" s="20" t="s">
        <v>29</v>
      </c>
      <c r="D130">
        <v>229</v>
      </c>
      <c r="E130">
        <v>229</v>
      </c>
      <c r="F130" s="20" t="s">
        <v>51</v>
      </c>
      <c r="G130" s="20">
        <f t="shared" si="2"/>
        <v>1</v>
      </c>
      <c r="H130" s="20">
        <f t="shared" si="3"/>
        <v>0</v>
      </c>
      <c r="I130" s="20">
        <f>_xlfn.MAXIFS($E$6:E129,$C$6:C129,detalhe_carro2[[#This Row],[Nó]],$B$6:B129,detalhe_carro2[[#This Row],[Numero Voltas]],$G$6:G129,1)</f>
        <v>60</v>
      </c>
      <c r="J130" s="20" t="str">
        <f>IF(OR(detalhe_carro2[[#This Row],[Ultima Chegada]]=0,detalhe_carro2[[#This Row],[Chegada]]=0),"",detalhe_carro2[[#This Row],[Hora Inicio]]-detalhe_carro2[[#This Row],[Ultima Chegada]])</f>
        <v/>
      </c>
      <c r="K130" s="20"/>
      <c r="L130" s="20"/>
      <c r="M130" s="20"/>
    </row>
    <row r="131" spans="2:13" x14ac:dyDescent="0.25">
      <c r="B131">
        <v>3</v>
      </c>
      <c r="C131" s="20" t="s">
        <v>31</v>
      </c>
      <c r="D131">
        <v>233</v>
      </c>
      <c r="E131">
        <v>242</v>
      </c>
      <c r="F131" s="20" t="s">
        <v>50</v>
      </c>
      <c r="G131" s="20">
        <f t="shared" si="2"/>
        <v>0</v>
      </c>
      <c r="H131" s="20">
        <f t="shared" si="3"/>
        <v>1</v>
      </c>
      <c r="I131" s="20">
        <f>_xlfn.MAXIFS($E$6:E130,$C$6:C130,detalhe_carro2[[#This Row],[Nó]],$B$6:B130,detalhe_carro2[[#This Row],[Numero Voltas]],$G$6:G130,1)</f>
        <v>28</v>
      </c>
      <c r="J131" s="20">
        <f>IF(OR(detalhe_carro2[[#This Row],[Ultima Chegada]]=0,detalhe_carro2[[#This Row],[Chegada]]=0),"",detalhe_carro2[[#This Row],[Hora Inicio]]-detalhe_carro2[[#This Row],[Ultima Chegada]])</f>
        <v>205</v>
      </c>
      <c r="K131" s="20"/>
      <c r="L131" s="20"/>
      <c r="M131" s="20"/>
    </row>
    <row r="132" spans="2:13" x14ac:dyDescent="0.25">
      <c r="B132">
        <v>3</v>
      </c>
      <c r="C132" s="20" t="s">
        <v>31</v>
      </c>
      <c r="D132">
        <v>242</v>
      </c>
      <c r="E132">
        <v>242</v>
      </c>
      <c r="F132" s="20" t="s">
        <v>51</v>
      </c>
      <c r="G132" s="20">
        <f t="shared" si="2"/>
        <v>1</v>
      </c>
      <c r="H132" s="20">
        <f t="shared" si="3"/>
        <v>0</v>
      </c>
      <c r="I132" s="20">
        <f>_xlfn.MAXIFS($E$6:E131,$C$6:C131,detalhe_carro2[[#This Row],[Nó]],$B$6:B131,detalhe_carro2[[#This Row],[Numero Voltas]],$G$6:G131,1)</f>
        <v>28</v>
      </c>
      <c r="J132" s="20" t="str">
        <f>IF(OR(detalhe_carro2[[#This Row],[Ultima Chegada]]=0,detalhe_carro2[[#This Row],[Chegada]]=0),"",detalhe_carro2[[#This Row],[Hora Inicio]]-detalhe_carro2[[#This Row],[Ultima Chegada]])</f>
        <v/>
      </c>
      <c r="K132" s="20"/>
      <c r="L132" s="20"/>
      <c r="M132" s="20"/>
    </row>
    <row r="133" spans="2:13" x14ac:dyDescent="0.25">
      <c r="B133">
        <v>3</v>
      </c>
      <c r="C133" s="20" t="s">
        <v>33</v>
      </c>
      <c r="D133">
        <v>246</v>
      </c>
      <c r="E133">
        <v>246</v>
      </c>
      <c r="F133" s="20" t="s">
        <v>51</v>
      </c>
      <c r="G133" s="20">
        <f t="shared" si="2"/>
        <v>0</v>
      </c>
      <c r="H133" s="20">
        <f t="shared" si="3"/>
        <v>1</v>
      </c>
      <c r="I133" s="20">
        <f>_xlfn.MAXIFS($E$6:E132,$C$6:C132,detalhe_carro2[[#This Row],[Nó]],$B$6:B132,detalhe_carro2[[#This Row],[Numero Voltas]],$G$6:G132,1)</f>
        <v>15</v>
      </c>
      <c r="J133" s="20">
        <f>IF(OR(detalhe_carro2[[#This Row],[Ultima Chegada]]=0,detalhe_carro2[[#This Row],[Chegada]]=0),"",detalhe_carro2[[#This Row],[Hora Inicio]]-detalhe_carro2[[#This Row],[Ultima Chegada]])</f>
        <v>231</v>
      </c>
      <c r="K133" s="20"/>
      <c r="L133" s="20"/>
      <c r="M133" s="20"/>
    </row>
    <row r="134" spans="2:13" x14ac:dyDescent="0.25">
      <c r="B134">
        <v>3</v>
      </c>
      <c r="C134" s="20" t="s">
        <v>33</v>
      </c>
      <c r="D134">
        <v>248</v>
      </c>
      <c r="E134">
        <v>248</v>
      </c>
      <c r="F134" s="20" t="s">
        <v>51</v>
      </c>
      <c r="G134" s="20">
        <f t="shared" ref="G134:G197" si="4">IF(C134&lt;&gt;C135,1,0)</f>
        <v>1</v>
      </c>
      <c r="H134" s="20">
        <f t="shared" ref="H134:H197" si="5">IF(C134&lt;&gt;C133,1,0)</f>
        <v>0</v>
      </c>
      <c r="I134" s="20">
        <f>_xlfn.MAXIFS($E$6:E133,$C$6:C133,detalhe_carro2[[#This Row],[Nó]],$B$6:B133,detalhe_carro2[[#This Row],[Numero Voltas]],$G$6:G133,1)</f>
        <v>15</v>
      </c>
      <c r="J134" s="20" t="str">
        <f>IF(OR(detalhe_carro2[[#This Row],[Ultima Chegada]]=0,detalhe_carro2[[#This Row],[Chegada]]=0),"",detalhe_carro2[[#This Row],[Hora Inicio]]-detalhe_carro2[[#This Row],[Ultima Chegada]])</f>
        <v/>
      </c>
      <c r="K134" s="20"/>
      <c r="L134" s="20"/>
      <c r="M134" s="20"/>
    </row>
    <row r="135" spans="2:13" x14ac:dyDescent="0.25">
      <c r="B135">
        <v>3</v>
      </c>
      <c r="C135" s="20" t="s">
        <v>31</v>
      </c>
      <c r="D135">
        <v>252</v>
      </c>
      <c r="E135">
        <v>252</v>
      </c>
      <c r="F135" s="20" t="s">
        <v>51</v>
      </c>
      <c r="G135" s="20">
        <f t="shared" si="4"/>
        <v>1</v>
      </c>
      <c r="H135" s="20">
        <f t="shared" si="5"/>
        <v>1</v>
      </c>
      <c r="I135" s="20">
        <f>_xlfn.MAXIFS($E$6:E134,$C$6:C134,detalhe_carro2[[#This Row],[Nó]],$B$6:B134,detalhe_carro2[[#This Row],[Numero Voltas]],$G$6:G134,1)</f>
        <v>242</v>
      </c>
      <c r="J135" s="20">
        <f>IF(OR(detalhe_carro2[[#This Row],[Ultima Chegada]]=0,detalhe_carro2[[#This Row],[Chegada]]=0),"",detalhe_carro2[[#This Row],[Hora Inicio]]-detalhe_carro2[[#This Row],[Ultima Chegada]])</f>
        <v>10</v>
      </c>
      <c r="K135" s="20"/>
      <c r="L135" s="20"/>
      <c r="M135" s="20"/>
    </row>
    <row r="136" spans="2:13" x14ac:dyDescent="0.25">
      <c r="B136">
        <v>3</v>
      </c>
      <c r="C136" s="20" t="s">
        <v>29</v>
      </c>
      <c r="D136">
        <v>256</v>
      </c>
      <c r="E136">
        <v>256</v>
      </c>
      <c r="F136" s="20" t="s">
        <v>51</v>
      </c>
      <c r="G136" s="20">
        <f t="shared" si="4"/>
        <v>1</v>
      </c>
      <c r="H136" s="20">
        <f t="shared" si="5"/>
        <v>1</v>
      </c>
      <c r="I136" s="20">
        <f>_xlfn.MAXIFS($E$6:E135,$C$6:C135,detalhe_carro2[[#This Row],[Nó]],$B$6:B135,detalhe_carro2[[#This Row],[Numero Voltas]],$G$6:G135,1)</f>
        <v>229</v>
      </c>
      <c r="J136" s="20">
        <f>IF(OR(detalhe_carro2[[#This Row],[Ultima Chegada]]=0,detalhe_carro2[[#This Row],[Chegada]]=0),"",detalhe_carro2[[#This Row],[Hora Inicio]]-detalhe_carro2[[#This Row],[Ultima Chegada]])</f>
        <v>27</v>
      </c>
      <c r="K136" s="20"/>
      <c r="L136" s="20"/>
      <c r="M136" s="20"/>
    </row>
    <row r="137" spans="2:13" x14ac:dyDescent="0.25">
      <c r="B137">
        <v>3</v>
      </c>
      <c r="C137" s="20" t="s">
        <v>27</v>
      </c>
      <c r="D137">
        <v>258</v>
      </c>
      <c r="E137">
        <v>258</v>
      </c>
      <c r="F137" s="20" t="s">
        <v>51</v>
      </c>
      <c r="G137" s="20">
        <f t="shared" si="4"/>
        <v>1</v>
      </c>
      <c r="H137" s="20">
        <f t="shared" si="5"/>
        <v>1</v>
      </c>
      <c r="I137" s="20">
        <f>_xlfn.MAXIFS($E$6:E136,$C$6:C136,detalhe_carro2[[#This Row],[Nó]],$B$6:B136,detalhe_carro2[[#This Row],[Numero Voltas]],$G$6:G136,1)</f>
        <v>199</v>
      </c>
      <c r="J137" s="20">
        <f>IF(OR(detalhe_carro2[[#This Row],[Ultima Chegada]]=0,detalhe_carro2[[#This Row],[Chegada]]=0),"",detalhe_carro2[[#This Row],[Hora Inicio]]-detalhe_carro2[[#This Row],[Ultima Chegada]])</f>
        <v>59</v>
      </c>
      <c r="K137" s="20"/>
      <c r="L137" s="20"/>
      <c r="M137" s="20"/>
    </row>
    <row r="138" spans="2:13" x14ac:dyDescent="0.25">
      <c r="B138">
        <v>3</v>
      </c>
      <c r="C138" s="20" t="s">
        <v>26</v>
      </c>
      <c r="D138">
        <v>260</v>
      </c>
      <c r="E138">
        <v>260</v>
      </c>
      <c r="F138" s="20" t="s">
        <v>51</v>
      </c>
      <c r="G138" s="20">
        <f t="shared" si="4"/>
        <v>1</v>
      </c>
      <c r="H138" s="20">
        <f t="shared" si="5"/>
        <v>1</v>
      </c>
      <c r="I138" s="20">
        <f>_xlfn.MAXIFS($E$6:E137,$C$6:C137,detalhe_carro2[[#This Row],[Nó]],$B$6:B137,detalhe_carro2[[#This Row],[Numero Voltas]],$G$6:G137,1)</f>
        <v>184</v>
      </c>
      <c r="J138" s="20">
        <f>IF(OR(detalhe_carro2[[#This Row],[Ultima Chegada]]=0,detalhe_carro2[[#This Row],[Chegada]]=0),"",detalhe_carro2[[#This Row],[Hora Inicio]]-detalhe_carro2[[#This Row],[Ultima Chegada]])</f>
        <v>76</v>
      </c>
      <c r="K138" s="20"/>
      <c r="L138" s="20"/>
      <c r="M138" s="20"/>
    </row>
    <row r="139" spans="2:13" x14ac:dyDescent="0.25">
      <c r="B139">
        <v>3</v>
      </c>
      <c r="C139" s="20" t="s">
        <v>24</v>
      </c>
      <c r="D139">
        <v>262</v>
      </c>
      <c r="E139">
        <v>262</v>
      </c>
      <c r="F139" s="20" t="s">
        <v>51</v>
      </c>
      <c r="G139" s="20">
        <f t="shared" si="4"/>
        <v>1</v>
      </c>
      <c r="H139" s="20">
        <f t="shared" si="5"/>
        <v>1</v>
      </c>
      <c r="I139" s="20">
        <f>_xlfn.MAXIFS($E$6:E138,$C$6:C138,detalhe_carro2[[#This Row],[Nó]],$B$6:B138,detalhe_carro2[[#This Row],[Numero Voltas]],$G$6:G138,1)</f>
        <v>172</v>
      </c>
      <c r="J139" s="20">
        <f>IF(OR(detalhe_carro2[[#This Row],[Ultima Chegada]]=0,detalhe_carro2[[#This Row],[Chegada]]=0),"",detalhe_carro2[[#This Row],[Hora Inicio]]-detalhe_carro2[[#This Row],[Ultima Chegada]])</f>
        <v>90</v>
      </c>
      <c r="K139" s="20"/>
      <c r="L139" s="20"/>
      <c r="M139" s="20"/>
    </row>
    <row r="140" spans="2:13" x14ac:dyDescent="0.25">
      <c r="B140">
        <v>3</v>
      </c>
      <c r="C140" s="20" t="s">
        <v>22</v>
      </c>
      <c r="D140">
        <v>264</v>
      </c>
      <c r="E140">
        <v>264</v>
      </c>
      <c r="F140" s="20" t="s">
        <v>51</v>
      </c>
      <c r="G140" s="20">
        <f t="shared" si="4"/>
        <v>1</v>
      </c>
      <c r="H140" s="20">
        <f t="shared" si="5"/>
        <v>1</v>
      </c>
      <c r="I140" s="20">
        <f>_xlfn.MAXIFS($E$6:E139,$C$6:C139,detalhe_carro2[[#This Row],[Nó]],$B$6:B139,detalhe_carro2[[#This Row],[Numero Voltas]],$G$6:G139,1)</f>
        <v>156</v>
      </c>
      <c r="J140" s="20">
        <f>IF(OR(detalhe_carro2[[#This Row],[Ultima Chegada]]=0,detalhe_carro2[[#This Row],[Chegada]]=0),"",detalhe_carro2[[#This Row],[Hora Inicio]]-detalhe_carro2[[#This Row],[Ultima Chegada]])</f>
        <v>108</v>
      </c>
      <c r="K140" s="20"/>
      <c r="L140" s="20"/>
      <c r="M140" s="20"/>
    </row>
    <row r="141" spans="2:13" x14ac:dyDescent="0.25">
      <c r="B141">
        <v>3</v>
      </c>
      <c r="C141" s="20" t="s">
        <v>20</v>
      </c>
      <c r="D141">
        <v>266</v>
      </c>
      <c r="E141">
        <v>266</v>
      </c>
      <c r="F141" s="20" t="s">
        <v>51</v>
      </c>
      <c r="G141" s="20">
        <f t="shared" si="4"/>
        <v>0</v>
      </c>
      <c r="H141" s="20">
        <f t="shared" si="5"/>
        <v>1</v>
      </c>
      <c r="I141" s="20">
        <f>_xlfn.MAXIFS($E$6:E140,$C$6:C140,detalhe_carro2[[#This Row],[Nó]],$B$6:B140,detalhe_carro2[[#This Row],[Numero Voltas]],$G$6:G140,1)</f>
        <v>149</v>
      </c>
      <c r="J141" s="20">
        <f>IF(OR(detalhe_carro2[[#This Row],[Ultima Chegada]]=0,detalhe_carro2[[#This Row],[Chegada]]=0),"",detalhe_carro2[[#This Row],[Hora Inicio]]-detalhe_carro2[[#This Row],[Ultima Chegada]])</f>
        <v>117</v>
      </c>
      <c r="K141" s="20"/>
      <c r="L141" s="20"/>
      <c r="M141" s="20"/>
    </row>
    <row r="142" spans="2:13" x14ac:dyDescent="0.25">
      <c r="B142">
        <v>3</v>
      </c>
      <c r="C142" s="20" t="s">
        <v>20</v>
      </c>
      <c r="D142">
        <v>268</v>
      </c>
      <c r="E142">
        <v>268</v>
      </c>
      <c r="F142" s="20" t="s">
        <v>51</v>
      </c>
      <c r="G142" s="20">
        <f t="shared" si="4"/>
        <v>1</v>
      </c>
      <c r="H142" s="20">
        <f t="shared" si="5"/>
        <v>0</v>
      </c>
      <c r="I142" s="20">
        <f>_xlfn.MAXIFS($E$6:E141,$C$6:C141,detalhe_carro2[[#This Row],[Nó]],$B$6:B141,detalhe_carro2[[#This Row],[Numero Voltas]],$G$6:G141,1)</f>
        <v>149</v>
      </c>
      <c r="J142" s="20" t="str">
        <f>IF(OR(detalhe_carro2[[#This Row],[Ultima Chegada]]=0,detalhe_carro2[[#This Row],[Chegada]]=0),"",detalhe_carro2[[#This Row],[Hora Inicio]]-detalhe_carro2[[#This Row],[Ultima Chegada]])</f>
        <v/>
      </c>
      <c r="K142" s="20"/>
      <c r="L142" s="20"/>
      <c r="M142" s="20"/>
    </row>
    <row r="143" spans="2:13" x14ac:dyDescent="0.25">
      <c r="B143">
        <v>3</v>
      </c>
      <c r="C143" s="20" t="s">
        <v>22</v>
      </c>
      <c r="D143">
        <v>270</v>
      </c>
      <c r="E143">
        <v>270</v>
      </c>
      <c r="F143" s="20" t="s">
        <v>51</v>
      </c>
      <c r="G143" s="20">
        <f t="shared" si="4"/>
        <v>1</v>
      </c>
      <c r="H143" s="20">
        <f t="shared" si="5"/>
        <v>1</v>
      </c>
      <c r="I143" s="20">
        <f>_xlfn.MAXIFS($E$6:E142,$C$6:C142,detalhe_carro2[[#This Row],[Nó]],$B$6:B142,detalhe_carro2[[#This Row],[Numero Voltas]],$G$6:G142,1)</f>
        <v>264</v>
      </c>
      <c r="J143" s="20">
        <f>IF(OR(detalhe_carro2[[#This Row],[Ultima Chegada]]=0,detalhe_carro2[[#This Row],[Chegada]]=0),"",detalhe_carro2[[#This Row],[Hora Inicio]]-detalhe_carro2[[#This Row],[Ultima Chegada]])</f>
        <v>6</v>
      </c>
      <c r="K143" s="20"/>
      <c r="L143" s="20"/>
      <c r="M143" s="20"/>
    </row>
    <row r="144" spans="2:13" x14ac:dyDescent="0.25">
      <c r="B144">
        <v>3</v>
      </c>
      <c r="C144" s="20" t="s">
        <v>24</v>
      </c>
      <c r="D144">
        <v>272</v>
      </c>
      <c r="E144">
        <v>272</v>
      </c>
      <c r="F144" s="20" t="s">
        <v>51</v>
      </c>
      <c r="G144" s="20">
        <f t="shared" si="4"/>
        <v>1</v>
      </c>
      <c r="H144" s="20">
        <f t="shared" si="5"/>
        <v>1</v>
      </c>
      <c r="I144" s="20">
        <f>_xlfn.MAXIFS($E$6:E143,$C$6:C143,detalhe_carro2[[#This Row],[Nó]],$B$6:B143,detalhe_carro2[[#This Row],[Numero Voltas]],$G$6:G143,1)</f>
        <v>262</v>
      </c>
      <c r="J144" s="20">
        <f>IF(OR(detalhe_carro2[[#This Row],[Ultima Chegada]]=0,detalhe_carro2[[#This Row],[Chegada]]=0),"",detalhe_carro2[[#This Row],[Hora Inicio]]-detalhe_carro2[[#This Row],[Ultima Chegada]])</f>
        <v>10</v>
      </c>
      <c r="K144" s="20"/>
      <c r="L144" s="20"/>
      <c r="M144" s="20"/>
    </row>
    <row r="145" spans="2:13" x14ac:dyDescent="0.25">
      <c r="B145">
        <v>3</v>
      </c>
      <c r="C145" s="20" t="s">
        <v>26</v>
      </c>
      <c r="D145">
        <v>274</v>
      </c>
      <c r="E145">
        <v>274</v>
      </c>
      <c r="F145" s="20" t="s">
        <v>51</v>
      </c>
      <c r="G145" s="20">
        <f t="shared" si="4"/>
        <v>1</v>
      </c>
      <c r="H145" s="20">
        <f t="shared" si="5"/>
        <v>1</v>
      </c>
      <c r="I145" s="20">
        <f>_xlfn.MAXIFS($E$6:E144,$C$6:C144,detalhe_carro2[[#This Row],[Nó]],$B$6:B144,detalhe_carro2[[#This Row],[Numero Voltas]],$G$6:G144,1)</f>
        <v>260</v>
      </c>
      <c r="J145" s="20">
        <f>IF(OR(detalhe_carro2[[#This Row],[Ultima Chegada]]=0,detalhe_carro2[[#This Row],[Chegada]]=0),"",detalhe_carro2[[#This Row],[Hora Inicio]]-detalhe_carro2[[#This Row],[Ultima Chegada]])</f>
        <v>14</v>
      </c>
      <c r="K145" s="20"/>
      <c r="L145" s="20"/>
      <c r="M145" s="20"/>
    </row>
    <row r="146" spans="2:13" x14ac:dyDescent="0.25">
      <c r="B146">
        <v>3</v>
      </c>
      <c r="C146" s="20" t="s">
        <v>27</v>
      </c>
      <c r="D146">
        <v>276</v>
      </c>
      <c r="E146">
        <v>276</v>
      </c>
      <c r="F146" s="20" t="s">
        <v>51</v>
      </c>
      <c r="G146" s="20">
        <f t="shared" si="4"/>
        <v>1</v>
      </c>
      <c r="H146" s="20">
        <f t="shared" si="5"/>
        <v>1</v>
      </c>
      <c r="I146" s="20">
        <f>_xlfn.MAXIFS($E$6:E145,$C$6:C145,detalhe_carro2[[#This Row],[Nó]],$B$6:B145,detalhe_carro2[[#This Row],[Numero Voltas]],$G$6:G145,1)</f>
        <v>258</v>
      </c>
      <c r="J146" s="20">
        <f>IF(OR(detalhe_carro2[[#This Row],[Ultima Chegada]]=0,detalhe_carro2[[#This Row],[Chegada]]=0),"",detalhe_carro2[[#This Row],[Hora Inicio]]-detalhe_carro2[[#This Row],[Ultima Chegada]])</f>
        <v>18</v>
      </c>
      <c r="K146" s="20"/>
      <c r="L146" s="20"/>
      <c r="M146" s="20"/>
    </row>
    <row r="147" spans="2:13" x14ac:dyDescent="0.25">
      <c r="B147">
        <v>3</v>
      </c>
      <c r="C147" s="20" t="s">
        <v>29</v>
      </c>
      <c r="D147">
        <v>278</v>
      </c>
      <c r="E147">
        <v>278</v>
      </c>
      <c r="F147" s="20" t="s">
        <v>51</v>
      </c>
      <c r="G147" s="20">
        <f t="shared" si="4"/>
        <v>1</v>
      </c>
      <c r="H147" s="20">
        <f t="shared" si="5"/>
        <v>1</v>
      </c>
      <c r="I147" s="20">
        <f>_xlfn.MAXIFS($E$6:E146,$C$6:C146,detalhe_carro2[[#This Row],[Nó]],$B$6:B146,detalhe_carro2[[#This Row],[Numero Voltas]],$G$6:G146,1)</f>
        <v>256</v>
      </c>
      <c r="J147" s="20">
        <f>IF(OR(detalhe_carro2[[#This Row],[Ultima Chegada]]=0,detalhe_carro2[[#This Row],[Chegada]]=0),"",detalhe_carro2[[#This Row],[Hora Inicio]]-detalhe_carro2[[#This Row],[Ultima Chegada]])</f>
        <v>22</v>
      </c>
      <c r="K147" s="20"/>
      <c r="L147" s="20"/>
      <c r="M147" s="20"/>
    </row>
    <row r="148" spans="2:13" x14ac:dyDescent="0.25">
      <c r="B148">
        <v>3</v>
      </c>
      <c r="C148" s="20" t="s">
        <v>31</v>
      </c>
      <c r="D148">
        <v>282</v>
      </c>
      <c r="E148">
        <v>282</v>
      </c>
      <c r="F148" s="20" t="s">
        <v>51</v>
      </c>
      <c r="G148" s="20">
        <f t="shared" si="4"/>
        <v>1</v>
      </c>
      <c r="H148" s="20">
        <f t="shared" si="5"/>
        <v>1</v>
      </c>
      <c r="I148" s="20">
        <f>_xlfn.MAXIFS($E$6:E147,$C$6:C147,detalhe_carro2[[#This Row],[Nó]],$B$6:B147,detalhe_carro2[[#This Row],[Numero Voltas]],$G$6:G147,1)</f>
        <v>252</v>
      </c>
      <c r="J148" s="20">
        <f>IF(OR(detalhe_carro2[[#This Row],[Ultima Chegada]]=0,detalhe_carro2[[#This Row],[Chegada]]=0),"",detalhe_carro2[[#This Row],[Hora Inicio]]-detalhe_carro2[[#This Row],[Ultima Chegada]])</f>
        <v>30</v>
      </c>
      <c r="K148" s="20"/>
      <c r="L148" s="20"/>
      <c r="M148" s="20"/>
    </row>
    <row r="149" spans="2:13" x14ac:dyDescent="0.25">
      <c r="B149">
        <v>3</v>
      </c>
      <c r="C149" s="20" t="s">
        <v>33</v>
      </c>
      <c r="D149">
        <v>286</v>
      </c>
      <c r="E149">
        <v>286</v>
      </c>
      <c r="F149" s="20" t="s">
        <v>51</v>
      </c>
      <c r="G149" s="20">
        <f t="shared" si="4"/>
        <v>0</v>
      </c>
      <c r="H149" s="20">
        <f t="shared" si="5"/>
        <v>1</v>
      </c>
      <c r="I149" s="20">
        <f>_xlfn.MAXIFS($E$6:E148,$C$6:C148,detalhe_carro2[[#This Row],[Nó]],$B$6:B148,detalhe_carro2[[#This Row],[Numero Voltas]],$G$6:G148,1)</f>
        <v>248</v>
      </c>
      <c r="J149" s="20">
        <f>IF(OR(detalhe_carro2[[#This Row],[Ultima Chegada]]=0,detalhe_carro2[[#This Row],[Chegada]]=0),"",detalhe_carro2[[#This Row],[Hora Inicio]]-detalhe_carro2[[#This Row],[Ultima Chegada]])</f>
        <v>38</v>
      </c>
      <c r="K149" s="20"/>
      <c r="L149" s="20"/>
      <c r="M149" s="20"/>
    </row>
    <row r="150" spans="2:13" x14ac:dyDescent="0.25">
      <c r="B150">
        <v>3</v>
      </c>
      <c r="C150" s="20" t="s">
        <v>33</v>
      </c>
      <c r="D150">
        <v>288</v>
      </c>
      <c r="E150">
        <v>288</v>
      </c>
      <c r="F150" s="20" t="s">
        <v>51</v>
      </c>
      <c r="G150" s="20">
        <f t="shared" si="4"/>
        <v>1</v>
      </c>
      <c r="H150" s="20">
        <f t="shared" si="5"/>
        <v>0</v>
      </c>
      <c r="I150" s="20">
        <f>_xlfn.MAXIFS($E$6:E149,$C$6:C149,detalhe_carro2[[#This Row],[Nó]],$B$6:B149,detalhe_carro2[[#This Row],[Numero Voltas]],$G$6:G149,1)</f>
        <v>248</v>
      </c>
      <c r="J150" s="20" t="str">
        <f>IF(OR(detalhe_carro2[[#This Row],[Ultima Chegada]]=0,detalhe_carro2[[#This Row],[Chegada]]=0),"",detalhe_carro2[[#This Row],[Hora Inicio]]-detalhe_carro2[[#This Row],[Ultima Chegada]])</f>
        <v/>
      </c>
      <c r="K150" s="20"/>
      <c r="L150" s="20"/>
      <c r="M150" s="20"/>
    </row>
    <row r="151" spans="2:13" x14ac:dyDescent="0.25">
      <c r="B151">
        <v>3</v>
      </c>
      <c r="C151" s="20" t="s">
        <v>31</v>
      </c>
      <c r="D151">
        <v>292</v>
      </c>
      <c r="E151">
        <v>292</v>
      </c>
      <c r="F151" s="20" t="s">
        <v>51</v>
      </c>
      <c r="G151" s="20">
        <f t="shared" si="4"/>
        <v>1</v>
      </c>
      <c r="H151" s="20">
        <f t="shared" si="5"/>
        <v>1</v>
      </c>
      <c r="I151" s="20">
        <f>_xlfn.MAXIFS($E$6:E150,$C$6:C150,detalhe_carro2[[#This Row],[Nó]],$B$6:B150,detalhe_carro2[[#This Row],[Numero Voltas]],$G$6:G150,1)</f>
        <v>282</v>
      </c>
      <c r="J151" s="20">
        <f>IF(OR(detalhe_carro2[[#This Row],[Ultima Chegada]]=0,detalhe_carro2[[#This Row],[Chegada]]=0),"",detalhe_carro2[[#This Row],[Hora Inicio]]-detalhe_carro2[[#This Row],[Ultima Chegada]])</f>
        <v>10</v>
      </c>
      <c r="K151" s="20"/>
      <c r="L151" s="20"/>
      <c r="M151" s="20"/>
    </row>
    <row r="152" spans="2:13" x14ac:dyDescent="0.25">
      <c r="B152">
        <v>3</v>
      </c>
      <c r="C152" s="20" t="s">
        <v>29</v>
      </c>
      <c r="D152">
        <v>296</v>
      </c>
      <c r="E152">
        <v>296</v>
      </c>
      <c r="F152" s="20" t="s">
        <v>51</v>
      </c>
      <c r="G152" s="20">
        <f t="shared" si="4"/>
        <v>1</v>
      </c>
      <c r="H152" s="20">
        <f t="shared" si="5"/>
        <v>1</v>
      </c>
      <c r="I152" s="20">
        <f>_xlfn.MAXIFS($E$6:E151,$C$6:C151,detalhe_carro2[[#This Row],[Nó]],$B$6:B151,detalhe_carro2[[#This Row],[Numero Voltas]],$G$6:G151,1)</f>
        <v>278</v>
      </c>
      <c r="J152" s="20">
        <f>IF(OR(detalhe_carro2[[#This Row],[Ultima Chegada]]=0,detalhe_carro2[[#This Row],[Chegada]]=0),"",detalhe_carro2[[#This Row],[Hora Inicio]]-detalhe_carro2[[#This Row],[Ultima Chegada]])</f>
        <v>18</v>
      </c>
      <c r="K152" s="20"/>
      <c r="L152" s="20"/>
      <c r="M152" s="20"/>
    </row>
    <row r="153" spans="2:13" x14ac:dyDescent="0.25">
      <c r="B153">
        <v>3</v>
      </c>
      <c r="C153" s="20" t="s">
        <v>27</v>
      </c>
      <c r="D153">
        <v>298</v>
      </c>
      <c r="E153">
        <v>298</v>
      </c>
      <c r="F153" s="20" t="s">
        <v>51</v>
      </c>
      <c r="G153" s="20">
        <f t="shared" si="4"/>
        <v>1</v>
      </c>
      <c r="H153" s="20">
        <f t="shared" si="5"/>
        <v>1</v>
      </c>
      <c r="I153" s="20">
        <f>_xlfn.MAXIFS($E$6:E152,$C$6:C152,detalhe_carro2[[#This Row],[Nó]],$B$6:B152,detalhe_carro2[[#This Row],[Numero Voltas]],$G$6:G152,1)</f>
        <v>276</v>
      </c>
      <c r="J153" s="20">
        <f>IF(OR(detalhe_carro2[[#This Row],[Ultima Chegada]]=0,detalhe_carro2[[#This Row],[Chegada]]=0),"",detalhe_carro2[[#This Row],[Hora Inicio]]-detalhe_carro2[[#This Row],[Ultima Chegada]])</f>
        <v>22</v>
      </c>
      <c r="K153" s="20"/>
      <c r="L153" s="20"/>
      <c r="M153" s="20"/>
    </row>
    <row r="154" spans="2:13" x14ac:dyDescent="0.25">
      <c r="B154">
        <v>3</v>
      </c>
      <c r="C154" s="20" t="s">
        <v>26</v>
      </c>
      <c r="D154">
        <v>300</v>
      </c>
      <c r="E154">
        <v>360</v>
      </c>
      <c r="F154" s="20" t="s">
        <v>54</v>
      </c>
      <c r="G154" s="20">
        <f t="shared" si="4"/>
        <v>0</v>
      </c>
      <c r="H154" s="20">
        <f t="shared" si="5"/>
        <v>1</v>
      </c>
      <c r="I154" s="20">
        <f>_xlfn.MAXIFS($E$6:E153,$C$6:C153,detalhe_carro2[[#This Row],[Nó]],$B$6:B153,detalhe_carro2[[#This Row],[Numero Voltas]],$G$6:G153,1)</f>
        <v>274</v>
      </c>
      <c r="J154" s="20">
        <f>IF(OR(detalhe_carro2[[#This Row],[Ultima Chegada]]=0,detalhe_carro2[[#This Row],[Chegada]]=0),"",detalhe_carro2[[#This Row],[Hora Inicio]]-detalhe_carro2[[#This Row],[Ultima Chegada]])</f>
        <v>26</v>
      </c>
      <c r="K154" s="20"/>
      <c r="L154" s="20"/>
      <c r="M154" s="20"/>
    </row>
    <row r="155" spans="2:13" x14ac:dyDescent="0.25">
      <c r="B155">
        <v>3</v>
      </c>
      <c r="C155" s="20" t="s">
        <v>26</v>
      </c>
      <c r="D155">
        <v>360</v>
      </c>
      <c r="E155">
        <v>360</v>
      </c>
      <c r="F155" s="20" t="s">
        <v>51</v>
      </c>
      <c r="G155" s="20">
        <f t="shared" si="4"/>
        <v>1</v>
      </c>
      <c r="H155" s="20">
        <f t="shared" si="5"/>
        <v>0</v>
      </c>
      <c r="I155" s="20">
        <f>_xlfn.MAXIFS($E$6:E154,$C$6:C154,detalhe_carro2[[#This Row],[Nó]],$B$6:B154,detalhe_carro2[[#This Row],[Numero Voltas]],$G$6:G154,1)</f>
        <v>274</v>
      </c>
      <c r="J155" s="20" t="str">
        <f>IF(OR(detalhe_carro2[[#This Row],[Ultima Chegada]]=0,detalhe_carro2[[#This Row],[Chegada]]=0),"",detalhe_carro2[[#This Row],[Hora Inicio]]-detalhe_carro2[[#This Row],[Ultima Chegada]])</f>
        <v/>
      </c>
      <c r="K155" s="20"/>
      <c r="L155" s="20"/>
      <c r="M155" s="20"/>
    </row>
    <row r="156" spans="2:13" x14ac:dyDescent="0.25">
      <c r="B156">
        <v>3</v>
      </c>
      <c r="C156" s="20" t="s">
        <v>24</v>
      </c>
      <c r="D156">
        <v>362</v>
      </c>
      <c r="E156">
        <v>362</v>
      </c>
      <c r="F156" s="20" t="s">
        <v>51</v>
      </c>
      <c r="G156" s="20">
        <f t="shared" si="4"/>
        <v>1</v>
      </c>
      <c r="H156" s="20">
        <f t="shared" si="5"/>
        <v>1</v>
      </c>
      <c r="I156" s="20">
        <f>_xlfn.MAXIFS($E$6:E155,$C$6:C155,detalhe_carro2[[#This Row],[Nó]],$B$6:B155,detalhe_carro2[[#This Row],[Numero Voltas]],$G$6:G155,1)</f>
        <v>272</v>
      </c>
      <c r="J156" s="20">
        <f>IF(OR(detalhe_carro2[[#This Row],[Ultima Chegada]]=0,detalhe_carro2[[#This Row],[Chegada]]=0),"",detalhe_carro2[[#This Row],[Hora Inicio]]-detalhe_carro2[[#This Row],[Ultima Chegada]])</f>
        <v>90</v>
      </c>
      <c r="K156" s="20"/>
      <c r="L156" s="20"/>
      <c r="M156" s="20"/>
    </row>
    <row r="157" spans="2:13" x14ac:dyDescent="0.25">
      <c r="B157">
        <v>3</v>
      </c>
      <c r="C157" s="20" t="s">
        <v>22</v>
      </c>
      <c r="D157">
        <v>364</v>
      </c>
      <c r="E157">
        <v>364</v>
      </c>
      <c r="F157" s="20" t="s">
        <v>51</v>
      </c>
      <c r="G157" s="20">
        <f t="shared" si="4"/>
        <v>1</v>
      </c>
      <c r="H157" s="20">
        <f t="shared" si="5"/>
        <v>1</v>
      </c>
      <c r="I157" s="20">
        <f>_xlfn.MAXIFS($E$6:E156,$C$6:C156,detalhe_carro2[[#This Row],[Nó]],$B$6:B156,detalhe_carro2[[#This Row],[Numero Voltas]],$G$6:G156,1)</f>
        <v>270</v>
      </c>
      <c r="J157" s="20">
        <f>IF(OR(detalhe_carro2[[#This Row],[Ultima Chegada]]=0,detalhe_carro2[[#This Row],[Chegada]]=0),"",detalhe_carro2[[#This Row],[Hora Inicio]]-detalhe_carro2[[#This Row],[Ultima Chegada]])</f>
        <v>94</v>
      </c>
      <c r="K157" s="20"/>
      <c r="L157" s="20"/>
      <c r="M157" s="20"/>
    </row>
    <row r="158" spans="2:13" x14ac:dyDescent="0.25">
      <c r="B158">
        <v>3</v>
      </c>
      <c r="C158" s="20" t="s">
        <v>20</v>
      </c>
      <c r="D158">
        <v>366</v>
      </c>
      <c r="E158">
        <v>366</v>
      </c>
      <c r="F158" s="20" t="s">
        <v>51</v>
      </c>
      <c r="G158" s="20">
        <f t="shared" si="4"/>
        <v>0</v>
      </c>
      <c r="H158" s="20">
        <f t="shared" si="5"/>
        <v>1</v>
      </c>
      <c r="I158" s="20">
        <f>_xlfn.MAXIFS($E$6:E157,$C$6:C157,detalhe_carro2[[#This Row],[Nó]],$B$6:B157,detalhe_carro2[[#This Row],[Numero Voltas]],$G$6:G157,1)</f>
        <v>268</v>
      </c>
      <c r="J158" s="20">
        <f>IF(OR(detalhe_carro2[[#This Row],[Ultima Chegada]]=0,detalhe_carro2[[#This Row],[Chegada]]=0),"",detalhe_carro2[[#This Row],[Hora Inicio]]-detalhe_carro2[[#This Row],[Ultima Chegada]])</f>
        <v>98</v>
      </c>
      <c r="K158" s="20"/>
      <c r="L158" s="20"/>
      <c r="M158" s="20"/>
    </row>
    <row r="159" spans="2:13" x14ac:dyDescent="0.25">
      <c r="B159">
        <v>3</v>
      </c>
      <c r="C159" s="20" t="s">
        <v>20</v>
      </c>
      <c r="D159">
        <v>368</v>
      </c>
      <c r="E159">
        <v>368</v>
      </c>
      <c r="F159" s="20" t="s">
        <v>51</v>
      </c>
      <c r="G159" s="20">
        <f t="shared" si="4"/>
        <v>1</v>
      </c>
      <c r="H159" s="20">
        <f t="shared" si="5"/>
        <v>0</v>
      </c>
      <c r="I159" s="20">
        <f>_xlfn.MAXIFS($E$6:E158,$C$6:C158,detalhe_carro2[[#This Row],[Nó]],$B$6:B158,detalhe_carro2[[#This Row],[Numero Voltas]],$G$6:G158,1)</f>
        <v>268</v>
      </c>
      <c r="J159" s="20" t="str">
        <f>IF(OR(detalhe_carro2[[#This Row],[Ultima Chegada]]=0,detalhe_carro2[[#This Row],[Chegada]]=0),"",detalhe_carro2[[#This Row],[Hora Inicio]]-detalhe_carro2[[#This Row],[Ultima Chegada]])</f>
        <v/>
      </c>
      <c r="K159" s="20"/>
      <c r="L159" s="20"/>
      <c r="M159" s="20"/>
    </row>
    <row r="160" spans="2:13" x14ac:dyDescent="0.25">
      <c r="B160">
        <v>3</v>
      </c>
      <c r="C160" s="20" t="s">
        <v>22</v>
      </c>
      <c r="D160">
        <v>370</v>
      </c>
      <c r="E160">
        <v>370</v>
      </c>
      <c r="F160" s="20" t="s">
        <v>51</v>
      </c>
      <c r="G160" s="20">
        <f t="shared" si="4"/>
        <v>1</v>
      </c>
      <c r="H160" s="20">
        <f t="shared" si="5"/>
        <v>1</v>
      </c>
      <c r="I160" s="20">
        <f>_xlfn.MAXIFS($E$6:E159,$C$6:C159,detalhe_carro2[[#This Row],[Nó]],$B$6:B159,detalhe_carro2[[#This Row],[Numero Voltas]],$G$6:G159,1)</f>
        <v>364</v>
      </c>
      <c r="J160" s="20">
        <f>IF(OR(detalhe_carro2[[#This Row],[Ultima Chegada]]=0,detalhe_carro2[[#This Row],[Chegada]]=0),"",detalhe_carro2[[#This Row],[Hora Inicio]]-detalhe_carro2[[#This Row],[Ultima Chegada]])</f>
        <v>6</v>
      </c>
      <c r="K160" s="20"/>
      <c r="L160" s="20"/>
      <c r="M160" s="20"/>
    </row>
    <row r="161" spans="2:13" x14ac:dyDescent="0.25">
      <c r="B161">
        <v>3</v>
      </c>
      <c r="C161" s="20" t="s">
        <v>24</v>
      </c>
      <c r="D161">
        <v>372</v>
      </c>
      <c r="E161">
        <v>372</v>
      </c>
      <c r="F161" s="20" t="s">
        <v>51</v>
      </c>
      <c r="G161" s="20">
        <f t="shared" si="4"/>
        <v>1</v>
      </c>
      <c r="H161" s="20">
        <f t="shared" si="5"/>
        <v>1</v>
      </c>
      <c r="I161" s="20">
        <f>_xlfn.MAXIFS($E$6:E160,$C$6:C160,detalhe_carro2[[#This Row],[Nó]],$B$6:B160,detalhe_carro2[[#This Row],[Numero Voltas]],$G$6:G160,1)</f>
        <v>362</v>
      </c>
      <c r="J161" s="20">
        <f>IF(OR(detalhe_carro2[[#This Row],[Ultima Chegada]]=0,detalhe_carro2[[#This Row],[Chegada]]=0),"",detalhe_carro2[[#This Row],[Hora Inicio]]-detalhe_carro2[[#This Row],[Ultima Chegada]])</f>
        <v>10</v>
      </c>
      <c r="K161" s="20"/>
      <c r="L161" s="20"/>
      <c r="M161" s="20"/>
    </row>
    <row r="162" spans="2:13" x14ac:dyDescent="0.25">
      <c r="B162">
        <v>3</v>
      </c>
      <c r="C162" s="20" t="s">
        <v>26</v>
      </c>
      <c r="D162">
        <v>374</v>
      </c>
      <c r="E162">
        <v>374</v>
      </c>
      <c r="F162" s="20" t="s">
        <v>51</v>
      </c>
      <c r="G162" s="20">
        <f t="shared" si="4"/>
        <v>1</v>
      </c>
      <c r="H162" s="20">
        <f t="shared" si="5"/>
        <v>1</v>
      </c>
      <c r="I162" s="20">
        <f>_xlfn.MAXIFS($E$6:E161,$C$6:C161,detalhe_carro2[[#This Row],[Nó]],$B$6:B161,detalhe_carro2[[#This Row],[Numero Voltas]],$G$6:G161,1)</f>
        <v>360</v>
      </c>
      <c r="J162" s="20">
        <f>IF(OR(detalhe_carro2[[#This Row],[Ultima Chegada]]=0,detalhe_carro2[[#This Row],[Chegada]]=0),"",detalhe_carro2[[#This Row],[Hora Inicio]]-detalhe_carro2[[#This Row],[Ultima Chegada]])</f>
        <v>14</v>
      </c>
      <c r="K162" s="20"/>
      <c r="L162" s="20"/>
      <c r="M162" s="20"/>
    </row>
    <row r="163" spans="2:13" x14ac:dyDescent="0.25">
      <c r="B163">
        <v>3</v>
      </c>
      <c r="C163" s="20" t="s">
        <v>27</v>
      </c>
      <c r="D163">
        <v>376</v>
      </c>
      <c r="E163">
        <v>376</v>
      </c>
      <c r="F163" s="20" t="s">
        <v>51</v>
      </c>
      <c r="G163" s="20">
        <f t="shared" si="4"/>
        <v>1</v>
      </c>
      <c r="H163" s="20">
        <f t="shared" si="5"/>
        <v>1</v>
      </c>
      <c r="I163" s="20">
        <f>_xlfn.MAXIFS($E$6:E162,$C$6:C162,detalhe_carro2[[#This Row],[Nó]],$B$6:B162,detalhe_carro2[[#This Row],[Numero Voltas]],$G$6:G162,1)</f>
        <v>298</v>
      </c>
      <c r="J163" s="20">
        <f>IF(OR(detalhe_carro2[[#This Row],[Ultima Chegada]]=0,detalhe_carro2[[#This Row],[Chegada]]=0),"",detalhe_carro2[[#This Row],[Hora Inicio]]-detalhe_carro2[[#This Row],[Ultima Chegada]])</f>
        <v>78</v>
      </c>
      <c r="K163" s="20"/>
      <c r="L163" s="20"/>
      <c r="M163" s="20"/>
    </row>
    <row r="164" spans="2:13" x14ac:dyDescent="0.25">
      <c r="B164">
        <v>3</v>
      </c>
      <c r="C164" s="20" t="s">
        <v>29</v>
      </c>
      <c r="D164">
        <v>378</v>
      </c>
      <c r="E164">
        <v>378</v>
      </c>
      <c r="F164" s="20" t="s">
        <v>51</v>
      </c>
      <c r="G164" s="20">
        <f t="shared" si="4"/>
        <v>1</v>
      </c>
      <c r="H164" s="20">
        <f t="shared" si="5"/>
        <v>1</v>
      </c>
      <c r="I164" s="20">
        <f>_xlfn.MAXIFS($E$6:E163,$C$6:C163,detalhe_carro2[[#This Row],[Nó]],$B$6:B163,detalhe_carro2[[#This Row],[Numero Voltas]],$G$6:G163,1)</f>
        <v>296</v>
      </c>
      <c r="J164" s="20">
        <f>IF(OR(detalhe_carro2[[#This Row],[Ultima Chegada]]=0,detalhe_carro2[[#This Row],[Chegada]]=0),"",detalhe_carro2[[#This Row],[Hora Inicio]]-detalhe_carro2[[#This Row],[Ultima Chegada]])</f>
        <v>82</v>
      </c>
      <c r="K164" s="20"/>
      <c r="L164" s="20"/>
      <c r="M164" s="20"/>
    </row>
    <row r="165" spans="2:13" x14ac:dyDescent="0.25">
      <c r="B165">
        <v>3</v>
      </c>
      <c r="C165" s="20" t="s">
        <v>31</v>
      </c>
      <c r="D165">
        <v>382</v>
      </c>
      <c r="E165">
        <v>382</v>
      </c>
      <c r="F165" s="20" t="s">
        <v>51</v>
      </c>
      <c r="G165" s="20">
        <f t="shared" si="4"/>
        <v>1</v>
      </c>
      <c r="H165" s="20">
        <f t="shared" si="5"/>
        <v>1</v>
      </c>
      <c r="I165" s="20">
        <f>_xlfn.MAXIFS($E$6:E164,$C$6:C164,detalhe_carro2[[#This Row],[Nó]],$B$6:B164,detalhe_carro2[[#This Row],[Numero Voltas]],$G$6:G164,1)</f>
        <v>292</v>
      </c>
      <c r="J165" s="20">
        <f>IF(OR(detalhe_carro2[[#This Row],[Ultima Chegada]]=0,detalhe_carro2[[#This Row],[Chegada]]=0),"",detalhe_carro2[[#This Row],[Hora Inicio]]-detalhe_carro2[[#This Row],[Ultima Chegada]])</f>
        <v>90</v>
      </c>
      <c r="K165" s="20"/>
      <c r="L165" s="20"/>
      <c r="M165" s="20"/>
    </row>
    <row r="166" spans="2:13" x14ac:dyDescent="0.25">
      <c r="B166">
        <v>3</v>
      </c>
      <c r="C166" s="20" t="s">
        <v>33</v>
      </c>
      <c r="D166">
        <v>386</v>
      </c>
      <c r="E166">
        <v>416</v>
      </c>
      <c r="F166" s="20" t="s">
        <v>52</v>
      </c>
      <c r="G166" s="20">
        <f t="shared" si="4"/>
        <v>0</v>
      </c>
      <c r="H166" s="20">
        <f t="shared" si="5"/>
        <v>1</v>
      </c>
      <c r="I166" s="20">
        <f>_xlfn.MAXIFS($E$6:E165,$C$6:C165,detalhe_carro2[[#This Row],[Nó]],$B$6:B165,detalhe_carro2[[#This Row],[Numero Voltas]],$G$6:G165,1)</f>
        <v>288</v>
      </c>
      <c r="J166" s="20">
        <f>IF(OR(detalhe_carro2[[#This Row],[Ultima Chegada]]=0,detalhe_carro2[[#This Row],[Chegada]]=0),"",detalhe_carro2[[#This Row],[Hora Inicio]]-detalhe_carro2[[#This Row],[Ultima Chegada]])</f>
        <v>98</v>
      </c>
      <c r="K166" s="20"/>
      <c r="L166" s="20"/>
      <c r="M166" s="20"/>
    </row>
    <row r="167" spans="2:13" x14ac:dyDescent="0.25">
      <c r="B167">
        <v>3</v>
      </c>
      <c r="C167" s="20" t="s">
        <v>33</v>
      </c>
      <c r="D167">
        <v>416</v>
      </c>
      <c r="E167">
        <v>416</v>
      </c>
      <c r="F167" s="20" t="s">
        <v>51</v>
      </c>
      <c r="G167" s="20">
        <f t="shared" si="4"/>
        <v>0</v>
      </c>
      <c r="H167" s="20">
        <f t="shared" si="5"/>
        <v>0</v>
      </c>
      <c r="I167" s="20">
        <f>_xlfn.MAXIFS($E$6:E166,$C$6:C166,detalhe_carro2[[#This Row],[Nó]],$B$6:B166,detalhe_carro2[[#This Row],[Numero Voltas]],$G$6:G166,1)</f>
        <v>288</v>
      </c>
      <c r="J167" s="20" t="str">
        <f>IF(OR(detalhe_carro2[[#This Row],[Ultima Chegada]]=0,detalhe_carro2[[#This Row],[Chegada]]=0),"",detalhe_carro2[[#This Row],[Hora Inicio]]-detalhe_carro2[[#This Row],[Ultima Chegada]])</f>
        <v/>
      </c>
      <c r="K167" s="20"/>
      <c r="L167" s="20"/>
      <c r="M167" s="20"/>
    </row>
    <row r="168" spans="2:13" x14ac:dyDescent="0.25">
      <c r="B168">
        <v>3</v>
      </c>
      <c r="C168" s="20" t="s">
        <v>33</v>
      </c>
      <c r="D168">
        <v>418</v>
      </c>
      <c r="E168">
        <v>448</v>
      </c>
      <c r="F168" s="20" t="s">
        <v>52</v>
      </c>
      <c r="G168" s="20">
        <f t="shared" si="4"/>
        <v>0</v>
      </c>
      <c r="H168" s="20">
        <f t="shared" si="5"/>
        <v>0</v>
      </c>
      <c r="I168" s="20">
        <f>_xlfn.MAXIFS($E$6:E167,$C$6:C167,detalhe_carro2[[#This Row],[Nó]],$B$6:B167,detalhe_carro2[[#This Row],[Numero Voltas]],$G$6:G167,1)</f>
        <v>288</v>
      </c>
      <c r="J168" s="20" t="str">
        <f>IF(OR(detalhe_carro2[[#This Row],[Ultima Chegada]]=0,detalhe_carro2[[#This Row],[Chegada]]=0),"",detalhe_carro2[[#This Row],[Hora Inicio]]-detalhe_carro2[[#This Row],[Ultima Chegada]])</f>
        <v/>
      </c>
      <c r="K168" s="20"/>
      <c r="L168" s="20"/>
      <c r="M168" s="20"/>
    </row>
    <row r="169" spans="2:13" x14ac:dyDescent="0.25">
      <c r="B169">
        <v>3</v>
      </c>
      <c r="C169" s="20" t="s">
        <v>33</v>
      </c>
      <c r="D169">
        <v>448</v>
      </c>
      <c r="E169">
        <v>448</v>
      </c>
      <c r="F169" s="20" t="s">
        <v>51</v>
      </c>
      <c r="G169" s="20">
        <f t="shared" si="4"/>
        <v>0</v>
      </c>
      <c r="H169" s="20">
        <f t="shared" si="5"/>
        <v>0</v>
      </c>
      <c r="I169" s="20">
        <f>_xlfn.MAXIFS($E$6:E168,$C$6:C168,detalhe_carro2[[#This Row],[Nó]],$B$6:B168,detalhe_carro2[[#This Row],[Numero Voltas]],$G$6:G168,1)</f>
        <v>288</v>
      </c>
      <c r="J169" s="20" t="str">
        <f>IF(OR(detalhe_carro2[[#This Row],[Ultima Chegada]]=0,detalhe_carro2[[#This Row],[Chegada]]=0),"",detalhe_carro2[[#This Row],[Hora Inicio]]-detalhe_carro2[[#This Row],[Ultima Chegada]])</f>
        <v/>
      </c>
      <c r="K169" s="20"/>
      <c r="L169" s="20"/>
      <c r="M169" s="20"/>
    </row>
    <row r="170" spans="2:13" x14ac:dyDescent="0.25">
      <c r="B170">
        <v>3</v>
      </c>
      <c r="C170" s="20" t="s">
        <v>33</v>
      </c>
      <c r="D170">
        <v>450</v>
      </c>
      <c r="E170">
        <v>480</v>
      </c>
      <c r="F170" s="20" t="s">
        <v>52</v>
      </c>
      <c r="G170" s="20">
        <f t="shared" si="4"/>
        <v>0</v>
      </c>
      <c r="H170" s="20">
        <f t="shared" si="5"/>
        <v>0</v>
      </c>
      <c r="I170" s="20">
        <f>_xlfn.MAXIFS($E$6:E169,$C$6:C169,detalhe_carro2[[#This Row],[Nó]],$B$6:B169,detalhe_carro2[[#This Row],[Numero Voltas]],$G$6:G169,1)</f>
        <v>288</v>
      </c>
      <c r="J170" s="20" t="str">
        <f>IF(OR(detalhe_carro2[[#This Row],[Ultima Chegada]]=0,detalhe_carro2[[#This Row],[Chegada]]=0),"",detalhe_carro2[[#This Row],[Hora Inicio]]-detalhe_carro2[[#This Row],[Ultima Chegada]])</f>
        <v/>
      </c>
      <c r="K170" s="20"/>
      <c r="L170" s="20"/>
      <c r="M170" s="20"/>
    </row>
    <row r="171" spans="2:13" x14ac:dyDescent="0.25">
      <c r="B171">
        <v>3</v>
      </c>
      <c r="C171" s="20" t="s">
        <v>33</v>
      </c>
      <c r="D171">
        <v>480</v>
      </c>
      <c r="E171">
        <v>480</v>
      </c>
      <c r="F171" s="20" t="s">
        <v>51</v>
      </c>
      <c r="G171" s="20">
        <f t="shared" si="4"/>
        <v>0</v>
      </c>
      <c r="H171" s="20">
        <f t="shared" si="5"/>
        <v>0</v>
      </c>
      <c r="I171" s="20">
        <f>_xlfn.MAXIFS($E$6:E170,$C$6:C170,detalhe_carro2[[#This Row],[Nó]],$B$6:B170,detalhe_carro2[[#This Row],[Numero Voltas]],$G$6:G170,1)</f>
        <v>288</v>
      </c>
      <c r="J171" s="20" t="str">
        <f>IF(OR(detalhe_carro2[[#This Row],[Ultima Chegada]]=0,detalhe_carro2[[#This Row],[Chegada]]=0),"",detalhe_carro2[[#This Row],[Hora Inicio]]-detalhe_carro2[[#This Row],[Ultima Chegada]])</f>
        <v/>
      </c>
      <c r="K171" s="20"/>
      <c r="L171" s="20"/>
      <c r="M171" s="20"/>
    </row>
    <row r="172" spans="2:13" x14ac:dyDescent="0.25">
      <c r="B172">
        <v>4</v>
      </c>
      <c r="C172" s="20" t="s">
        <v>33</v>
      </c>
      <c r="D172">
        <v>0</v>
      </c>
      <c r="E172">
        <v>0</v>
      </c>
      <c r="F172" s="20" t="s">
        <v>49</v>
      </c>
      <c r="G172" s="20">
        <f t="shared" si="4"/>
        <v>0</v>
      </c>
      <c r="H172" s="20">
        <f t="shared" si="5"/>
        <v>0</v>
      </c>
      <c r="I172" s="20">
        <f>_xlfn.MAXIFS($E$6:E171,$C$6:C171,detalhe_carro2[[#This Row],[Nó]],$B$6:B171,detalhe_carro2[[#This Row],[Numero Voltas]],$G$6:G171,1)</f>
        <v>0</v>
      </c>
      <c r="J172" s="20" t="str">
        <f>IF(OR(detalhe_carro2[[#This Row],[Ultima Chegada]]=0,detalhe_carro2[[#This Row],[Chegada]]=0),"",detalhe_carro2[[#This Row],[Hora Inicio]]-detalhe_carro2[[#This Row],[Ultima Chegada]])</f>
        <v/>
      </c>
      <c r="K172" s="20"/>
      <c r="L172" s="20"/>
      <c r="M172" s="20"/>
    </row>
    <row r="173" spans="2:13" x14ac:dyDescent="0.25">
      <c r="B173">
        <v>4</v>
      </c>
      <c r="C173" s="20" t="s">
        <v>33</v>
      </c>
      <c r="D173">
        <v>2</v>
      </c>
      <c r="E173">
        <v>15</v>
      </c>
      <c r="F173" s="20" t="s">
        <v>50</v>
      </c>
      <c r="G173" s="20">
        <f t="shared" si="4"/>
        <v>0</v>
      </c>
      <c r="H173" s="20">
        <f t="shared" si="5"/>
        <v>0</v>
      </c>
      <c r="I173" s="20">
        <f>_xlfn.MAXIFS($E$6:E172,$C$6:C172,detalhe_carro2[[#This Row],[Nó]],$B$6:B172,detalhe_carro2[[#This Row],[Numero Voltas]],$G$6:G172,1)</f>
        <v>0</v>
      </c>
      <c r="J173" s="20" t="str">
        <f>IF(OR(detalhe_carro2[[#This Row],[Ultima Chegada]]=0,detalhe_carro2[[#This Row],[Chegada]]=0),"",detalhe_carro2[[#This Row],[Hora Inicio]]-detalhe_carro2[[#This Row],[Ultima Chegada]])</f>
        <v/>
      </c>
      <c r="K173" s="20"/>
      <c r="L173" s="20"/>
      <c r="M173" s="20"/>
    </row>
    <row r="174" spans="2:13" x14ac:dyDescent="0.25">
      <c r="B174">
        <v>4</v>
      </c>
      <c r="C174" s="20" t="s">
        <v>33</v>
      </c>
      <c r="D174">
        <v>15</v>
      </c>
      <c r="E174">
        <v>15</v>
      </c>
      <c r="F174" s="20" t="s">
        <v>51</v>
      </c>
      <c r="G174" s="20">
        <f t="shared" si="4"/>
        <v>1</v>
      </c>
      <c r="H174" s="20">
        <f t="shared" si="5"/>
        <v>0</v>
      </c>
      <c r="I174" s="20">
        <f>_xlfn.MAXIFS($E$6:E173,$C$6:C173,detalhe_carro2[[#This Row],[Nó]],$B$6:B173,detalhe_carro2[[#This Row],[Numero Voltas]],$G$6:G173,1)</f>
        <v>0</v>
      </c>
      <c r="J174" s="20" t="str">
        <f>IF(OR(detalhe_carro2[[#This Row],[Ultima Chegada]]=0,detalhe_carro2[[#This Row],[Chegada]]=0),"",detalhe_carro2[[#This Row],[Hora Inicio]]-detalhe_carro2[[#This Row],[Ultima Chegada]])</f>
        <v/>
      </c>
      <c r="K174" s="20"/>
      <c r="L174" s="20"/>
      <c r="M174" s="20"/>
    </row>
    <row r="175" spans="2:13" x14ac:dyDescent="0.25">
      <c r="B175">
        <v>4</v>
      </c>
      <c r="C175" s="20" t="s">
        <v>31</v>
      </c>
      <c r="D175">
        <v>19</v>
      </c>
      <c r="E175">
        <v>28</v>
      </c>
      <c r="F175" s="20" t="s">
        <v>50</v>
      </c>
      <c r="G175" s="20">
        <f t="shared" si="4"/>
        <v>0</v>
      </c>
      <c r="H175" s="20">
        <f t="shared" si="5"/>
        <v>1</v>
      </c>
      <c r="I175" s="20">
        <f>_xlfn.MAXIFS($E$6:E174,$C$6:C174,detalhe_carro2[[#This Row],[Nó]],$B$6:B174,detalhe_carro2[[#This Row],[Numero Voltas]],$G$6:G174,1)</f>
        <v>0</v>
      </c>
      <c r="J175" s="20" t="str">
        <f>IF(OR(detalhe_carro2[[#This Row],[Ultima Chegada]]=0,detalhe_carro2[[#This Row],[Chegada]]=0),"",detalhe_carro2[[#This Row],[Hora Inicio]]-detalhe_carro2[[#This Row],[Ultima Chegada]])</f>
        <v/>
      </c>
      <c r="K175" s="20"/>
      <c r="L175" s="20"/>
      <c r="M175" s="20"/>
    </row>
    <row r="176" spans="2:13" x14ac:dyDescent="0.25">
      <c r="B176">
        <v>4</v>
      </c>
      <c r="C176" s="20" t="s">
        <v>31</v>
      </c>
      <c r="D176">
        <v>28</v>
      </c>
      <c r="E176">
        <v>28</v>
      </c>
      <c r="F176" s="20" t="s">
        <v>51</v>
      </c>
      <c r="G176" s="20">
        <f t="shared" si="4"/>
        <v>1</v>
      </c>
      <c r="H176" s="20">
        <f t="shared" si="5"/>
        <v>0</v>
      </c>
      <c r="I176" s="20">
        <f>_xlfn.MAXIFS($E$6:E175,$C$6:C175,detalhe_carro2[[#This Row],[Nó]],$B$6:B175,detalhe_carro2[[#This Row],[Numero Voltas]],$G$6:G175,1)</f>
        <v>0</v>
      </c>
      <c r="J176" s="20" t="str">
        <f>IF(OR(detalhe_carro2[[#This Row],[Ultima Chegada]]=0,detalhe_carro2[[#This Row],[Chegada]]=0),"",detalhe_carro2[[#This Row],[Hora Inicio]]-detalhe_carro2[[#This Row],[Ultima Chegada]])</f>
        <v/>
      </c>
      <c r="K176" s="20"/>
      <c r="L176" s="20"/>
      <c r="M176" s="20"/>
    </row>
    <row r="177" spans="2:13" x14ac:dyDescent="0.25">
      <c r="B177">
        <v>4</v>
      </c>
      <c r="C177" s="20" t="s">
        <v>29</v>
      </c>
      <c r="D177">
        <v>32</v>
      </c>
      <c r="E177">
        <v>60</v>
      </c>
      <c r="F177" s="20" t="s">
        <v>50</v>
      </c>
      <c r="G177" s="20">
        <f t="shared" si="4"/>
        <v>0</v>
      </c>
      <c r="H177" s="20">
        <f t="shared" si="5"/>
        <v>1</v>
      </c>
      <c r="I177" s="20">
        <f>_xlfn.MAXIFS($E$6:E176,$C$6:C176,detalhe_carro2[[#This Row],[Nó]],$B$6:B176,detalhe_carro2[[#This Row],[Numero Voltas]],$G$6:G176,1)</f>
        <v>0</v>
      </c>
      <c r="J177" s="20" t="str">
        <f>IF(OR(detalhe_carro2[[#This Row],[Ultima Chegada]]=0,detalhe_carro2[[#This Row],[Chegada]]=0),"",detalhe_carro2[[#This Row],[Hora Inicio]]-detalhe_carro2[[#This Row],[Ultima Chegada]])</f>
        <v/>
      </c>
      <c r="K177" s="20"/>
      <c r="L177" s="20"/>
      <c r="M177" s="20"/>
    </row>
    <row r="178" spans="2:13" x14ac:dyDescent="0.25">
      <c r="B178">
        <v>4</v>
      </c>
      <c r="C178" s="20" t="s">
        <v>29</v>
      </c>
      <c r="D178">
        <v>60</v>
      </c>
      <c r="E178">
        <v>60</v>
      </c>
      <c r="F178" s="20" t="s">
        <v>51</v>
      </c>
      <c r="G178" s="20">
        <f t="shared" si="4"/>
        <v>1</v>
      </c>
      <c r="H178" s="20">
        <f t="shared" si="5"/>
        <v>0</v>
      </c>
      <c r="I178" s="20">
        <f>_xlfn.MAXIFS($E$6:E177,$C$6:C177,detalhe_carro2[[#This Row],[Nó]],$B$6:B177,detalhe_carro2[[#This Row],[Numero Voltas]],$G$6:G177,1)</f>
        <v>0</v>
      </c>
      <c r="J178" s="20" t="str">
        <f>IF(OR(detalhe_carro2[[#This Row],[Ultima Chegada]]=0,detalhe_carro2[[#This Row],[Chegada]]=0),"",detalhe_carro2[[#This Row],[Hora Inicio]]-detalhe_carro2[[#This Row],[Ultima Chegada]])</f>
        <v/>
      </c>
      <c r="K178" s="20"/>
      <c r="L178" s="20"/>
      <c r="M178" s="20"/>
    </row>
    <row r="179" spans="2:13" x14ac:dyDescent="0.25">
      <c r="B179">
        <v>4</v>
      </c>
      <c r="C179" s="20" t="s">
        <v>27</v>
      </c>
      <c r="D179">
        <v>62</v>
      </c>
      <c r="E179">
        <v>75</v>
      </c>
      <c r="F179" s="20" t="s">
        <v>50</v>
      </c>
      <c r="G179" s="20">
        <f t="shared" si="4"/>
        <v>0</v>
      </c>
      <c r="H179" s="20">
        <f t="shared" si="5"/>
        <v>1</v>
      </c>
      <c r="I179" s="20">
        <f>_xlfn.MAXIFS($E$6:E178,$C$6:C178,detalhe_carro2[[#This Row],[Nó]],$B$6:B178,detalhe_carro2[[#This Row],[Numero Voltas]],$G$6:G178,1)</f>
        <v>0</v>
      </c>
      <c r="J179" s="20" t="str">
        <f>IF(OR(detalhe_carro2[[#This Row],[Ultima Chegada]]=0,detalhe_carro2[[#This Row],[Chegada]]=0),"",detalhe_carro2[[#This Row],[Hora Inicio]]-detalhe_carro2[[#This Row],[Ultima Chegada]])</f>
        <v/>
      </c>
      <c r="K179" s="20"/>
      <c r="L179" s="20"/>
      <c r="M179" s="20"/>
    </row>
    <row r="180" spans="2:13" x14ac:dyDescent="0.25">
      <c r="B180">
        <v>4</v>
      </c>
      <c r="C180" s="20" t="s">
        <v>27</v>
      </c>
      <c r="D180">
        <v>75</v>
      </c>
      <c r="E180">
        <v>75</v>
      </c>
      <c r="F180" s="20" t="s">
        <v>51</v>
      </c>
      <c r="G180" s="20">
        <f t="shared" si="4"/>
        <v>1</v>
      </c>
      <c r="H180" s="20">
        <f t="shared" si="5"/>
        <v>0</v>
      </c>
      <c r="I180" s="20">
        <f>_xlfn.MAXIFS($E$6:E179,$C$6:C179,detalhe_carro2[[#This Row],[Nó]],$B$6:B179,detalhe_carro2[[#This Row],[Numero Voltas]],$G$6:G179,1)</f>
        <v>0</v>
      </c>
      <c r="J180" s="20" t="str">
        <f>IF(OR(detalhe_carro2[[#This Row],[Ultima Chegada]]=0,detalhe_carro2[[#This Row],[Chegada]]=0),"",detalhe_carro2[[#This Row],[Hora Inicio]]-detalhe_carro2[[#This Row],[Ultima Chegada]])</f>
        <v/>
      </c>
      <c r="K180" s="20"/>
      <c r="L180" s="20"/>
      <c r="M180" s="20"/>
    </row>
    <row r="181" spans="2:13" x14ac:dyDescent="0.25">
      <c r="B181">
        <v>4</v>
      </c>
      <c r="C181" s="20" t="s">
        <v>26</v>
      </c>
      <c r="D181">
        <v>77</v>
      </c>
      <c r="E181">
        <v>87</v>
      </c>
      <c r="F181" s="20" t="s">
        <v>50</v>
      </c>
      <c r="G181" s="20">
        <f t="shared" si="4"/>
        <v>0</v>
      </c>
      <c r="H181" s="20">
        <f t="shared" si="5"/>
        <v>1</v>
      </c>
      <c r="I181" s="20">
        <f>_xlfn.MAXIFS($E$6:E180,$C$6:C180,detalhe_carro2[[#This Row],[Nó]],$B$6:B180,detalhe_carro2[[#This Row],[Numero Voltas]],$G$6:G180,1)</f>
        <v>0</v>
      </c>
      <c r="J181" s="20" t="str">
        <f>IF(OR(detalhe_carro2[[#This Row],[Ultima Chegada]]=0,detalhe_carro2[[#This Row],[Chegada]]=0),"",detalhe_carro2[[#This Row],[Hora Inicio]]-detalhe_carro2[[#This Row],[Ultima Chegada]])</f>
        <v/>
      </c>
      <c r="K181" s="20"/>
      <c r="L181" s="20"/>
      <c r="M181" s="20"/>
    </row>
    <row r="182" spans="2:13" x14ac:dyDescent="0.25">
      <c r="B182">
        <v>4</v>
      </c>
      <c r="C182" s="20" t="s">
        <v>26</v>
      </c>
      <c r="D182">
        <v>87</v>
      </c>
      <c r="E182">
        <v>87</v>
      </c>
      <c r="F182" s="20" t="s">
        <v>51</v>
      </c>
      <c r="G182" s="20">
        <f t="shared" si="4"/>
        <v>1</v>
      </c>
      <c r="H182" s="20">
        <f t="shared" si="5"/>
        <v>0</v>
      </c>
      <c r="I182" s="20">
        <f>_xlfn.MAXIFS($E$6:E181,$C$6:C181,detalhe_carro2[[#This Row],[Nó]],$B$6:B181,detalhe_carro2[[#This Row],[Numero Voltas]],$G$6:G181,1)</f>
        <v>0</v>
      </c>
      <c r="J182" s="20" t="str">
        <f>IF(OR(detalhe_carro2[[#This Row],[Ultima Chegada]]=0,detalhe_carro2[[#This Row],[Chegada]]=0),"",detalhe_carro2[[#This Row],[Hora Inicio]]-detalhe_carro2[[#This Row],[Ultima Chegada]])</f>
        <v/>
      </c>
      <c r="K182" s="20"/>
      <c r="L182" s="20"/>
      <c r="M182" s="20"/>
    </row>
    <row r="183" spans="2:13" x14ac:dyDescent="0.25">
      <c r="B183">
        <v>4</v>
      </c>
      <c r="C183" s="20" t="s">
        <v>24</v>
      </c>
      <c r="D183">
        <v>103</v>
      </c>
      <c r="E183">
        <v>123</v>
      </c>
      <c r="F183" s="20" t="s">
        <v>54</v>
      </c>
      <c r="G183" s="20">
        <f t="shared" si="4"/>
        <v>0</v>
      </c>
      <c r="H183" s="20">
        <f t="shared" si="5"/>
        <v>1</v>
      </c>
      <c r="I183" s="20">
        <f>_xlfn.MAXIFS($E$6:E182,$C$6:C182,detalhe_carro2[[#This Row],[Nó]],$B$6:B182,detalhe_carro2[[#This Row],[Numero Voltas]],$G$6:G182,1)</f>
        <v>0</v>
      </c>
      <c r="J183" s="20" t="str">
        <f>IF(OR(detalhe_carro2[[#This Row],[Ultima Chegada]]=0,detalhe_carro2[[#This Row],[Chegada]]=0),"",detalhe_carro2[[#This Row],[Hora Inicio]]-detalhe_carro2[[#This Row],[Ultima Chegada]])</f>
        <v/>
      </c>
      <c r="K183" s="20"/>
      <c r="L183" s="20"/>
      <c r="M183" s="20"/>
    </row>
    <row r="184" spans="2:13" x14ac:dyDescent="0.25">
      <c r="B184">
        <v>4</v>
      </c>
      <c r="C184" s="20" t="s">
        <v>24</v>
      </c>
      <c r="D184">
        <v>109</v>
      </c>
      <c r="E184">
        <v>123</v>
      </c>
      <c r="F184" s="20" t="s">
        <v>50</v>
      </c>
      <c r="G184" s="20">
        <f t="shared" si="4"/>
        <v>0</v>
      </c>
      <c r="H184" s="20">
        <f t="shared" si="5"/>
        <v>0</v>
      </c>
      <c r="I184" s="20">
        <f>_xlfn.MAXIFS($E$6:E183,$C$6:C183,detalhe_carro2[[#This Row],[Nó]],$B$6:B183,detalhe_carro2[[#This Row],[Numero Voltas]],$G$6:G183,1)</f>
        <v>0</v>
      </c>
      <c r="J184" s="20" t="str">
        <f>IF(OR(detalhe_carro2[[#This Row],[Ultima Chegada]]=0,detalhe_carro2[[#This Row],[Chegada]]=0),"",detalhe_carro2[[#This Row],[Hora Inicio]]-detalhe_carro2[[#This Row],[Ultima Chegada]])</f>
        <v/>
      </c>
      <c r="K184" s="20"/>
      <c r="L184" s="20"/>
      <c r="M184" s="20"/>
    </row>
    <row r="185" spans="2:13" x14ac:dyDescent="0.25">
      <c r="B185">
        <v>4</v>
      </c>
      <c r="C185" s="20" t="s">
        <v>24</v>
      </c>
      <c r="D185">
        <v>123</v>
      </c>
      <c r="E185">
        <v>123</v>
      </c>
      <c r="F185" s="20" t="s">
        <v>51</v>
      </c>
      <c r="G185" s="20">
        <f t="shared" si="4"/>
        <v>1</v>
      </c>
      <c r="H185" s="20">
        <f t="shared" si="5"/>
        <v>0</v>
      </c>
      <c r="I185" s="20">
        <f>_xlfn.MAXIFS($E$6:E184,$C$6:C184,detalhe_carro2[[#This Row],[Nó]],$B$6:B184,detalhe_carro2[[#This Row],[Numero Voltas]],$G$6:G184,1)</f>
        <v>0</v>
      </c>
      <c r="J185" s="20" t="str">
        <f>IF(OR(detalhe_carro2[[#This Row],[Ultima Chegada]]=0,detalhe_carro2[[#This Row],[Chegada]]=0),"",detalhe_carro2[[#This Row],[Hora Inicio]]-detalhe_carro2[[#This Row],[Ultima Chegada]])</f>
        <v/>
      </c>
      <c r="K185" s="20"/>
      <c r="L185" s="20"/>
      <c r="M185" s="20"/>
    </row>
    <row r="186" spans="2:13" x14ac:dyDescent="0.25">
      <c r="B186">
        <v>4</v>
      </c>
      <c r="C186" s="20" t="s">
        <v>22</v>
      </c>
      <c r="D186">
        <v>125</v>
      </c>
      <c r="E186">
        <v>130</v>
      </c>
      <c r="F186" s="20" t="s">
        <v>50</v>
      </c>
      <c r="G186" s="20">
        <f t="shared" si="4"/>
        <v>0</v>
      </c>
      <c r="H186" s="20">
        <f t="shared" si="5"/>
        <v>1</v>
      </c>
      <c r="I186" s="20">
        <f>_xlfn.MAXIFS($E$6:E185,$C$6:C185,detalhe_carro2[[#This Row],[Nó]],$B$6:B185,detalhe_carro2[[#This Row],[Numero Voltas]],$G$6:G185,1)</f>
        <v>0</v>
      </c>
      <c r="J186" s="20" t="str">
        <f>IF(OR(detalhe_carro2[[#This Row],[Ultima Chegada]]=0,detalhe_carro2[[#This Row],[Chegada]]=0),"",detalhe_carro2[[#This Row],[Hora Inicio]]-detalhe_carro2[[#This Row],[Ultima Chegada]])</f>
        <v/>
      </c>
      <c r="K186" s="20"/>
      <c r="L186" s="20"/>
      <c r="M186" s="20"/>
    </row>
    <row r="187" spans="2:13" x14ac:dyDescent="0.25">
      <c r="B187">
        <v>4</v>
      </c>
      <c r="C187" s="20" t="s">
        <v>22</v>
      </c>
      <c r="D187">
        <v>130</v>
      </c>
      <c r="E187">
        <v>130</v>
      </c>
      <c r="F187" s="20" t="s">
        <v>51</v>
      </c>
      <c r="G187" s="20">
        <f t="shared" si="4"/>
        <v>1</v>
      </c>
      <c r="H187" s="20">
        <f t="shared" si="5"/>
        <v>0</v>
      </c>
      <c r="I187" s="20">
        <f>_xlfn.MAXIFS($E$6:E186,$C$6:C186,detalhe_carro2[[#This Row],[Nó]],$B$6:B186,detalhe_carro2[[#This Row],[Numero Voltas]],$G$6:G186,1)</f>
        <v>0</v>
      </c>
      <c r="J187" s="20" t="str">
        <f>IF(OR(detalhe_carro2[[#This Row],[Ultima Chegada]]=0,detalhe_carro2[[#This Row],[Chegada]]=0),"",detalhe_carro2[[#This Row],[Hora Inicio]]-detalhe_carro2[[#This Row],[Ultima Chegada]])</f>
        <v/>
      </c>
      <c r="K187" s="20"/>
      <c r="L187" s="20"/>
      <c r="M187" s="20"/>
    </row>
    <row r="188" spans="2:13" x14ac:dyDescent="0.25">
      <c r="B188">
        <v>4</v>
      </c>
      <c r="C188" s="20" t="s">
        <v>20</v>
      </c>
      <c r="D188">
        <v>132</v>
      </c>
      <c r="E188">
        <v>132</v>
      </c>
      <c r="F188" s="20" t="s">
        <v>51</v>
      </c>
      <c r="G188" s="20">
        <f t="shared" si="4"/>
        <v>0</v>
      </c>
      <c r="H188" s="20">
        <f t="shared" si="5"/>
        <v>1</v>
      </c>
      <c r="I188" s="20">
        <f>_xlfn.MAXIFS($E$6:E187,$C$6:C187,detalhe_carro2[[#This Row],[Nó]],$B$6:B187,detalhe_carro2[[#This Row],[Numero Voltas]],$G$6:G187,1)</f>
        <v>0</v>
      </c>
      <c r="J188" s="20" t="str">
        <f>IF(OR(detalhe_carro2[[#This Row],[Ultima Chegada]]=0,detalhe_carro2[[#This Row],[Chegada]]=0),"",detalhe_carro2[[#This Row],[Hora Inicio]]-detalhe_carro2[[#This Row],[Ultima Chegada]])</f>
        <v/>
      </c>
      <c r="K188" s="20"/>
      <c r="L188" s="20"/>
      <c r="M188" s="20"/>
    </row>
    <row r="189" spans="2:13" x14ac:dyDescent="0.25">
      <c r="B189">
        <v>4</v>
      </c>
      <c r="C189" s="20" t="s">
        <v>20</v>
      </c>
      <c r="D189">
        <v>134</v>
      </c>
      <c r="E189">
        <v>149</v>
      </c>
      <c r="F189" s="20" t="s">
        <v>50</v>
      </c>
      <c r="G189" s="20">
        <f t="shared" si="4"/>
        <v>0</v>
      </c>
      <c r="H189" s="20">
        <f t="shared" si="5"/>
        <v>0</v>
      </c>
      <c r="I189" s="20">
        <f>_xlfn.MAXIFS($E$6:E188,$C$6:C188,detalhe_carro2[[#This Row],[Nó]],$B$6:B188,detalhe_carro2[[#This Row],[Numero Voltas]],$G$6:G188,1)</f>
        <v>0</v>
      </c>
      <c r="J189" s="20" t="str">
        <f>IF(OR(detalhe_carro2[[#This Row],[Ultima Chegada]]=0,detalhe_carro2[[#This Row],[Chegada]]=0),"",detalhe_carro2[[#This Row],[Hora Inicio]]-detalhe_carro2[[#This Row],[Ultima Chegada]])</f>
        <v/>
      </c>
      <c r="K189" s="20"/>
      <c r="L189" s="20"/>
      <c r="M189" s="20"/>
    </row>
    <row r="190" spans="2:13" x14ac:dyDescent="0.25">
      <c r="B190">
        <v>4</v>
      </c>
      <c r="C190" s="20" t="s">
        <v>20</v>
      </c>
      <c r="D190">
        <v>149</v>
      </c>
      <c r="E190">
        <v>149</v>
      </c>
      <c r="F190" s="20" t="s">
        <v>51</v>
      </c>
      <c r="G190" s="20">
        <f t="shared" si="4"/>
        <v>1</v>
      </c>
      <c r="H190" s="20">
        <f t="shared" si="5"/>
        <v>0</v>
      </c>
      <c r="I190" s="20">
        <f>_xlfn.MAXIFS($E$6:E189,$C$6:C189,detalhe_carro2[[#This Row],[Nó]],$B$6:B189,detalhe_carro2[[#This Row],[Numero Voltas]],$G$6:G189,1)</f>
        <v>0</v>
      </c>
      <c r="J190" s="20" t="str">
        <f>IF(OR(detalhe_carro2[[#This Row],[Ultima Chegada]]=0,detalhe_carro2[[#This Row],[Chegada]]=0),"",detalhe_carro2[[#This Row],[Hora Inicio]]-detalhe_carro2[[#This Row],[Ultima Chegada]])</f>
        <v/>
      </c>
      <c r="K190" s="20"/>
      <c r="L190" s="20"/>
      <c r="M190" s="20"/>
    </row>
    <row r="191" spans="2:13" x14ac:dyDescent="0.25">
      <c r="B191">
        <v>4</v>
      </c>
      <c r="C191" s="20" t="s">
        <v>22</v>
      </c>
      <c r="D191">
        <v>151</v>
      </c>
      <c r="E191">
        <v>156</v>
      </c>
      <c r="F191" s="20" t="s">
        <v>50</v>
      </c>
      <c r="G191" s="20">
        <f t="shared" si="4"/>
        <v>0</v>
      </c>
      <c r="H191" s="20">
        <f t="shared" si="5"/>
        <v>1</v>
      </c>
      <c r="I191" s="20">
        <f>_xlfn.MAXIFS($E$6:E190,$C$6:C190,detalhe_carro2[[#This Row],[Nó]],$B$6:B190,detalhe_carro2[[#This Row],[Numero Voltas]],$G$6:G190,1)</f>
        <v>130</v>
      </c>
      <c r="J191" s="20">
        <f>IF(OR(detalhe_carro2[[#This Row],[Ultima Chegada]]=0,detalhe_carro2[[#This Row],[Chegada]]=0),"",detalhe_carro2[[#This Row],[Hora Inicio]]-detalhe_carro2[[#This Row],[Ultima Chegada]])</f>
        <v>21</v>
      </c>
      <c r="K191" s="20"/>
      <c r="L191" s="20"/>
      <c r="M191" s="20"/>
    </row>
    <row r="192" spans="2:13" x14ac:dyDescent="0.25">
      <c r="B192">
        <v>4</v>
      </c>
      <c r="C192" s="20" t="s">
        <v>22</v>
      </c>
      <c r="D192">
        <v>156</v>
      </c>
      <c r="E192">
        <v>156</v>
      </c>
      <c r="F192" s="20" t="s">
        <v>51</v>
      </c>
      <c r="G192" s="20">
        <f t="shared" si="4"/>
        <v>1</v>
      </c>
      <c r="H192" s="20">
        <f t="shared" si="5"/>
        <v>0</v>
      </c>
      <c r="I192" s="20">
        <f>_xlfn.MAXIFS($E$6:E191,$C$6:C191,detalhe_carro2[[#This Row],[Nó]],$B$6:B191,detalhe_carro2[[#This Row],[Numero Voltas]],$G$6:G191,1)</f>
        <v>130</v>
      </c>
      <c r="J192" s="20" t="str">
        <f>IF(OR(detalhe_carro2[[#This Row],[Ultima Chegada]]=0,detalhe_carro2[[#This Row],[Chegada]]=0),"",detalhe_carro2[[#This Row],[Hora Inicio]]-detalhe_carro2[[#This Row],[Ultima Chegada]])</f>
        <v/>
      </c>
      <c r="K192" s="20"/>
      <c r="L192" s="20"/>
      <c r="M192" s="20"/>
    </row>
    <row r="193" spans="2:13" x14ac:dyDescent="0.25">
      <c r="B193">
        <v>4</v>
      </c>
      <c r="C193" s="20" t="s">
        <v>24</v>
      </c>
      <c r="D193">
        <v>158</v>
      </c>
      <c r="E193">
        <v>172</v>
      </c>
      <c r="F193" s="20" t="s">
        <v>50</v>
      </c>
      <c r="G193" s="20">
        <f t="shared" si="4"/>
        <v>0</v>
      </c>
      <c r="H193" s="20">
        <f t="shared" si="5"/>
        <v>1</v>
      </c>
      <c r="I193" s="20">
        <f>_xlfn.MAXIFS($E$6:E192,$C$6:C192,detalhe_carro2[[#This Row],[Nó]],$B$6:B192,detalhe_carro2[[#This Row],[Numero Voltas]],$G$6:G192,1)</f>
        <v>123</v>
      </c>
      <c r="J193" s="20">
        <f>IF(OR(detalhe_carro2[[#This Row],[Ultima Chegada]]=0,detalhe_carro2[[#This Row],[Chegada]]=0),"",detalhe_carro2[[#This Row],[Hora Inicio]]-detalhe_carro2[[#This Row],[Ultima Chegada]])</f>
        <v>35</v>
      </c>
      <c r="K193" s="20"/>
      <c r="L193" s="20"/>
      <c r="M193" s="20"/>
    </row>
    <row r="194" spans="2:13" x14ac:dyDescent="0.25">
      <c r="B194">
        <v>4</v>
      </c>
      <c r="C194" s="20" t="s">
        <v>24</v>
      </c>
      <c r="D194">
        <v>172</v>
      </c>
      <c r="E194">
        <v>172</v>
      </c>
      <c r="F194" s="20" t="s">
        <v>51</v>
      </c>
      <c r="G194" s="20">
        <f t="shared" si="4"/>
        <v>1</v>
      </c>
      <c r="H194" s="20">
        <f t="shared" si="5"/>
        <v>0</v>
      </c>
      <c r="I194" s="20">
        <f>_xlfn.MAXIFS($E$6:E193,$C$6:C193,detalhe_carro2[[#This Row],[Nó]],$B$6:B193,detalhe_carro2[[#This Row],[Numero Voltas]],$G$6:G193,1)</f>
        <v>123</v>
      </c>
      <c r="J194" s="20" t="str">
        <f>IF(OR(detalhe_carro2[[#This Row],[Ultima Chegada]]=0,detalhe_carro2[[#This Row],[Chegada]]=0),"",detalhe_carro2[[#This Row],[Hora Inicio]]-detalhe_carro2[[#This Row],[Ultima Chegada]])</f>
        <v/>
      </c>
      <c r="K194" s="20"/>
      <c r="L194" s="20"/>
      <c r="M194" s="20"/>
    </row>
    <row r="195" spans="2:13" x14ac:dyDescent="0.25">
      <c r="B195">
        <v>4</v>
      </c>
      <c r="C195" s="20" t="s">
        <v>26</v>
      </c>
      <c r="D195">
        <v>174</v>
      </c>
      <c r="E195">
        <v>184</v>
      </c>
      <c r="F195" s="20" t="s">
        <v>50</v>
      </c>
      <c r="G195" s="20">
        <f t="shared" si="4"/>
        <v>0</v>
      </c>
      <c r="H195" s="20">
        <f t="shared" si="5"/>
        <v>1</v>
      </c>
      <c r="I195" s="20">
        <f>_xlfn.MAXIFS($E$6:E194,$C$6:C194,detalhe_carro2[[#This Row],[Nó]],$B$6:B194,detalhe_carro2[[#This Row],[Numero Voltas]],$G$6:G194,1)</f>
        <v>87</v>
      </c>
      <c r="J195" s="20">
        <f>IF(OR(detalhe_carro2[[#This Row],[Ultima Chegada]]=0,detalhe_carro2[[#This Row],[Chegada]]=0),"",detalhe_carro2[[#This Row],[Hora Inicio]]-detalhe_carro2[[#This Row],[Ultima Chegada]])</f>
        <v>87</v>
      </c>
      <c r="K195" s="20"/>
      <c r="L195" s="20"/>
      <c r="M195" s="20"/>
    </row>
    <row r="196" spans="2:13" x14ac:dyDescent="0.25">
      <c r="B196">
        <v>4</v>
      </c>
      <c r="C196" s="20" t="s">
        <v>26</v>
      </c>
      <c r="D196">
        <v>184</v>
      </c>
      <c r="E196">
        <v>184</v>
      </c>
      <c r="F196" s="20" t="s">
        <v>51</v>
      </c>
      <c r="G196" s="20">
        <f t="shared" si="4"/>
        <v>1</v>
      </c>
      <c r="H196" s="20">
        <f t="shared" si="5"/>
        <v>0</v>
      </c>
      <c r="I196" s="20">
        <f>_xlfn.MAXIFS($E$6:E195,$C$6:C195,detalhe_carro2[[#This Row],[Nó]],$B$6:B195,detalhe_carro2[[#This Row],[Numero Voltas]],$G$6:G195,1)</f>
        <v>87</v>
      </c>
      <c r="J196" s="20" t="str">
        <f>IF(OR(detalhe_carro2[[#This Row],[Ultima Chegada]]=0,detalhe_carro2[[#This Row],[Chegada]]=0),"",detalhe_carro2[[#This Row],[Hora Inicio]]-detalhe_carro2[[#This Row],[Ultima Chegada]])</f>
        <v/>
      </c>
      <c r="K196" s="20"/>
      <c r="L196" s="20"/>
      <c r="M196" s="20"/>
    </row>
    <row r="197" spans="2:13" x14ac:dyDescent="0.25">
      <c r="B197">
        <v>4</v>
      </c>
      <c r="C197" s="20" t="s">
        <v>27</v>
      </c>
      <c r="D197">
        <v>186</v>
      </c>
      <c r="E197">
        <v>199</v>
      </c>
      <c r="F197" s="20" t="s">
        <v>50</v>
      </c>
      <c r="G197" s="20">
        <f t="shared" si="4"/>
        <v>0</v>
      </c>
      <c r="H197" s="20">
        <f t="shared" si="5"/>
        <v>1</v>
      </c>
      <c r="I197" s="20">
        <f>_xlfn.MAXIFS($E$6:E196,$C$6:C196,detalhe_carro2[[#This Row],[Nó]],$B$6:B196,detalhe_carro2[[#This Row],[Numero Voltas]],$G$6:G196,1)</f>
        <v>75</v>
      </c>
      <c r="J197" s="20">
        <f>IF(OR(detalhe_carro2[[#This Row],[Ultima Chegada]]=0,detalhe_carro2[[#This Row],[Chegada]]=0),"",detalhe_carro2[[#This Row],[Hora Inicio]]-detalhe_carro2[[#This Row],[Ultima Chegada]])</f>
        <v>111</v>
      </c>
      <c r="K197" s="20"/>
      <c r="L197" s="20"/>
      <c r="M197" s="20"/>
    </row>
    <row r="198" spans="2:13" x14ac:dyDescent="0.25">
      <c r="B198">
        <v>4</v>
      </c>
      <c r="C198" s="20" t="s">
        <v>27</v>
      </c>
      <c r="D198">
        <v>199</v>
      </c>
      <c r="E198">
        <v>199</v>
      </c>
      <c r="F198" s="20" t="s">
        <v>51</v>
      </c>
      <c r="G198" s="20">
        <f t="shared" ref="G198:G256" si="6">IF(C198&lt;&gt;C199,1,0)</f>
        <v>1</v>
      </c>
      <c r="H198" s="20">
        <f t="shared" ref="H198:H256" si="7">IF(C198&lt;&gt;C197,1,0)</f>
        <v>0</v>
      </c>
      <c r="I198" s="20">
        <f>_xlfn.MAXIFS($E$6:E197,$C$6:C197,detalhe_carro2[[#This Row],[Nó]],$B$6:B197,detalhe_carro2[[#This Row],[Numero Voltas]],$G$6:G197,1)</f>
        <v>75</v>
      </c>
      <c r="J198" s="20" t="str">
        <f>IF(OR(detalhe_carro2[[#This Row],[Ultima Chegada]]=0,detalhe_carro2[[#This Row],[Chegada]]=0),"",detalhe_carro2[[#This Row],[Hora Inicio]]-detalhe_carro2[[#This Row],[Ultima Chegada]])</f>
        <v/>
      </c>
      <c r="K198" s="20"/>
      <c r="L198" s="20"/>
      <c r="M198" s="20"/>
    </row>
    <row r="199" spans="2:13" x14ac:dyDescent="0.25">
      <c r="B199">
        <v>4</v>
      </c>
      <c r="C199" s="20" t="s">
        <v>29</v>
      </c>
      <c r="D199">
        <v>201</v>
      </c>
      <c r="E199">
        <v>229</v>
      </c>
      <c r="F199" s="20" t="s">
        <v>50</v>
      </c>
      <c r="G199" s="20">
        <f t="shared" si="6"/>
        <v>0</v>
      </c>
      <c r="H199" s="20">
        <f t="shared" si="7"/>
        <v>1</v>
      </c>
      <c r="I199" s="20">
        <f>_xlfn.MAXIFS($E$6:E198,$C$6:C198,detalhe_carro2[[#This Row],[Nó]],$B$6:B198,detalhe_carro2[[#This Row],[Numero Voltas]],$G$6:G198,1)</f>
        <v>60</v>
      </c>
      <c r="J199" s="20">
        <f>IF(OR(detalhe_carro2[[#This Row],[Ultima Chegada]]=0,detalhe_carro2[[#This Row],[Chegada]]=0),"",detalhe_carro2[[#This Row],[Hora Inicio]]-detalhe_carro2[[#This Row],[Ultima Chegada]])</f>
        <v>141</v>
      </c>
      <c r="K199" s="20"/>
      <c r="L199" s="20"/>
      <c r="M199" s="20"/>
    </row>
    <row r="200" spans="2:13" x14ac:dyDescent="0.25">
      <c r="B200">
        <v>4</v>
      </c>
      <c r="C200" s="20" t="s">
        <v>29</v>
      </c>
      <c r="D200">
        <v>229</v>
      </c>
      <c r="E200">
        <v>229</v>
      </c>
      <c r="F200" s="20" t="s">
        <v>51</v>
      </c>
      <c r="G200" s="20">
        <f t="shared" si="6"/>
        <v>1</v>
      </c>
      <c r="H200" s="20">
        <f t="shared" si="7"/>
        <v>0</v>
      </c>
      <c r="I200" s="20">
        <f>_xlfn.MAXIFS($E$6:E199,$C$6:C199,detalhe_carro2[[#This Row],[Nó]],$B$6:B199,detalhe_carro2[[#This Row],[Numero Voltas]],$G$6:G199,1)</f>
        <v>60</v>
      </c>
      <c r="J200" s="20" t="str">
        <f>IF(OR(detalhe_carro2[[#This Row],[Ultima Chegada]]=0,detalhe_carro2[[#This Row],[Chegada]]=0),"",detalhe_carro2[[#This Row],[Hora Inicio]]-detalhe_carro2[[#This Row],[Ultima Chegada]])</f>
        <v/>
      </c>
      <c r="K200" s="20"/>
      <c r="L200" s="20"/>
      <c r="M200" s="20"/>
    </row>
    <row r="201" spans="2:13" x14ac:dyDescent="0.25">
      <c r="B201">
        <v>4</v>
      </c>
      <c r="C201" s="20" t="s">
        <v>31</v>
      </c>
      <c r="D201">
        <v>233</v>
      </c>
      <c r="E201">
        <v>242</v>
      </c>
      <c r="F201" s="20" t="s">
        <v>50</v>
      </c>
      <c r="G201" s="20">
        <f t="shared" si="6"/>
        <v>0</v>
      </c>
      <c r="H201" s="20">
        <f t="shared" si="7"/>
        <v>1</v>
      </c>
      <c r="I201" s="20">
        <f>_xlfn.MAXIFS($E$6:E200,$C$6:C200,detalhe_carro2[[#This Row],[Nó]],$B$6:B200,detalhe_carro2[[#This Row],[Numero Voltas]],$G$6:G200,1)</f>
        <v>28</v>
      </c>
      <c r="J201" s="20">
        <f>IF(OR(detalhe_carro2[[#This Row],[Ultima Chegada]]=0,detalhe_carro2[[#This Row],[Chegada]]=0),"",detalhe_carro2[[#This Row],[Hora Inicio]]-detalhe_carro2[[#This Row],[Ultima Chegada]])</f>
        <v>205</v>
      </c>
      <c r="K201" s="20"/>
      <c r="L201" s="20"/>
      <c r="M201" s="20"/>
    </row>
    <row r="202" spans="2:13" x14ac:dyDescent="0.25">
      <c r="B202">
        <v>4</v>
      </c>
      <c r="C202" s="20" t="s">
        <v>31</v>
      </c>
      <c r="D202">
        <v>242</v>
      </c>
      <c r="E202">
        <v>242</v>
      </c>
      <c r="F202" s="20" t="s">
        <v>51</v>
      </c>
      <c r="G202" s="20">
        <f t="shared" si="6"/>
        <v>1</v>
      </c>
      <c r="H202" s="20">
        <f t="shared" si="7"/>
        <v>0</v>
      </c>
      <c r="I202" s="20">
        <f>_xlfn.MAXIFS($E$6:E201,$C$6:C201,detalhe_carro2[[#This Row],[Nó]],$B$6:B201,detalhe_carro2[[#This Row],[Numero Voltas]],$G$6:G201,1)</f>
        <v>28</v>
      </c>
      <c r="J202" s="20" t="str">
        <f>IF(OR(detalhe_carro2[[#This Row],[Ultima Chegada]]=0,detalhe_carro2[[#This Row],[Chegada]]=0),"",detalhe_carro2[[#This Row],[Hora Inicio]]-detalhe_carro2[[#This Row],[Ultima Chegada]])</f>
        <v/>
      </c>
      <c r="K202" s="20"/>
      <c r="L202" s="20"/>
      <c r="M202" s="20"/>
    </row>
    <row r="203" spans="2:13" x14ac:dyDescent="0.25">
      <c r="B203">
        <v>4</v>
      </c>
      <c r="C203" s="20" t="s">
        <v>33</v>
      </c>
      <c r="D203">
        <v>246</v>
      </c>
      <c r="E203">
        <v>246</v>
      </c>
      <c r="F203" s="20" t="s">
        <v>51</v>
      </c>
      <c r="G203" s="20">
        <f t="shared" si="6"/>
        <v>0</v>
      </c>
      <c r="H203" s="20">
        <f t="shared" si="7"/>
        <v>1</v>
      </c>
      <c r="I203" s="20">
        <f>_xlfn.MAXIFS($E$6:E202,$C$6:C202,detalhe_carro2[[#This Row],[Nó]],$B$6:B202,detalhe_carro2[[#This Row],[Numero Voltas]],$G$6:G202,1)</f>
        <v>15</v>
      </c>
      <c r="J203" s="20">
        <f>IF(OR(detalhe_carro2[[#This Row],[Ultima Chegada]]=0,detalhe_carro2[[#This Row],[Chegada]]=0),"",detalhe_carro2[[#This Row],[Hora Inicio]]-detalhe_carro2[[#This Row],[Ultima Chegada]])</f>
        <v>231</v>
      </c>
      <c r="K203" s="20"/>
      <c r="L203" s="20"/>
      <c r="M203" s="20"/>
    </row>
    <row r="204" spans="2:13" x14ac:dyDescent="0.25">
      <c r="B204">
        <v>4</v>
      </c>
      <c r="C204" s="20" t="s">
        <v>33</v>
      </c>
      <c r="D204">
        <v>248</v>
      </c>
      <c r="E204">
        <v>248</v>
      </c>
      <c r="F204" s="20" t="s">
        <v>51</v>
      </c>
      <c r="G204" s="20">
        <f t="shared" si="6"/>
        <v>1</v>
      </c>
      <c r="H204" s="20">
        <f t="shared" si="7"/>
        <v>0</v>
      </c>
      <c r="I204" s="20">
        <f>_xlfn.MAXIFS($E$6:E203,$C$6:C203,detalhe_carro2[[#This Row],[Nó]],$B$6:B203,detalhe_carro2[[#This Row],[Numero Voltas]],$G$6:G203,1)</f>
        <v>15</v>
      </c>
      <c r="J204" s="20" t="str">
        <f>IF(OR(detalhe_carro2[[#This Row],[Ultima Chegada]]=0,detalhe_carro2[[#This Row],[Chegada]]=0),"",detalhe_carro2[[#This Row],[Hora Inicio]]-detalhe_carro2[[#This Row],[Ultima Chegada]])</f>
        <v/>
      </c>
      <c r="K204" s="20"/>
      <c r="L204" s="20"/>
      <c r="M204" s="20"/>
    </row>
    <row r="205" spans="2:13" x14ac:dyDescent="0.25">
      <c r="B205">
        <v>4</v>
      </c>
      <c r="C205" s="20" t="s">
        <v>31</v>
      </c>
      <c r="D205">
        <v>252</v>
      </c>
      <c r="E205">
        <v>252</v>
      </c>
      <c r="F205" s="20" t="s">
        <v>51</v>
      </c>
      <c r="G205" s="20">
        <f t="shared" si="6"/>
        <v>1</v>
      </c>
      <c r="H205" s="20">
        <f t="shared" si="7"/>
        <v>1</v>
      </c>
      <c r="I205" s="20">
        <f>_xlfn.MAXIFS($E$6:E204,$C$6:C204,detalhe_carro2[[#This Row],[Nó]],$B$6:B204,detalhe_carro2[[#This Row],[Numero Voltas]],$G$6:G204,1)</f>
        <v>242</v>
      </c>
      <c r="J205" s="20">
        <f>IF(OR(detalhe_carro2[[#This Row],[Ultima Chegada]]=0,detalhe_carro2[[#This Row],[Chegada]]=0),"",detalhe_carro2[[#This Row],[Hora Inicio]]-detalhe_carro2[[#This Row],[Ultima Chegada]])</f>
        <v>10</v>
      </c>
      <c r="K205" s="20"/>
      <c r="L205" s="20"/>
      <c r="M205" s="20"/>
    </row>
    <row r="206" spans="2:13" x14ac:dyDescent="0.25">
      <c r="B206">
        <v>4</v>
      </c>
      <c r="C206" s="20" t="s">
        <v>29</v>
      </c>
      <c r="D206">
        <v>256</v>
      </c>
      <c r="E206">
        <v>256</v>
      </c>
      <c r="F206" s="20" t="s">
        <v>51</v>
      </c>
      <c r="G206" s="20">
        <f t="shared" si="6"/>
        <v>1</v>
      </c>
      <c r="H206" s="20">
        <f t="shared" si="7"/>
        <v>1</v>
      </c>
      <c r="I206" s="20">
        <f>_xlfn.MAXIFS($E$6:E205,$C$6:C205,detalhe_carro2[[#This Row],[Nó]],$B$6:B205,detalhe_carro2[[#This Row],[Numero Voltas]],$G$6:G205,1)</f>
        <v>229</v>
      </c>
      <c r="J206" s="20">
        <f>IF(OR(detalhe_carro2[[#This Row],[Ultima Chegada]]=0,detalhe_carro2[[#This Row],[Chegada]]=0),"",detalhe_carro2[[#This Row],[Hora Inicio]]-detalhe_carro2[[#This Row],[Ultima Chegada]])</f>
        <v>27</v>
      </c>
      <c r="K206" s="20"/>
      <c r="L206" s="20"/>
      <c r="M206" s="20"/>
    </row>
    <row r="207" spans="2:13" x14ac:dyDescent="0.25">
      <c r="B207">
        <v>4</v>
      </c>
      <c r="C207" s="20" t="s">
        <v>27</v>
      </c>
      <c r="D207">
        <v>258</v>
      </c>
      <c r="E207">
        <v>258</v>
      </c>
      <c r="F207" s="20" t="s">
        <v>51</v>
      </c>
      <c r="G207" s="20">
        <f t="shared" si="6"/>
        <v>1</v>
      </c>
      <c r="H207" s="20">
        <f t="shared" si="7"/>
        <v>1</v>
      </c>
      <c r="I207" s="20">
        <f>_xlfn.MAXIFS($E$6:E206,$C$6:C206,detalhe_carro2[[#This Row],[Nó]],$B$6:B206,detalhe_carro2[[#This Row],[Numero Voltas]],$G$6:G206,1)</f>
        <v>199</v>
      </c>
      <c r="J207" s="20">
        <f>IF(OR(detalhe_carro2[[#This Row],[Ultima Chegada]]=0,detalhe_carro2[[#This Row],[Chegada]]=0),"",detalhe_carro2[[#This Row],[Hora Inicio]]-detalhe_carro2[[#This Row],[Ultima Chegada]])</f>
        <v>59</v>
      </c>
      <c r="K207" s="20"/>
      <c r="L207" s="20"/>
      <c r="M207" s="20"/>
    </row>
    <row r="208" spans="2:13" x14ac:dyDescent="0.25">
      <c r="B208">
        <v>4</v>
      </c>
      <c r="C208" s="20" t="s">
        <v>26</v>
      </c>
      <c r="D208">
        <v>260</v>
      </c>
      <c r="E208">
        <v>260</v>
      </c>
      <c r="F208" s="20" t="s">
        <v>51</v>
      </c>
      <c r="G208" s="20">
        <f t="shared" si="6"/>
        <v>1</v>
      </c>
      <c r="H208" s="20">
        <f t="shared" si="7"/>
        <v>1</v>
      </c>
      <c r="I208" s="20">
        <f>_xlfn.MAXIFS($E$6:E207,$C$6:C207,detalhe_carro2[[#This Row],[Nó]],$B$6:B207,detalhe_carro2[[#This Row],[Numero Voltas]],$G$6:G207,1)</f>
        <v>184</v>
      </c>
      <c r="J208" s="20">
        <f>IF(OR(detalhe_carro2[[#This Row],[Ultima Chegada]]=0,detalhe_carro2[[#This Row],[Chegada]]=0),"",detalhe_carro2[[#This Row],[Hora Inicio]]-detalhe_carro2[[#This Row],[Ultima Chegada]])</f>
        <v>76</v>
      </c>
      <c r="K208" s="20"/>
      <c r="L208" s="20"/>
      <c r="M208" s="20"/>
    </row>
    <row r="209" spans="2:13" x14ac:dyDescent="0.25">
      <c r="B209">
        <v>4</v>
      </c>
      <c r="C209" s="20" t="s">
        <v>24</v>
      </c>
      <c r="D209">
        <v>262</v>
      </c>
      <c r="E209">
        <v>262</v>
      </c>
      <c r="F209" s="20" t="s">
        <v>51</v>
      </c>
      <c r="G209" s="20">
        <f t="shared" si="6"/>
        <v>1</v>
      </c>
      <c r="H209" s="20">
        <f t="shared" si="7"/>
        <v>1</v>
      </c>
      <c r="I209" s="20">
        <f>_xlfn.MAXIFS($E$6:E208,$C$6:C208,detalhe_carro2[[#This Row],[Nó]],$B$6:B208,detalhe_carro2[[#This Row],[Numero Voltas]],$G$6:G208,1)</f>
        <v>172</v>
      </c>
      <c r="J209" s="20">
        <f>IF(OR(detalhe_carro2[[#This Row],[Ultima Chegada]]=0,detalhe_carro2[[#This Row],[Chegada]]=0),"",detalhe_carro2[[#This Row],[Hora Inicio]]-detalhe_carro2[[#This Row],[Ultima Chegada]])</f>
        <v>90</v>
      </c>
      <c r="K209" s="20"/>
      <c r="L209" s="20"/>
      <c r="M209" s="20"/>
    </row>
    <row r="210" spans="2:13" x14ac:dyDescent="0.25">
      <c r="B210">
        <v>4</v>
      </c>
      <c r="C210" s="20" t="s">
        <v>22</v>
      </c>
      <c r="D210">
        <v>264</v>
      </c>
      <c r="E210">
        <v>264</v>
      </c>
      <c r="F210" s="20" t="s">
        <v>51</v>
      </c>
      <c r="G210" s="20">
        <f t="shared" si="6"/>
        <v>1</v>
      </c>
      <c r="H210" s="20">
        <f t="shared" si="7"/>
        <v>1</v>
      </c>
      <c r="I210" s="20">
        <f>_xlfn.MAXIFS($E$6:E209,$C$6:C209,detalhe_carro2[[#This Row],[Nó]],$B$6:B209,detalhe_carro2[[#This Row],[Numero Voltas]],$G$6:G209,1)</f>
        <v>156</v>
      </c>
      <c r="J210" s="20">
        <f>IF(OR(detalhe_carro2[[#This Row],[Ultima Chegada]]=0,detalhe_carro2[[#This Row],[Chegada]]=0),"",detalhe_carro2[[#This Row],[Hora Inicio]]-detalhe_carro2[[#This Row],[Ultima Chegada]])</f>
        <v>108</v>
      </c>
      <c r="K210" s="20"/>
      <c r="L210" s="20"/>
      <c r="M210" s="20"/>
    </row>
    <row r="211" spans="2:13" x14ac:dyDescent="0.25">
      <c r="B211">
        <v>4</v>
      </c>
      <c r="C211" s="20" t="s">
        <v>20</v>
      </c>
      <c r="D211">
        <v>266</v>
      </c>
      <c r="E211">
        <v>266</v>
      </c>
      <c r="F211" s="20" t="s">
        <v>51</v>
      </c>
      <c r="G211" s="20">
        <f t="shared" si="6"/>
        <v>0</v>
      </c>
      <c r="H211" s="20">
        <f t="shared" si="7"/>
        <v>1</v>
      </c>
      <c r="I211" s="20">
        <f>_xlfn.MAXIFS($E$6:E210,$C$6:C210,detalhe_carro2[[#This Row],[Nó]],$B$6:B210,detalhe_carro2[[#This Row],[Numero Voltas]],$G$6:G210,1)</f>
        <v>149</v>
      </c>
      <c r="J211" s="20">
        <f>IF(OR(detalhe_carro2[[#This Row],[Ultima Chegada]]=0,detalhe_carro2[[#This Row],[Chegada]]=0),"",detalhe_carro2[[#This Row],[Hora Inicio]]-detalhe_carro2[[#This Row],[Ultima Chegada]])</f>
        <v>117</v>
      </c>
      <c r="K211" s="20"/>
      <c r="L211" s="20"/>
      <c r="M211" s="20"/>
    </row>
    <row r="212" spans="2:13" x14ac:dyDescent="0.25">
      <c r="B212">
        <v>4</v>
      </c>
      <c r="C212" s="20" t="s">
        <v>20</v>
      </c>
      <c r="D212">
        <v>268</v>
      </c>
      <c r="E212">
        <v>268</v>
      </c>
      <c r="F212" s="20" t="s">
        <v>51</v>
      </c>
      <c r="G212" s="20">
        <f t="shared" si="6"/>
        <v>1</v>
      </c>
      <c r="H212" s="20">
        <f t="shared" si="7"/>
        <v>0</v>
      </c>
      <c r="I212" s="20">
        <f>_xlfn.MAXIFS($E$6:E211,$C$6:C211,detalhe_carro2[[#This Row],[Nó]],$B$6:B211,detalhe_carro2[[#This Row],[Numero Voltas]],$G$6:G211,1)</f>
        <v>149</v>
      </c>
      <c r="J212" s="20" t="str">
        <f>IF(OR(detalhe_carro2[[#This Row],[Ultima Chegada]]=0,detalhe_carro2[[#This Row],[Chegada]]=0),"",detalhe_carro2[[#This Row],[Hora Inicio]]-detalhe_carro2[[#This Row],[Ultima Chegada]])</f>
        <v/>
      </c>
      <c r="K212" s="20"/>
      <c r="L212" s="20"/>
      <c r="M212" s="20"/>
    </row>
    <row r="213" spans="2:13" x14ac:dyDescent="0.25">
      <c r="B213">
        <v>4</v>
      </c>
      <c r="C213" s="20" t="s">
        <v>22</v>
      </c>
      <c r="D213">
        <v>270</v>
      </c>
      <c r="E213">
        <v>270</v>
      </c>
      <c r="F213" s="20" t="s">
        <v>51</v>
      </c>
      <c r="G213" s="20">
        <f t="shared" si="6"/>
        <v>1</v>
      </c>
      <c r="H213" s="20">
        <f t="shared" si="7"/>
        <v>1</v>
      </c>
      <c r="I213" s="20">
        <f>_xlfn.MAXIFS($E$6:E212,$C$6:C212,detalhe_carro2[[#This Row],[Nó]],$B$6:B212,detalhe_carro2[[#This Row],[Numero Voltas]],$G$6:G212,1)</f>
        <v>264</v>
      </c>
      <c r="J213" s="20">
        <f>IF(OR(detalhe_carro2[[#This Row],[Ultima Chegada]]=0,detalhe_carro2[[#This Row],[Chegada]]=0),"",detalhe_carro2[[#This Row],[Hora Inicio]]-detalhe_carro2[[#This Row],[Ultima Chegada]])</f>
        <v>6</v>
      </c>
      <c r="K213" s="20"/>
      <c r="L213" s="20"/>
      <c r="M213" s="20"/>
    </row>
    <row r="214" spans="2:13" x14ac:dyDescent="0.25">
      <c r="B214">
        <v>4</v>
      </c>
      <c r="C214" s="20" t="s">
        <v>24</v>
      </c>
      <c r="D214">
        <v>272</v>
      </c>
      <c r="E214">
        <v>272</v>
      </c>
      <c r="F214" s="20" t="s">
        <v>51</v>
      </c>
      <c r="G214" s="20">
        <f t="shared" si="6"/>
        <v>1</v>
      </c>
      <c r="H214" s="20">
        <f t="shared" si="7"/>
        <v>1</v>
      </c>
      <c r="I214" s="20">
        <f>_xlfn.MAXIFS($E$6:E213,$C$6:C213,detalhe_carro2[[#This Row],[Nó]],$B$6:B213,detalhe_carro2[[#This Row],[Numero Voltas]],$G$6:G213,1)</f>
        <v>262</v>
      </c>
      <c r="J214" s="20">
        <f>IF(OR(detalhe_carro2[[#This Row],[Ultima Chegada]]=0,detalhe_carro2[[#This Row],[Chegada]]=0),"",detalhe_carro2[[#This Row],[Hora Inicio]]-detalhe_carro2[[#This Row],[Ultima Chegada]])</f>
        <v>10</v>
      </c>
      <c r="K214" s="20"/>
      <c r="L214" s="20"/>
      <c r="M214" s="20"/>
    </row>
    <row r="215" spans="2:13" x14ac:dyDescent="0.25">
      <c r="B215">
        <v>4</v>
      </c>
      <c r="C215" s="20" t="s">
        <v>26</v>
      </c>
      <c r="D215">
        <v>274</v>
      </c>
      <c r="E215">
        <v>274</v>
      </c>
      <c r="F215" s="20" t="s">
        <v>51</v>
      </c>
      <c r="G215" s="20">
        <f t="shared" si="6"/>
        <v>1</v>
      </c>
      <c r="H215" s="20">
        <f t="shared" si="7"/>
        <v>1</v>
      </c>
      <c r="I215" s="20">
        <f>_xlfn.MAXIFS($E$6:E214,$C$6:C214,detalhe_carro2[[#This Row],[Nó]],$B$6:B214,detalhe_carro2[[#This Row],[Numero Voltas]],$G$6:G214,1)</f>
        <v>260</v>
      </c>
      <c r="J215" s="20">
        <f>IF(OR(detalhe_carro2[[#This Row],[Ultima Chegada]]=0,detalhe_carro2[[#This Row],[Chegada]]=0),"",detalhe_carro2[[#This Row],[Hora Inicio]]-detalhe_carro2[[#This Row],[Ultima Chegada]])</f>
        <v>14</v>
      </c>
      <c r="K215" s="20"/>
      <c r="L215" s="20"/>
      <c r="M215" s="20"/>
    </row>
    <row r="216" spans="2:13" x14ac:dyDescent="0.25">
      <c r="B216">
        <v>4</v>
      </c>
      <c r="C216" s="20" t="s">
        <v>27</v>
      </c>
      <c r="D216">
        <v>276</v>
      </c>
      <c r="E216">
        <v>276</v>
      </c>
      <c r="F216" s="20" t="s">
        <v>51</v>
      </c>
      <c r="G216" s="20">
        <f t="shared" si="6"/>
        <v>1</v>
      </c>
      <c r="H216" s="20">
        <f t="shared" si="7"/>
        <v>1</v>
      </c>
      <c r="I216" s="20">
        <f>_xlfn.MAXIFS($E$6:E215,$C$6:C215,detalhe_carro2[[#This Row],[Nó]],$B$6:B215,detalhe_carro2[[#This Row],[Numero Voltas]],$G$6:G215,1)</f>
        <v>258</v>
      </c>
      <c r="J216" s="20">
        <f>IF(OR(detalhe_carro2[[#This Row],[Ultima Chegada]]=0,detalhe_carro2[[#This Row],[Chegada]]=0),"",detalhe_carro2[[#This Row],[Hora Inicio]]-detalhe_carro2[[#This Row],[Ultima Chegada]])</f>
        <v>18</v>
      </c>
      <c r="K216" s="20"/>
      <c r="L216" s="20"/>
      <c r="M216" s="20"/>
    </row>
    <row r="217" spans="2:13" x14ac:dyDescent="0.25">
      <c r="B217">
        <v>4</v>
      </c>
      <c r="C217" s="20" t="s">
        <v>29</v>
      </c>
      <c r="D217">
        <v>278</v>
      </c>
      <c r="E217">
        <v>278</v>
      </c>
      <c r="F217" s="20" t="s">
        <v>51</v>
      </c>
      <c r="G217" s="20">
        <f t="shared" si="6"/>
        <v>1</v>
      </c>
      <c r="H217" s="20">
        <f t="shared" si="7"/>
        <v>1</v>
      </c>
      <c r="I217" s="20">
        <f>_xlfn.MAXIFS($E$6:E216,$C$6:C216,detalhe_carro2[[#This Row],[Nó]],$B$6:B216,detalhe_carro2[[#This Row],[Numero Voltas]],$G$6:G216,1)</f>
        <v>256</v>
      </c>
      <c r="J217" s="20">
        <f>IF(OR(detalhe_carro2[[#This Row],[Ultima Chegada]]=0,detalhe_carro2[[#This Row],[Chegada]]=0),"",detalhe_carro2[[#This Row],[Hora Inicio]]-detalhe_carro2[[#This Row],[Ultima Chegada]])</f>
        <v>22</v>
      </c>
      <c r="K217" s="20"/>
      <c r="L217" s="20"/>
      <c r="M217" s="20"/>
    </row>
    <row r="218" spans="2:13" x14ac:dyDescent="0.25">
      <c r="B218">
        <v>4</v>
      </c>
      <c r="C218" s="20" t="s">
        <v>31</v>
      </c>
      <c r="D218">
        <v>282</v>
      </c>
      <c r="E218">
        <v>282</v>
      </c>
      <c r="F218" s="20" t="s">
        <v>51</v>
      </c>
      <c r="G218" s="20">
        <f t="shared" si="6"/>
        <v>1</v>
      </c>
      <c r="H218" s="20">
        <f t="shared" si="7"/>
        <v>1</v>
      </c>
      <c r="I218" s="20">
        <f>_xlfn.MAXIFS($E$6:E217,$C$6:C217,detalhe_carro2[[#This Row],[Nó]],$B$6:B217,detalhe_carro2[[#This Row],[Numero Voltas]],$G$6:G217,1)</f>
        <v>252</v>
      </c>
      <c r="J218" s="20">
        <f>IF(OR(detalhe_carro2[[#This Row],[Ultima Chegada]]=0,detalhe_carro2[[#This Row],[Chegada]]=0),"",detalhe_carro2[[#This Row],[Hora Inicio]]-detalhe_carro2[[#This Row],[Ultima Chegada]])</f>
        <v>30</v>
      </c>
      <c r="K218" s="20"/>
      <c r="L218" s="20"/>
      <c r="M218" s="20"/>
    </row>
    <row r="219" spans="2:13" x14ac:dyDescent="0.25">
      <c r="B219">
        <v>4</v>
      </c>
      <c r="C219" s="20" t="s">
        <v>33</v>
      </c>
      <c r="D219">
        <v>286</v>
      </c>
      <c r="E219">
        <v>286</v>
      </c>
      <c r="F219" s="20" t="s">
        <v>51</v>
      </c>
      <c r="G219" s="20">
        <f t="shared" si="6"/>
        <v>0</v>
      </c>
      <c r="H219" s="20">
        <f t="shared" si="7"/>
        <v>1</v>
      </c>
      <c r="I219" s="20">
        <f>_xlfn.MAXIFS($E$6:E218,$C$6:C218,detalhe_carro2[[#This Row],[Nó]],$B$6:B218,detalhe_carro2[[#This Row],[Numero Voltas]],$G$6:G218,1)</f>
        <v>248</v>
      </c>
      <c r="J219" s="20">
        <f>IF(OR(detalhe_carro2[[#This Row],[Ultima Chegada]]=0,detalhe_carro2[[#This Row],[Chegada]]=0),"",detalhe_carro2[[#This Row],[Hora Inicio]]-detalhe_carro2[[#This Row],[Ultima Chegada]])</f>
        <v>38</v>
      </c>
      <c r="K219" s="20"/>
      <c r="L219" s="20"/>
      <c r="M219" s="20"/>
    </row>
    <row r="220" spans="2:13" x14ac:dyDescent="0.25">
      <c r="B220">
        <v>4</v>
      </c>
      <c r="C220" s="20" t="s">
        <v>33</v>
      </c>
      <c r="D220">
        <v>288</v>
      </c>
      <c r="E220">
        <v>288</v>
      </c>
      <c r="F220" s="20" t="s">
        <v>51</v>
      </c>
      <c r="G220" s="20">
        <f t="shared" si="6"/>
        <v>1</v>
      </c>
      <c r="H220" s="20">
        <f t="shared" si="7"/>
        <v>0</v>
      </c>
      <c r="I220" s="20">
        <f>_xlfn.MAXIFS($E$6:E219,$C$6:C219,detalhe_carro2[[#This Row],[Nó]],$B$6:B219,detalhe_carro2[[#This Row],[Numero Voltas]],$G$6:G219,1)</f>
        <v>248</v>
      </c>
      <c r="J220" s="20" t="str">
        <f>IF(OR(detalhe_carro2[[#This Row],[Ultima Chegada]]=0,detalhe_carro2[[#This Row],[Chegada]]=0),"",detalhe_carro2[[#This Row],[Hora Inicio]]-detalhe_carro2[[#This Row],[Ultima Chegada]])</f>
        <v/>
      </c>
      <c r="K220" s="20"/>
      <c r="L220" s="20"/>
      <c r="M220" s="20"/>
    </row>
    <row r="221" spans="2:13" x14ac:dyDescent="0.25">
      <c r="B221">
        <v>4</v>
      </c>
      <c r="C221" s="20" t="s">
        <v>31</v>
      </c>
      <c r="D221">
        <v>292</v>
      </c>
      <c r="E221">
        <v>292</v>
      </c>
      <c r="F221" s="20" t="s">
        <v>51</v>
      </c>
      <c r="G221" s="20">
        <f t="shared" si="6"/>
        <v>1</v>
      </c>
      <c r="H221" s="20">
        <f t="shared" si="7"/>
        <v>1</v>
      </c>
      <c r="I221" s="20">
        <f>_xlfn.MAXIFS($E$6:E220,$C$6:C220,detalhe_carro2[[#This Row],[Nó]],$B$6:B220,detalhe_carro2[[#This Row],[Numero Voltas]],$G$6:G220,1)</f>
        <v>282</v>
      </c>
      <c r="J221" s="20">
        <f>IF(OR(detalhe_carro2[[#This Row],[Ultima Chegada]]=0,detalhe_carro2[[#This Row],[Chegada]]=0),"",detalhe_carro2[[#This Row],[Hora Inicio]]-detalhe_carro2[[#This Row],[Ultima Chegada]])</f>
        <v>10</v>
      </c>
      <c r="K221" s="20"/>
      <c r="L221" s="20"/>
      <c r="M221" s="20"/>
    </row>
    <row r="222" spans="2:13" x14ac:dyDescent="0.25">
      <c r="B222">
        <v>4</v>
      </c>
      <c r="C222" s="20" t="s">
        <v>29</v>
      </c>
      <c r="D222">
        <v>296</v>
      </c>
      <c r="E222">
        <v>296</v>
      </c>
      <c r="F222" s="20" t="s">
        <v>51</v>
      </c>
      <c r="G222" s="20">
        <f t="shared" si="6"/>
        <v>1</v>
      </c>
      <c r="H222" s="20">
        <f t="shared" si="7"/>
        <v>1</v>
      </c>
      <c r="I222" s="20">
        <f>_xlfn.MAXIFS($E$6:E221,$C$6:C221,detalhe_carro2[[#This Row],[Nó]],$B$6:B221,detalhe_carro2[[#This Row],[Numero Voltas]],$G$6:G221,1)</f>
        <v>278</v>
      </c>
      <c r="J222" s="20">
        <f>IF(OR(detalhe_carro2[[#This Row],[Ultima Chegada]]=0,detalhe_carro2[[#This Row],[Chegada]]=0),"",detalhe_carro2[[#This Row],[Hora Inicio]]-detalhe_carro2[[#This Row],[Ultima Chegada]])</f>
        <v>18</v>
      </c>
      <c r="K222" s="20"/>
      <c r="L222" s="20"/>
      <c r="M222" s="20"/>
    </row>
    <row r="223" spans="2:13" x14ac:dyDescent="0.25">
      <c r="B223">
        <v>4</v>
      </c>
      <c r="C223" s="20" t="s">
        <v>27</v>
      </c>
      <c r="D223">
        <v>298</v>
      </c>
      <c r="E223">
        <v>298</v>
      </c>
      <c r="F223" s="20" t="s">
        <v>51</v>
      </c>
      <c r="G223" s="20">
        <f t="shared" si="6"/>
        <v>1</v>
      </c>
      <c r="H223" s="20">
        <f t="shared" si="7"/>
        <v>1</v>
      </c>
      <c r="I223" s="20">
        <f>_xlfn.MAXIFS($E$6:E222,$C$6:C222,detalhe_carro2[[#This Row],[Nó]],$B$6:B222,detalhe_carro2[[#This Row],[Numero Voltas]],$G$6:G222,1)</f>
        <v>276</v>
      </c>
      <c r="J223" s="20">
        <f>IF(OR(detalhe_carro2[[#This Row],[Ultima Chegada]]=0,detalhe_carro2[[#This Row],[Chegada]]=0),"",detalhe_carro2[[#This Row],[Hora Inicio]]-detalhe_carro2[[#This Row],[Ultima Chegada]])</f>
        <v>22</v>
      </c>
      <c r="K223" s="20"/>
      <c r="L223" s="20"/>
      <c r="M223" s="20"/>
    </row>
    <row r="224" spans="2:13" x14ac:dyDescent="0.25">
      <c r="B224">
        <v>4</v>
      </c>
      <c r="C224" s="20" t="s">
        <v>26</v>
      </c>
      <c r="D224">
        <v>300</v>
      </c>
      <c r="E224">
        <v>360</v>
      </c>
      <c r="F224" s="20" t="s">
        <v>54</v>
      </c>
      <c r="G224" s="20">
        <f t="shared" si="6"/>
        <v>0</v>
      </c>
      <c r="H224" s="20">
        <f t="shared" si="7"/>
        <v>1</v>
      </c>
      <c r="I224" s="20">
        <f>_xlfn.MAXIFS($E$6:E223,$C$6:C223,detalhe_carro2[[#This Row],[Nó]],$B$6:B223,detalhe_carro2[[#This Row],[Numero Voltas]],$G$6:G223,1)</f>
        <v>274</v>
      </c>
      <c r="J224" s="20">
        <f>IF(OR(detalhe_carro2[[#This Row],[Ultima Chegada]]=0,detalhe_carro2[[#This Row],[Chegada]]=0),"",detalhe_carro2[[#This Row],[Hora Inicio]]-detalhe_carro2[[#This Row],[Ultima Chegada]])</f>
        <v>26</v>
      </c>
      <c r="K224" s="20"/>
      <c r="L224" s="20"/>
      <c r="M224" s="20"/>
    </row>
    <row r="225" spans="2:13" x14ac:dyDescent="0.25">
      <c r="B225">
        <v>4</v>
      </c>
      <c r="C225" s="20" t="s">
        <v>26</v>
      </c>
      <c r="D225">
        <v>360</v>
      </c>
      <c r="E225">
        <v>360</v>
      </c>
      <c r="F225" s="20" t="s">
        <v>51</v>
      </c>
      <c r="G225" s="20">
        <f t="shared" si="6"/>
        <v>1</v>
      </c>
      <c r="H225" s="20">
        <f t="shared" si="7"/>
        <v>0</v>
      </c>
      <c r="I225" s="20">
        <f>_xlfn.MAXIFS($E$6:E224,$C$6:C224,detalhe_carro2[[#This Row],[Nó]],$B$6:B224,detalhe_carro2[[#This Row],[Numero Voltas]],$G$6:G224,1)</f>
        <v>274</v>
      </c>
      <c r="J225" s="20" t="str">
        <f>IF(OR(detalhe_carro2[[#This Row],[Ultima Chegada]]=0,detalhe_carro2[[#This Row],[Chegada]]=0),"",detalhe_carro2[[#This Row],[Hora Inicio]]-detalhe_carro2[[#This Row],[Ultima Chegada]])</f>
        <v/>
      </c>
      <c r="K225" s="20"/>
      <c r="L225" s="20"/>
      <c r="M225" s="20"/>
    </row>
    <row r="226" spans="2:13" x14ac:dyDescent="0.25">
      <c r="B226">
        <v>4</v>
      </c>
      <c r="C226" s="20" t="s">
        <v>24</v>
      </c>
      <c r="D226">
        <v>362</v>
      </c>
      <c r="E226">
        <v>362</v>
      </c>
      <c r="F226" s="20" t="s">
        <v>51</v>
      </c>
      <c r="G226" s="20">
        <f t="shared" si="6"/>
        <v>1</v>
      </c>
      <c r="H226" s="20">
        <f t="shared" si="7"/>
        <v>1</v>
      </c>
      <c r="I226" s="20">
        <f>_xlfn.MAXIFS($E$6:E225,$C$6:C225,detalhe_carro2[[#This Row],[Nó]],$B$6:B225,detalhe_carro2[[#This Row],[Numero Voltas]],$G$6:G225,1)</f>
        <v>272</v>
      </c>
      <c r="J226" s="20">
        <f>IF(OR(detalhe_carro2[[#This Row],[Ultima Chegada]]=0,detalhe_carro2[[#This Row],[Chegada]]=0),"",detalhe_carro2[[#This Row],[Hora Inicio]]-detalhe_carro2[[#This Row],[Ultima Chegada]])</f>
        <v>90</v>
      </c>
      <c r="K226" s="20"/>
      <c r="L226" s="20"/>
      <c r="M226" s="20"/>
    </row>
    <row r="227" spans="2:13" x14ac:dyDescent="0.25">
      <c r="B227">
        <v>4</v>
      </c>
      <c r="C227" s="20" t="s">
        <v>22</v>
      </c>
      <c r="D227">
        <v>364</v>
      </c>
      <c r="E227">
        <v>364</v>
      </c>
      <c r="F227" s="20" t="s">
        <v>51</v>
      </c>
      <c r="G227" s="20">
        <f t="shared" si="6"/>
        <v>1</v>
      </c>
      <c r="H227" s="20">
        <f t="shared" si="7"/>
        <v>1</v>
      </c>
      <c r="I227" s="20">
        <f>_xlfn.MAXIFS($E$6:E226,$C$6:C226,detalhe_carro2[[#This Row],[Nó]],$B$6:B226,detalhe_carro2[[#This Row],[Numero Voltas]],$G$6:G226,1)</f>
        <v>270</v>
      </c>
      <c r="J227" s="20">
        <f>IF(OR(detalhe_carro2[[#This Row],[Ultima Chegada]]=0,detalhe_carro2[[#This Row],[Chegada]]=0),"",detalhe_carro2[[#This Row],[Hora Inicio]]-detalhe_carro2[[#This Row],[Ultima Chegada]])</f>
        <v>94</v>
      </c>
      <c r="K227" s="20"/>
      <c r="L227" s="20"/>
      <c r="M227" s="20"/>
    </row>
    <row r="228" spans="2:13" x14ac:dyDescent="0.25">
      <c r="B228">
        <v>4</v>
      </c>
      <c r="C228" s="20" t="s">
        <v>20</v>
      </c>
      <c r="D228">
        <v>366</v>
      </c>
      <c r="E228">
        <v>366</v>
      </c>
      <c r="F228" s="20" t="s">
        <v>51</v>
      </c>
      <c r="G228" s="20">
        <f t="shared" si="6"/>
        <v>0</v>
      </c>
      <c r="H228" s="20">
        <f t="shared" si="7"/>
        <v>1</v>
      </c>
      <c r="I228" s="20">
        <f>_xlfn.MAXIFS($E$6:E227,$C$6:C227,detalhe_carro2[[#This Row],[Nó]],$B$6:B227,detalhe_carro2[[#This Row],[Numero Voltas]],$G$6:G227,1)</f>
        <v>268</v>
      </c>
      <c r="J228" s="20">
        <f>IF(OR(detalhe_carro2[[#This Row],[Ultima Chegada]]=0,detalhe_carro2[[#This Row],[Chegada]]=0),"",detalhe_carro2[[#This Row],[Hora Inicio]]-detalhe_carro2[[#This Row],[Ultima Chegada]])</f>
        <v>98</v>
      </c>
      <c r="K228" s="20"/>
      <c r="L228" s="20"/>
      <c r="M228" s="20"/>
    </row>
    <row r="229" spans="2:13" x14ac:dyDescent="0.25">
      <c r="B229">
        <v>4</v>
      </c>
      <c r="C229" s="20" t="s">
        <v>20</v>
      </c>
      <c r="D229">
        <v>368</v>
      </c>
      <c r="E229">
        <v>368</v>
      </c>
      <c r="F229" s="20" t="s">
        <v>51</v>
      </c>
      <c r="G229" s="20">
        <f t="shared" si="6"/>
        <v>1</v>
      </c>
      <c r="H229" s="20">
        <f t="shared" si="7"/>
        <v>0</v>
      </c>
      <c r="I229" s="20">
        <f>_xlfn.MAXIFS($E$6:E228,$C$6:C228,detalhe_carro2[[#This Row],[Nó]],$B$6:B228,detalhe_carro2[[#This Row],[Numero Voltas]],$G$6:G228,1)</f>
        <v>268</v>
      </c>
      <c r="J229" s="20" t="str">
        <f>IF(OR(detalhe_carro2[[#This Row],[Ultima Chegada]]=0,detalhe_carro2[[#This Row],[Chegada]]=0),"",detalhe_carro2[[#This Row],[Hora Inicio]]-detalhe_carro2[[#This Row],[Ultima Chegada]])</f>
        <v/>
      </c>
      <c r="K229" s="20"/>
      <c r="L229" s="20"/>
      <c r="M229" s="20"/>
    </row>
    <row r="230" spans="2:13" x14ac:dyDescent="0.25">
      <c r="B230">
        <v>4</v>
      </c>
      <c r="C230" s="20" t="s">
        <v>22</v>
      </c>
      <c r="D230">
        <v>370</v>
      </c>
      <c r="E230">
        <v>370</v>
      </c>
      <c r="F230" s="20" t="s">
        <v>51</v>
      </c>
      <c r="G230" s="20">
        <f t="shared" si="6"/>
        <v>1</v>
      </c>
      <c r="H230" s="20">
        <f t="shared" si="7"/>
        <v>1</v>
      </c>
      <c r="I230" s="20">
        <f>_xlfn.MAXIFS($E$6:E229,$C$6:C229,detalhe_carro2[[#This Row],[Nó]],$B$6:B229,detalhe_carro2[[#This Row],[Numero Voltas]],$G$6:G229,1)</f>
        <v>364</v>
      </c>
      <c r="J230" s="20">
        <f>IF(OR(detalhe_carro2[[#This Row],[Ultima Chegada]]=0,detalhe_carro2[[#This Row],[Chegada]]=0),"",detalhe_carro2[[#This Row],[Hora Inicio]]-detalhe_carro2[[#This Row],[Ultima Chegada]])</f>
        <v>6</v>
      </c>
      <c r="K230" s="20"/>
      <c r="L230" s="20"/>
      <c r="M230" s="20"/>
    </row>
    <row r="231" spans="2:13" x14ac:dyDescent="0.25">
      <c r="B231">
        <v>4</v>
      </c>
      <c r="C231" s="20" t="s">
        <v>24</v>
      </c>
      <c r="D231">
        <v>372</v>
      </c>
      <c r="E231">
        <v>372</v>
      </c>
      <c r="F231" s="20" t="s">
        <v>51</v>
      </c>
      <c r="G231" s="20">
        <f t="shared" si="6"/>
        <v>1</v>
      </c>
      <c r="H231" s="20">
        <f t="shared" si="7"/>
        <v>1</v>
      </c>
      <c r="I231" s="20">
        <f>_xlfn.MAXIFS($E$6:E230,$C$6:C230,detalhe_carro2[[#This Row],[Nó]],$B$6:B230,detalhe_carro2[[#This Row],[Numero Voltas]],$G$6:G230,1)</f>
        <v>362</v>
      </c>
      <c r="J231" s="20">
        <f>IF(OR(detalhe_carro2[[#This Row],[Ultima Chegada]]=0,detalhe_carro2[[#This Row],[Chegada]]=0),"",detalhe_carro2[[#This Row],[Hora Inicio]]-detalhe_carro2[[#This Row],[Ultima Chegada]])</f>
        <v>10</v>
      </c>
      <c r="K231" s="20"/>
      <c r="L231" s="20"/>
      <c r="M231" s="20"/>
    </row>
    <row r="232" spans="2:13" x14ac:dyDescent="0.25">
      <c r="B232">
        <v>4</v>
      </c>
      <c r="C232" s="20" t="s">
        <v>26</v>
      </c>
      <c r="D232">
        <v>374</v>
      </c>
      <c r="E232">
        <v>374</v>
      </c>
      <c r="F232" s="20" t="s">
        <v>51</v>
      </c>
      <c r="G232" s="20">
        <f t="shared" si="6"/>
        <v>1</v>
      </c>
      <c r="H232" s="20">
        <f t="shared" si="7"/>
        <v>1</v>
      </c>
      <c r="I232" s="20">
        <f>_xlfn.MAXIFS($E$6:E231,$C$6:C231,detalhe_carro2[[#This Row],[Nó]],$B$6:B231,detalhe_carro2[[#This Row],[Numero Voltas]],$G$6:G231,1)</f>
        <v>360</v>
      </c>
      <c r="J232" s="20">
        <f>IF(OR(detalhe_carro2[[#This Row],[Ultima Chegada]]=0,detalhe_carro2[[#This Row],[Chegada]]=0),"",detalhe_carro2[[#This Row],[Hora Inicio]]-detalhe_carro2[[#This Row],[Ultima Chegada]])</f>
        <v>14</v>
      </c>
      <c r="K232" s="20"/>
      <c r="L232" s="20"/>
      <c r="M232" s="20"/>
    </row>
    <row r="233" spans="2:13" x14ac:dyDescent="0.25">
      <c r="B233">
        <v>4</v>
      </c>
      <c r="C233" s="20" t="s">
        <v>27</v>
      </c>
      <c r="D233">
        <v>376</v>
      </c>
      <c r="E233">
        <v>376</v>
      </c>
      <c r="F233" s="20" t="s">
        <v>51</v>
      </c>
      <c r="G233" s="20">
        <f t="shared" si="6"/>
        <v>1</v>
      </c>
      <c r="H233" s="20">
        <f t="shared" si="7"/>
        <v>1</v>
      </c>
      <c r="I233" s="20">
        <f>_xlfn.MAXIFS($E$6:E232,$C$6:C232,detalhe_carro2[[#This Row],[Nó]],$B$6:B232,detalhe_carro2[[#This Row],[Numero Voltas]],$G$6:G232,1)</f>
        <v>298</v>
      </c>
      <c r="J233" s="20">
        <f>IF(OR(detalhe_carro2[[#This Row],[Ultima Chegada]]=0,detalhe_carro2[[#This Row],[Chegada]]=0),"",detalhe_carro2[[#This Row],[Hora Inicio]]-detalhe_carro2[[#This Row],[Ultima Chegada]])</f>
        <v>78</v>
      </c>
      <c r="K233" s="20"/>
      <c r="L233" s="20"/>
      <c r="M233" s="20"/>
    </row>
    <row r="234" spans="2:13" x14ac:dyDescent="0.25">
      <c r="B234">
        <v>4</v>
      </c>
      <c r="C234" s="20" t="s">
        <v>29</v>
      </c>
      <c r="D234">
        <v>378</v>
      </c>
      <c r="E234">
        <v>378</v>
      </c>
      <c r="F234" s="20" t="s">
        <v>51</v>
      </c>
      <c r="G234" s="20">
        <f t="shared" si="6"/>
        <v>1</v>
      </c>
      <c r="H234" s="20">
        <f t="shared" si="7"/>
        <v>1</v>
      </c>
      <c r="I234" s="20">
        <f>_xlfn.MAXIFS($E$6:E233,$C$6:C233,detalhe_carro2[[#This Row],[Nó]],$B$6:B233,detalhe_carro2[[#This Row],[Numero Voltas]],$G$6:G233,1)</f>
        <v>296</v>
      </c>
      <c r="J234" s="20">
        <f>IF(OR(detalhe_carro2[[#This Row],[Ultima Chegada]]=0,detalhe_carro2[[#This Row],[Chegada]]=0),"",detalhe_carro2[[#This Row],[Hora Inicio]]-detalhe_carro2[[#This Row],[Ultima Chegada]])</f>
        <v>82</v>
      </c>
      <c r="K234" s="20"/>
      <c r="L234" s="20"/>
      <c r="M234" s="20"/>
    </row>
    <row r="235" spans="2:13" x14ac:dyDescent="0.25">
      <c r="B235">
        <v>4</v>
      </c>
      <c r="C235" s="20" t="s">
        <v>31</v>
      </c>
      <c r="D235">
        <v>382</v>
      </c>
      <c r="E235">
        <v>382</v>
      </c>
      <c r="F235" s="20" t="s">
        <v>51</v>
      </c>
      <c r="G235" s="20">
        <f t="shared" si="6"/>
        <v>1</v>
      </c>
      <c r="H235" s="20">
        <f t="shared" si="7"/>
        <v>1</v>
      </c>
      <c r="I235" s="20">
        <f>_xlfn.MAXIFS($E$6:E234,$C$6:C234,detalhe_carro2[[#This Row],[Nó]],$B$6:B234,detalhe_carro2[[#This Row],[Numero Voltas]],$G$6:G234,1)</f>
        <v>292</v>
      </c>
      <c r="J235" s="20">
        <f>IF(OR(detalhe_carro2[[#This Row],[Ultima Chegada]]=0,detalhe_carro2[[#This Row],[Chegada]]=0),"",detalhe_carro2[[#This Row],[Hora Inicio]]-detalhe_carro2[[#This Row],[Ultima Chegada]])</f>
        <v>90</v>
      </c>
      <c r="K235" s="20"/>
      <c r="L235" s="20"/>
      <c r="M235" s="20"/>
    </row>
    <row r="236" spans="2:13" x14ac:dyDescent="0.25">
      <c r="B236">
        <v>4</v>
      </c>
      <c r="C236" s="20" t="s">
        <v>33</v>
      </c>
      <c r="D236">
        <v>386</v>
      </c>
      <c r="E236">
        <v>386</v>
      </c>
      <c r="F236" s="20" t="s">
        <v>51</v>
      </c>
      <c r="G236" s="20">
        <f t="shared" si="6"/>
        <v>0</v>
      </c>
      <c r="H236" s="20">
        <f t="shared" si="7"/>
        <v>1</v>
      </c>
      <c r="I236" s="20">
        <f>_xlfn.MAXIFS($E$6:E235,$C$6:C235,detalhe_carro2[[#This Row],[Nó]],$B$6:B235,detalhe_carro2[[#This Row],[Numero Voltas]],$G$6:G235,1)</f>
        <v>288</v>
      </c>
      <c r="J236" s="20">
        <f>IF(OR(detalhe_carro2[[#This Row],[Ultima Chegada]]=0,detalhe_carro2[[#This Row],[Chegada]]=0),"",detalhe_carro2[[#This Row],[Hora Inicio]]-detalhe_carro2[[#This Row],[Ultima Chegada]])</f>
        <v>98</v>
      </c>
      <c r="K236" s="20"/>
      <c r="L236" s="20"/>
      <c r="M236" s="20"/>
    </row>
    <row r="237" spans="2:13" x14ac:dyDescent="0.25">
      <c r="B237">
        <v>4</v>
      </c>
      <c r="C237" s="20" t="s">
        <v>33</v>
      </c>
      <c r="D237">
        <v>388</v>
      </c>
      <c r="E237">
        <v>388</v>
      </c>
      <c r="F237" s="20" t="s">
        <v>51</v>
      </c>
      <c r="G237" s="20">
        <f t="shared" si="6"/>
        <v>1</v>
      </c>
      <c r="H237" s="20">
        <f t="shared" si="7"/>
        <v>0</v>
      </c>
      <c r="I237" s="20">
        <f>_xlfn.MAXIFS($E$6:E236,$C$6:C236,detalhe_carro2[[#This Row],[Nó]],$B$6:B236,detalhe_carro2[[#This Row],[Numero Voltas]],$G$6:G236,1)</f>
        <v>288</v>
      </c>
      <c r="J237" s="20" t="str">
        <f>IF(OR(detalhe_carro2[[#This Row],[Ultima Chegada]]=0,detalhe_carro2[[#This Row],[Chegada]]=0),"",detalhe_carro2[[#This Row],[Hora Inicio]]-detalhe_carro2[[#This Row],[Ultima Chegada]])</f>
        <v/>
      </c>
      <c r="K237" s="20"/>
      <c r="L237" s="20"/>
      <c r="M237" s="20"/>
    </row>
    <row r="238" spans="2:13" x14ac:dyDescent="0.25">
      <c r="B238">
        <v>4</v>
      </c>
      <c r="C238" s="20" t="s">
        <v>31</v>
      </c>
      <c r="D238">
        <v>392</v>
      </c>
      <c r="E238">
        <v>392</v>
      </c>
      <c r="F238" s="20" t="s">
        <v>51</v>
      </c>
      <c r="G238" s="20">
        <f t="shared" si="6"/>
        <v>1</v>
      </c>
      <c r="H238" s="20">
        <f t="shared" si="7"/>
        <v>1</v>
      </c>
      <c r="I238" s="20">
        <f>_xlfn.MAXIFS($E$6:E237,$C$6:C237,detalhe_carro2[[#This Row],[Nó]],$B$6:B237,detalhe_carro2[[#This Row],[Numero Voltas]],$G$6:G237,1)</f>
        <v>382</v>
      </c>
      <c r="J238" s="20">
        <f>IF(OR(detalhe_carro2[[#This Row],[Ultima Chegada]]=0,detalhe_carro2[[#This Row],[Chegada]]=0),"",detalhe_carro2[[#This Row],[Hora Inicio]]-detalhe_carro2[[#This Row],[Ultima Chegada]])</f>
        <v>10</v>
      </c>
      <c r="K238" s="20"/>
      <c r="L238" s="20"/>
      <c r="M238" s="20"/>
    </row>
    <row r="239" spans="2:13" x14ac:dyDescent="0.25">
      <c r="B239">
        <v>4</v>
      </c>
      <c r="C239" s="20" t="s">
        <v>29</v>
      </c>
      <c r="D239">
        <v>396</v>
      </c>
      <c r="E239">
        <v>396</v>
      </c>
      <c r="F239" s="20" t="s">
        <v>51</v>
      </c>
      <c r="G239" s="20">
        <f t="shared" si="6"/>
        <v>1</v>
      </c>
      <c r="H239" s="20">
        <f t="shared" si="7"/>
        <v>1</v>
      </c>
      <c r="I239" s="20">
        <f>_xlfn.MAXIFS($E$6:E238,$C$6:C238,detalhe_carro2[[#This Row],[Nó]],$B$6:B238,detalhe_carro2[[#This Row],[Numero Voltas]],$G$6:G238,1)</f>
        <v>378</v>
      </c>
      <c r="J239" s="20">
        <f>IF(OR(detalhe_carro2[[#This Row],[Ultima Chegada]]=0,detalhe_carro2[[#This Row],[Chegada]]=0),"",detalhe_carro2[[#This Row],[Hora Inicio]]-detalhe_carro2[[#This Row],[Ultima Chegada]])</f>
        <v>18</v>
      </c>
      <c r="K239" s="20"/>
      <c r="L239" s="20"/>
      <c r="M239" s="20"/>
    </row>
    <row r="240" spans="2:13" x14ac:dyDescent="0.25">
      <c r="B240">
        <v>4</v>
      </c>
      <c r="C240" s="20" t="s">
        <v>27</v>
      </c>
      <c r="D240">
        <v>398</v>
      </c>
      <c r="E240">
        <v>398</v>
      </c>
      <c r="F240" s="20" t="s">
        <v>51</v>
      </c>
      <c r="G240" s="20">
        <f t="shared" si="6"/>
        <v>1</v>
      </c>
      <c r="H240" s="20">
        <f t="shared" si="7"/>
        <v>1</v>
      </c>
      <c r="I240" s="20">
        <f>_xlfn.MAXIFS($E$6:E239,$C$6:C239,detalhe_carro2[[#This Row],[Nó]],$B$6:B239,detalhe_carro2[[#This Row],[Numero Voltas]],$G$6:G239,1)</f>
        <v>376</v>
      </c>
      <c r="J240" s="20">
        <f>IF(OR(detalhe_carro2[[#This Row],[Ultima Chegada]]=0,detalhe_carro2[[#This Row],[Chegada]]=0),"",detalhe_carro2[[#This Row],[Hora Inicio]]-detalhe_carro2[[#This Row],[Ultima Chegada]])</f>
        <v>22</v>
      </c>
      <c r="K240" s="20"/>
      <c r="L240" s="20"/>
      <c r="M240" s="20"/>
    </row>
    <row r="241" spans="2:13" x14ac:dyDescent="0.25">
      <c r="B241">
        <v>4</v>
      </c>
      <c r="C241" s="20" t="s">
        <v>26</v>
      </c>
      <c r="D241">
        <v>400</v>
      </c>
      <c r="E241">
        <v>400</v>
      </c>
      <c r="F241" s="20" t="s">
        <v>51</v>
      </c>
      <c r="G241" s="20">
        <f t="shared" si="6"/>
        <v>1</v>
      </c>
      <c r="H241" s="20">
        <f t="shared" si="7"/>
        <v>1</v>
      </c>
      <c r="I241" s="20">
        <f>_xlfn.MAXIFS($E$6:E240,$C$6:C240,detalhe_carro2[[#This Row],[Nó]],$B$6:B240,detalhe_carro2[[#This Row],[Numero Voltas]],$G$6:G240,1)</f>
        <v>374</v>
      </c>
      <c r="J241" s="20">
        <f>IF(OR(detalhe_carro2[[#This Row],[Ultima Chegada]]=0,detalhe_carro2[[#This Row],[Chegada]]=0),"",detalhe_carro2[[#This Row],[Hora Inicio]]-detalhe_carro2[[#This Row],[Ultima Chegada]])</f>
        <v>26</v>
      </c>
      <c r="K241" s="20"/>
      <c r="L241" s="20"/>
      <c r="M241" s="20"/>
    </row>
    <row r="242" spans="2:13" x14ac:dyDescent="0.25">
      <c r="B242">
        <v>4</v>
      </c>
      <c r="C242" s="20" t="s">
        <v>24</v>
      </c>
      <c r="D242">
        <v>402</v>
      </c>
      <c r="E242">
        <v>402</v>
      </c>
      <c r="F242" s="20" t="s">
        <v>51</v>
      </c>
      <c r="G242" s="20">
        <f t="shared" si="6"/>
        <v>1</v>
      </c>
      <c r="H242" s="20">
        <f t="shared" si="7"/>
        <v>1</v>
      </c>
      <c r="I242" s="20">
        <f>_xlfn.MAXIFS($E$6:E241,$C$6:C241,detalhe_carro2[[#This Row],[Nó]],$B$6:B241,detalhe_carro2[[#This Row],[Numero Voltas]],$G$6:G241,1)</f>
        <v>372</v>
      </c>
      <c r="J242" s="20">
        <f>IF(OR(detalhe_carro2[[#This Row],[Ultima Chegada]]=0,detalhe_carro2[[#This Row],[Chegada]]=0),"",detalhe_carro2[[#This Row],[Hora Inicio]]-detalhe_carro2[[#This Row],[Ultima Chegada]])</f>
        <v>30</v>
      </c>
      <c r="K242" s="20"/>
      <c r="L242" s="20"/>
      <c r="M242" s="20"/>
    </row>
    <row r="243" spans="2:13" x14ac:dyDescent="0.25">
      <c r="B243">
        <v>4</v>
      </c>
      <c r="C243" s="20" t="s">
        <v>22</v>
      </c>
      <c r="D243">
        <v>404</v>
      </c>
      <c r="E243">
        <v>404</v>
      </c>
      <c r="F243" s="20" t="s">
        <v>51</v>
      </c>
      <c r="G243" s="20">
        <f t="shared" si="6"/>
        <v>1</v>
      </c>
      <c r="H243" s="20">
        <f t="shared" si="7"/>
        <v>1</v>
      </c>
      <c r="I243" s="20">
        <f>_xlfn.MAXIFS($E$6:E242,$C$6:C242,detalhe_carro2[[#This Row],[Nó]],$B$6:B242,detalhe_carro2[[#This Row],[Numero Voltas]],$G$6:G242,1)</f>
        <v>370</v>
      </c>
      <c r="J243" s="20">
        <f>IF(OR(detalhe_carro2[[#This Row],[Ultima Chegada]]=0,detalhe_carro2[[#This Row],[Chegada]]=0),"",detalhe_carro2[[#This Row],[Hora Inicio]]-detalhe_carro2[[#This Row],[Ultima Chegada]])</f>
        <v>34</v>
      </c>
      <c r="K243" s="20"/>
      <c r="L243" s="20"/>
      <c r="M243" s="20"/>
    </row>
    <row r="244" spans="2:13" x14ac:dyDescent="0.25">
      <c r="B244">
        <v>4</v>
      </c>
      <c r="C244" s="20" t="s">
        <v>20</v>
      </c>
      <c r="D244">
        <v>406</v>
      </c>
      <c r="E244">
        <v>406</v>
      </c>
      <c r="F244" s="20" t="s">
        <v>51</v>
      </c>
      <c r="G244" s="20">
        <f t="shared" si="6"/>
        <v>0</v>
      </c>
      <c r="H244" s="20">
        <f t="shared" si="7"/>
        <v>1</v>
      </c>
      <c r="I244" s="20">
        <f>_xlfn.MAXIFS($E$6:E243,$C$6:C243,detalhe_carro2[[#This Row],[Nó]],$B$6:B243,detalhe_carro2[[#This Row],[Numero Voltas]],$G$6:G243,1)</f>
        <v>368</v>
      </c>
      <c r="J244" s="20">
        <f>IF(OR(detalhe_carro2[[#This Row],[Ultima Chegada]]=0,detalhe_carro2[[#This Row],[Chegada]]=0),"",detalhe_carro2[[#This Row],[Hora Inicio]]-detalhe_carro2[[#This Row],[Ultima Chegada]])</f>
        <v>38</v>
      </c>
      <c r="K244" s="20"/>
      <c r="L244" s="20"/>
      <c r="M244" s="20"/>
    </row>
    <row r="245" spans="2:13" x14ac:dyDescent="0.25">
      <c r="B245">
        <v>4</v>
      </c>
      <c r="C245" s="20" t="s">
        <v>20</v>
      </c>
      <c r="D245">
        <v>408</v>
      </c>
      <c r="E245">
        <v>408</v>
      </c>
      <c r="F245" s="20" t="s">
        <v>51</v>
      </c>
      <c r="G245" s="20">
        <f t="shared" si="6"/>
        <v>1</v>
      </c>
      <c r="H245" s="20">
        <f t="shared" si="7"/>
        <v>0</v>
      </c>
      <c r="I245" s="20">
        <f>_xlfn.MAXIFS($E$6:E244,$C$6:C244,detalhe_carro2[[#This Row],[Nó]],$B$6:B244,detalhe_carro2[[#This Row],[Numero Voltas]],$G$6:G244,1)</f>
        <v>368</v>
      </c>
      <c r="J245" s="20" t="str">
        <f>IF(OR(detalhe_carro2[[#This Row],[Ultima Chegada]]=0,detalhe_carro2[[#This Row],[Chegada]]=0),"",detalhe_carro2[[#This Row],[Hora Inicio]]-detalhe_carro2[[#This Row],[Ultima Chegada]])</f>
        <v/>
      </c>
      <c r="K245" s="20"/>
      <c r="L245" s="20"/>
      <c r="M245" s="20"/>
    </row>
    <row r="246" spans="2:13" x14ac:dyDescent="0.25">
      <c r="B246">
        <v>4</v>
      </c>
      <c r="C246" s="20" t="s">
        <v>22</v>
      </c>
      <c r="D246">
        <v>410</v>
      </c>
      <c r="E246">
        <v>410</v>
      </c>
      <c r="F246" s="20" t="s">
        <v>51</v>
      </c>
      <c r="G246" s="20">
        <f t="shared" si="6"/>
        <v>1</v>
      </c>
      <c r="H246" s="20">
        <f t="shared" si="7"/>
        <v>1</v>
      </c>
      <c r="I246" s="20">
        <f>_xlfn.MAXIFS($E$6:E245,$C$6:C245,detalhe_carro2[[#This Row],[Nó]],$B$6:B245,detalhe_carro2[[#This Row],[Numero Voltas]],$G$6:G245,1)</f>
        <v>404</v>
      </c>
      <c r="J246" s="20">
        <f>IF(OR(detalhe_carro2[[#This Row],[Ultima Chegada]]=0,detalhe_carro2[[#This Row],[Chegada]]=0),"",detalhe_carro2[[#This Row],[Hora Inicio]]-detalhe_carro2[[#This Row],[Ultima Chegada]])</f>
        <v>6</v>
      </c>
      <c r="K246" s="20"/>
      <c r="L246" s="20"/>
      <c r="M246" s="20"/>
    </row>
    <row r="247" spans="2:13" x14ac:dyDescent="0.25">
      <c r="B247">
        <v>4</v>
      </c>
      <c r="C247" s="20" t="s">
        <v>24</v>
      </c>
      <c r="D247">
        <v>412</v>
      </c>
      <c r="E247">
        <v>412</v>
      </c>
      <c r="F247" s="20" t="s">
        <v>51</v>
      </c>
      <c r="G247" s="20">
        <f t="shared" si="6"/>
        <v>1</v>
      </c>
      <c r="H247" s="20">
        <f t="shared" si="7"/>
        <v>1</v>
      </c>
      <c r="I247" s="20">
        <f>_xlfn.MAXIFS($E$6:E246,$C$6:C246,detalhe_carro2[[#This Row],[Nó]],$B$6:B246,detalhe_carro2[[#This Row],[Numero Voltas]],$G$6:G246,1)</f>
        <v>402</v>
      </c>
      <c r="J247" s="20">
        <f>IF(OR(detalhe_carro2[[#This Row],[Ultima Chegada]]=0,detalhe_carro2[[#This Row],[Chegada]]=0),"",detalhe_carro2[[#This Row],[Hora Inicio]]-detalhe_carro2[[#This Row],[Ultima Chegada]])</f>
        <v>10</v>
      </c>
      <c r="K247" s="20"/>
      <c r="L247" s="20"/>
      <c r="M247" s="20"/>
    </row>
    <row r="248" spans="2:13" x14ac:dyDescent="0.25">
      <c r="B248">
        <v>4</v>
      </c>
      <c r="C248" s="20" t="s">
        <v>26</v>
      </c>
      <c r="D248">
        <v>414</v>
      </c>
      <c r="E248">
        <v>414</v>
      </c>
      <c r="F248" s="20" t="s">
        <v>51</v>
      </c>
      <c r="G248" s="20">
        <f t="shared" si="6"/>
        <v>1</v>
      </c>
      <c r="H248" s="20">
        <f t="shared" si="7"/>
        <v>1</v>
      </c>
      <c r="I248" s="20">
        <f>_xlfn.MAXIFS($E$6:E247,$C$6:C247,detalhe_carro2[[#This Row],[Nó]],$B$6:B247,detalhe_carro2[[#This Row],[Numero Voltas]],$G$6:G247,1)</f>
        <v>400</v>
      </c>
      <c r="J248" s="20">
        <f>IF(OR(detalhe_carro2[[#This Row],[Ultima Chegada]]=0,detalhe_carro2[[#This Row],[Chegada]]=0),"",detalhe_carro2[[#This Row],[Hora Inicio]]-detalhe_carro2[[#This Row],[Ultima Chegada]])</f>
        <v>14</v>
      </c>
      <c r="K248" s="20"/>
      <c r="L248" s="20"/>
      <c r="M248" s="20"/>
    </row>
    <row r="249" spans="2:13" x14ac:dyDescent="0.25">
      <c r="B249">
        <v>4</v>
      </c>
      <c r="C249" s="20" t="s">
        <v>27</v>
      </c>
      <c r="D249">
        <v>416</v>
      </c>
      <c r="E249">
        <v>416</v>
      </c>
      <c r="F249" s="20" t="s">
        <v>51</v>
      </c>
      <c r="G249" s="20">
        <f t="shared" si="6"/>
        <v>1</v>
      </c>
      <c r="H249" s="20">
        <f t="shared" si="7"/>
        <v>1</v>
      </c>
      <c r="I249" s="20">
        <f>_xlfn.MAXIFS($E$6:E248,$C$6:C248,detalhe_carro2[[#This Row],[Nó]],$B$6:B248,detalhe_carro2[[#This Row],[Numero Voltas]],$G$6:G248,1)</f>
        <v>398</v>
      </c>
      <c r="J249" s="20">
        <f>IF(OR(detalhe_carro2[[#This Row],[Ultima Chegada]]=0,detalhe_carro2[[#This Row],[Chegada]]=0),"",detalhe_carro2[[#This Row],[Hora Inicio]]-detalhe_carro2[[#This Row],[Ultima Chegada]])</f>
        <v>18</v>
      </c>
      <c r="K249" s="20"/>
      <c r="L249" s="20"/>
      <c r="M249" s="20"/>
    </row>
    <row r="250" spans="2:13" x14ac:dyDescent="0.25">
      <c r="B250">
        <v>4</v>
      </c>
      <c r="C250" s="20" t="s">
        <v>29</v>
      </c>
      <c r="D250">
        <v>418</v>
      </c>
      <c r="E250">
        <v>418</v>
      </c>
      <c r="F250" s="20" t="s">
        <v>51</v>
      </c>
      <c r="G250" s="20">
        <f t="shared" si="6"/>
        <v>1</v>
      </c>
      <c r="H250" s="20">
        <f t="shared" si="7"/>
        <v>1</v>
      </c>
      <c r="I250" s="20">
        <f>_xlfn.MAXIFS($E$6:E249,$C$6:C249,detalhe_carro2[[#This Row],[Nó]],$B$6:B249,detalhe_carro2[[#This Row],[Numero Voltas]],$G$6:G249,1)</f>
        <v>396</v>
      </c>
      <c r="J250" s="20">
        <f>IF(OR(detalhe_carro2[[#This Row],[Ultima Chegada]]=0,detalhe_carro2[[#This Row],[Chegada]]=0),"",detalhe_carro2[[#This Row],[Hora Inicio]]-detalhe_carro2[[#This Row],[Ultima Chegada]])</f>
        <v>22</v>
      </c>
      <c r="K250" s="20"/>
      <c r="L250" s="20"/>
      <c r="M250" s="20"/>
    </row>
    <row r="251" spans="2:13" x14ac:dyDescent="0.25">
      <c r="B251">
        <v>4</v>
      </c>
      <c r="C251" s="20" t="s">
        <v>31</v>
      </c>
      <c r="D251">
        <v>422</v>
      </c>
      <c r="E251">
        <v>422</v>
      </c>
      <c r="F251" s="20" t="s">
        <v>51</v>
      </c>
      <c r="G251" s="20">
        <f t="shared" si="6"/>
        <v>1</v>
      </c>
      <c r="H251" s="20">
        <f t="shared" si="7"/>
        <v>1</v>
      </c>
      <c r="I251" s="20">
        <f>_xlfn.MAXIFS($E$6:E250,$C$6:C250,detalhe_carro2[[#This Row],[Nó]],$B$6:B250,detalhe_carro2[[#This Row],[Numero Voltas]],$G$6:G250,1)</f>
        <v>392</v>
      </c>
      <c r="J251" s="20">
        <f>IF(OR(detalhe_carro2[[#This Row],[Ultima Chegada]]=0,detalhe_carro2[[#This Row],[Chegada]]=0),"",detalhe_carro2[[#This Row],[Hora Inicio]]-detalhe_carro2[[#This Row],[Ultima Chegada]])</f>
        <v>30</v>
      </c>
      <c r="K251" s="20"/>
      <c r="L251" s="20"/>
      <c r="M251" s="20"/>
    </row>
    <row r="252" spans="2:13" x14ac:dyDescent="0.25">
      <c r="B252">
        <v>4</v>
      </c>
      <c r="C252" s="20" t="s">
        <v>33</v>
      </c>
      <c r="D252">
        <v>426</v>
      </c>
      <c r="E252">
        <v>426</v>
      </c>
      <c r="F252" s="20" t="s">
        <v>51</v>
      </c>
      <c r="G252" s="20">
        <f t="shared" si="6"/>
        <v>0</v>
      </c>
      <c r="H252" s="20">
        <f t="shared" si="7"/>
        <v>1</v>
      </c>
      <c r="I252" s="20">
        <f>_xlfn.MAXIFS($E$6:E251,$C$6:C251,detalhe_carro2[[#This Row],[Nó]],$B$6:B251,detalhe_carro2[[#This Row],[Numero Voltas]],$G$6:G251,1)</f>
        <v>388</v>
      </c>
      <c r="J252" s="20">
        <f>IF(OR(detalhe_carro2[[#This Row],[Ultima Chegada]]=0,detalhe_carro2[[#This Row],[Chegada]]=0),"",detalhe_carro2[[#This Row],[Hora Inicio]]-detalhe_carro2[[#This Row],[Ultima Chegada]])</f>
        <v>38</v>
      </c>
      <c r="K252" s="20"/>
      <c r="L252" s="20"/>
      <c r="M252" s="20"/>
    </row>
    <row r="253" spans="2:13" x14ac:dyDescent="0.25">
      <c r="B253">
        <v>4</v>
      </c>
      <c r="C253" s="20" t="s">
        <v>33</v>
      </c>
      <c r="D253">
        <v>428</v>
      </c>
      <c r="E253">
        <v>453</v>
      </c>
      <c r="F253" s="20" t="s">
        <v>52</v>
      </c>
      <c r="G253" s="20">
        <f t="shared" si="6"/>
        <v>0</v>
      </c>
      <c r="H253" s="20">
        <f t="shared" si="7"/>
        <v>0</v>
      </c>
      <c r="I253" s="20">
        <f>_xlfn.MAXIFS($E$6:E252,$C$6:C252,detalhe_carro2[[#This Row],[Nó]],$B$6:B252,detalhe_carro2[[#This Row],[Numero Voltas]],$G$6:G252,1)</f>
        <v>388</v>
      </c>
      <c r="J253" s="20" t="str">
        <f>IF(OR(detalhe_carro2[[#This Row],[Ultima Chegada]]=0,detalhe_carro2[[#This Row],[Chegada]]=0),"",detalhe_carro2[[#This Row],[Hora Inicio]]-detalhe_carro2[[#This Row],[Ultima Chegada]])</f>
        <v/>
      </c>
      <c r="K253" s="20"/>
      <c r="L253" s="20"/>
      <c r="M253" s="20"/>
    </row>
    <row r="254" spans="2:13" x14ac:dyDescent="0.25">
      <c r="B254">
        <v>4</v>
      </c>
      <c r="C254" s="20" t="s">
        <v>33</v>
      </c>
      <c r="D254">
        <v>453</v>
      </c>
      <c r="E254">
        <v>453</v>
      </c>
      <c r="F254" s="20" t="s">
        <v>51</v>
      </c>
      <c r="G254" s="20">
        <f t="shared" si="6"/>
        <v>0</v>
      </c>
      <c r="H254" s="20">
        <f t="shared" si="7"/>
        <v>0</v>
      </c>
      <c r="I254" s="20">
        <f>_xlfn.MAXIFS($E$6:E253,$C$6:C253,detalhe_carro2[[#This Row],[Nó]],$B$6:B253,detalhe_carro2[[#This Row],[Numero Voltas]],$G$6:G253,1)</f>
        <v>388</v>
      </c>
      <c r="J254" s="20" t="str">
        <f>IF(OR(detalhe_carro2[[#This Row],[Ultima Chegada]]=0,detalhe_carro2[[#This Row],[Chegada]]=0),"",detalhe_carro2[[#This Row],[Hora Inicio]]-detalhe_carro2[[#This Row],[Ultima Chegada]])</f>
        <v/>
      </c>
      <c r="K254" s="20"/>
      <c r="L254" s="20"/>
      <c r="M254" s="20"/>
    </row>
    <row r="255" spans="2:13" x14ac:dyDescent="0.25">
      <c r="B255">
        <v>4</v>
      </c>
      <c r="C255" s="20" t="s">
        <v>33</v>
      </c>
      <c r="D255">
        <v>455</v>
      </c>
      <c r="E255">
        <v>480</v>
      </c>
      <c r="F255" s="20" t="s">
        <v>52</v>
      </c>
      <c r="G255" s="20">
        <f t="shared" si="6"/>
        <v>0</v>
      </c>
      <c r="H255" s="20">
        <f t="shared" si="7"/>
        <v>0</v>
      </c>
      <c r="I255" s="20">
        <f>_xlfn.MAXIFS($E$6:E254,$C$6:C254,detalhe_carro2[[#This Row],[Nó]],$B$6:B254,detalhe_carro2[[#This Row],[Numero Voltas]],$G$6:G254,1)</f>
        <v>388</v>
      </c>
      <c r="J255" s="20" t="str">
        <f>IF(OR(detalhe_carro2[[#This Row],[Ultima Chegada]]=0,detalhe_carro2[[#This Row],[Chegada]]=0),"",detalhe_carro2[[#This Row],[Hora Inicio]]-detalhe_carro2[[#This Row],[Ultima Chegada]])</f>
        <v/>
      </c>
      <c r="K255" s="20"/>
      <c r="L255" s="20"/>
      <c r="M255" s="20"/>
    </row>
    <row r="256" spans="2:13" x14ac:dyDescent="0.25">
      <c r="B256">
        <v>4</v>
      </c>
      <c r="C256" s="20" t="s">
        <v>33</v>
      </c>
      <c r="D256">
        <v>480</v>
      </c>
      <c r="E256">
        <v>480</v>
      </c>
      <c r="F256" s="20" t="s">
        <v>51</v>
      </c>
      <c r="G256" s="20">
        <f t="shared" si="6"/>
        <v>1</v>
      </c>
      <c r="H256" s="20">
        <f t="shared" si="7"/>
        <v>0</v>
      </c>
      <c r="I256" s="20">
        <f>_xlfn.MAXIFS($E$6:E255,$C$6:C255,detalhe_carro2[[#This Row],[Nó]],$B$6:B255,detalhe_carro2[[#This Row],[Numero Voltas]],$G$6:G255,1)</f>
        <v>388</v>
      </c>
      <c r="J256" s="20" t="str">
        <f>IF(OR(detalhe_carro2[[#This Row],[Ultima Chegada]]=0,detalhe_carro2[[#This Row],[Chegada]]=0),"",detalhe_carro2[[#This Row],[Hora Inicio]]-detalhe_carro2[[#This Row],[Ultima Chegada]])</f>
        <v/>
      </c>
      <c r="K256" s="20"/>
      <c r="L256" s="20"/>
      <c r="M256" s="20"/>
    </row>
  </sheetData>
  <mergeCells count="1">
    <mergeCell ref="A1:AK3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2E3C2-D7CF-40F0-A5BB-15BD6EF5A83D}">
  <sheetPr codeName="Sheet4">
    <tabColor theme="9" tint="0.59999389629810485"/>
  </sheetPr>
  <dimension ref="A1:AL60"/>
  <sheetViews>
    <sheetView zoomScale="40" zoomScaleNormal="40" workbookViewId="0">
      <selection activeCell="J3" sqref="J3"/>
    </sheetView>
  </sheetViews>
  <sheetFormatPr defaultRowHeight="15" x14ac:dyDescent="0.25"/>
  <cols>
    <col min="1" max="1" width="24.140625" bestFit="1" customWidth="1"/>
    <col min="2" max="2" width="14" bestFit="1" customWidth="1"/>
    <col min="3" max="3" width="12.42578125" bestFit="1" customWidth="1"/>
    <col min="4" max="4" width="10.7109375" bestFit="1" customWidth="1"/>
    <col min="5" max="5" width="12.140625" bestFit="1" customWidth="1"/>
    <col min="6" max="6" width="6.5703125" bestFit="1" customWidth="1"/>
    <col min="7" max="7" width="12.140625" style="7" bestFit="1" customWidth="1"/>
    <col min="8" max="8" width="18.7109375" bestFit="1" customWidth="1"/>
    <col min="9" max="9" width="9.42578125" bestFit="1" customWidth="1"/>
    <col min="10" max="10" width="12.85546875" bestFit="1" customWidth="1"/>
    <col min="11" max="11" width="7.5703125" bestFit="1" customWidth="1"/>
    <col min="12" max="12" width="6.85546875" customWidth="1"/>
    <col min="14" max="14" width="12.7109375" bestFit="1" customWidth="1"/>
    <col min="15" max="15" width="4.85546875" bestFit="1" customWidth="1"/>
    <col min="16" max="16" width="12.7109375" bestFit="1" customWidth="1"/>
    <col min="17" max="17" width="4.85546875" style="17" bestFit="1" customWidth="1"/>
    <col min="18" max="18" width="12.7109375" style="17" bestFit="1" customWidth="1"/>
    <col min="19" max="19" width="4.85546875" style="17" bestFit="1" customWidth="1"/>
    <col min="20" max="20" width="12.7109375" style="17" bestFit="1" customWidth="1"/>
    <col min="21" max="21" width="4.85546875" style="17" bestFit="1" customWidth="1"/>
    <col min="22" max="22" width="12.7109375" style="17" bestFit="1" customWidth="1"/>
    <col min="23" max="23" width="4.85546875" style="17" bestFit="1" customWidth="1"/>
    <col min="24" max="24" width="12.7109375" style="17" bestFit="1" customWidth="1"/>
    <col min="25" max="25" width="4.85546875" style="17" bestFit="1" customWidth="1"/>
    <col min="26" max="26" width="12.7109375" style="17" bestFit="1" customWidth="1"/>
    <col min="27" max="27" width="4.85546875" style="17" bestFit="1" customWidth="1"/>
    <col min="28" max="28" width="12.7109375" style="17" bestFit="1" customWidth="1"/>
    <col min="29" max="29" width="4.85546875" style="17" bestFit="1" customWidth="1"/>
    <col min="30" max="30" width="12.7109375" style="17" bestFit="1" customWidth="1"/>
    <col min="31" max="31" width="4.85546875" style="17" customWidth="1"/>
    <col min="32" max="32" width="12" style="17" bestFit="1" customWidth="1"/>
    <col min="33" max="33" width="4.85546875" style="17" customWidth="1"/>
    <col min="34" max="34" width="13.85546875" style="17" bestFit="1" customWidth="1"/>
    <col min="35" max="35" width="2" style="17" bestFit="1" customWidth="1"/>
    <col min="36" max="36" width="13.85546875" style="17" bestFit="1" customWidth="1"/>
    <col min="38" max="38" width="25.85546875" bestFit="1" customWidth="1"/>
    <col min="39" max="39" width="10.7109375" bestFit="1" customWidth="1"/>
  </cols>
  <sheetData>
    <row r="1" spans="1:38" ht="135" x14ac:dyDescent="0.25">
      <c r="A1" t="s">
        <v>11</v>
      </c>
      <c r="B1" t="s">
        <v>247</v>
      </c>
      <c r="C1" t="s">
        <v>48</v>
      </c>
      <c r="D1" t="s">
        <v>7</v>
      </c>
      <c r="E1" t="s">
        <v>248</v>
      </c>
      <c r="F1" t="s">
        <v>249</v>
      </c>
      <c r="G1" s="7" t="s">
        <v>250</v>
      </c>
      <c r="H1" t="s">
        <v>251</v>
      </c>
      <c r="I1" t="s">
        <v>252</v>
      </c>
      <c r="J1" t="s">
        <v>253</v>
      </c>
      <c r="K1" t="s">
        <v>254</v>
      </c>
      <c r="M1" s="8" t="str" cm="1">
        <f t="array" aca="1" ref="M1" ca="1">LEFT(CELL("filename",A1),FIND("[",CELL("filename",A1),1)-1)</f>
        <v>C:\Users\Liliana Ramalho\PycharmProjects\Rotas Brisa\</v>
      </c>
      <c r="N1" s="6" t="s">
        <v>20</v>
      </c>
      <c r="O1" s="6" t="s">
        <v>255</v>
      </c>
      <c r="P1" s="6" t="s">
        <v>22</v>
      </c>
      <c r="Q1" s="6" t="s">
        <v>255</v>
      </c>
      <c r="R1" s="6" t="s">
        <v>24</v>
      </c>
      <c r="S1" s="6" t="s">
        <v>255</v>
      </c>
      <c r="T1" s="6" t="s">
        <v>26</v>
      </c>
      <c r="U1" s="6" t="s">
        <v>255</v>
      </c>
      <c r="V1" s="6" t="s">
        <v>27</v>
      </c>
      <c r="W1" s="6" t="s">
        <v>255</v>
      </c>
      <c r="X1" s="6" t="s">
        <v>29</v>
      </c>
      <c r="Y1" s="6" t="s">
        <v>255</v>
      </c>
      <c r="Z1" s="6" t="s">
        <v>31</v>
      </c>
      <c r="AA1" s="6" t="s">
        <v>255</v>
      </c>
      <c r="AB1" s="6" t="s">
        <v>33</v>
      </c>
      <c r="AC1" s="6" t="s">
        <v>255</v>
      </c>
      <c r="AD1" s="6" t="s">
        <v>35</v>
      </c>
      <c r="AE1" s="6" t="s">
        <v>255</v>
      </c>
      <c r="AF1" s="6" t="s">
        <v>36</v>
      </c>
      <c r="AG1" s="6" t="s">
        <v>255</v>
      </c>
      <c r="AH1" s="6" t="s">
        <v>37</v>
      </c>
      <c r="AI1" s="6" t="s">
        <v>255</v>
      </c>
      <c r="AJ1" s="6" t="s">
        <v>39</v>
      </c>
    </row>
    <row r="2" spans="1:38" x14ac:dyDescent="0.25">
      <c r="A2" s="20" t="s">
        <v>33</v>
      </c>
      <c r="B2" s="7">
        <v>0.29166666666666669</v>
      </c>
      <c r="C2" s="7">
        <v>0.29166666666666669</v>
      </c>
      <c r="D2" s="20" t="s">
        <v>49</v>
      </c>
      <c r="E2" s="20" t="str">
        <f>+TEXT(Carro2[[#This Row],[Column1]],"hh:mm")&amp;" | " &amp;TEXT(Carro2[[#This Row],[Hora Fim]],"hh:mm")</f>
        <v>07:00 | 07:00</v>
      </c>
      <c r="F2" s="20">
        <f>INDEX($N$3:$AJ$3,MATCH(Carro2[[#This Row],[Nó]],$N$1:$AJ$1,0))</f>
        <v>7</v>
      </c>
      <c r="G2" s="7">
        <f>+IF(AND(Carro2[[#This Row],[Nó]]=A1,Carro2[[#This Row],[Nó]]=A3),G1,Carro2[[#This Row],[Hora Início]])</f>
        <v>0.29166666666666669</v>
      </c>
      <c r="H2" s="20">
        <f t="shared" ref="H2:H33" si="0">IF(F2=F1,IF(F2&lt;&gt;F3,IF(F3&gt;=F1,1,2),H1),IF(F2&gt;=F1,1,2))</f>
        <v>2</v>
      </c>
      <c r="I2" s="20" cm="1">
        <f t="array" ref="I2">IFERROR(_xlfn.IFS(H2=H1,I1,I1="Ramo",1),I1+1)</f>
        <v>1</v>
      </c>
      <c r="J2" s="20">
        <f t="shared" ref="J2:J33" si="1">IF(I2&lt;&gt;I1,1,0)</f>
        <v>1</v>
      </c>
      <c r="K2" s="20" t="str">
        <f>IF(AND(Carro2[[#This Row],[Nó]]=A3,Carro2[[#This Row],[Nó]]=A4),"",I2&amp;"|"&amp;F2)</f>
        <v/>
      </c>
      <c r="N2" s="8"/>
      <c r="O2" s="8">
        <v>0</v>
      </c>
      <c r="P2" s="8">
        <v>1</v>
      </c>
      <c r="Q2" s="8">
        <v>0</v>
      </c>
      <c r="R2" s="8">
        <v>1</v>
      </c>
      <c r="S2" s="8">
        <v>0</v>
      </c>
      <c r="T2" s="8">
        <v>1</v>
      </c>
      <c r="U2" s="8">
        <v>0</v>
      </c>
      <c r="V2" s="8">
        <v>1</v>
      </c>
      <c r="W2" s="8">
        <v>0</v>
      </c>
      <c r="X2" s="8">
        <v>1</v>
      </c>
      <c r="Y2" s="8">
        <v>0</v>
      </c>
      <c r="Z2" s="8">
        <v>1</v>
      </c>
      <c r="AA2" s="8">
        <v>0</v>
      </c>
      <c r="AB2" s="8">
        <v>1</v>
      </c>
      <c r="AC2" s="8">
        <v>0</v>
      </c>
      <c r="AD2" s="8">
        <v>1</v>
      </c>
      <c r="AE2" s="8">
        <v>0</v>
      </c>
      <c r="AF2" s="8">
        <v>1</v>
      </c>
      <c r="AG2" s="8">
        <v>0</v>
      </c>
      <c r="AH2" s="8">
        <v>1</v>
      </c>
      <c r="AI2" s="8">
        <v>0</v>
      </c>
      <c r="AJ2" s="8">
        <v>1</v>
      </c>
    </row>
    <row r="3" spans="1:38" x14ac:dyDescent="0.25">
      <c r="A3" s="20" t="s">
        <v>33</v>
      </c>
      <c r="B3" s="7">
        <v>0.29305555555555557</v>
      </c>
      <c r="C3" s="7">
        <v>0.30208333333333331</v>
      </c>
      <c r="D3" s="20" t="s">
        <v>50</v>
      </c>
      <c r="E3" s="20" t="str">
        <f>+TEXT(Carro2[[#This Row],[Column1]],"hh:mm")&amp;" | " &amp;TEXT(Carro2[[#This Row],[Hora Fim]],"hh:mm")</f>
        <v>07:00 | 07:15</v>
      </c>
      <c r="F3" s="20">
        <f>INDEX($N$3:$AJ$3,MATCH(Carro2[[#This Row],[Nó]],$N$1:$AJ$1,0))</f>
        <v>7</v>
      </c>
      <c r="G3" s="7">
        <f>+IF(AND(Carro2[[#This Row],[Nó]]=A2,Carro2[[#This Row],[Nó]]=A4),G2,Carro2[[#This Row],[Hora Início]])</f>
        <v>0.29166666666666669</v>
      </c>
      <c r="H3" s="20">
        <f t="shared" si="0"/>
        <v>2</v>
      </c>
      <c r="I3" s="20" cm="1">
        <f t="array" ref="I3">IFERROR(_xlfn.IFS(H3=H2,I2,I2="Ramo",1),I2+1)</f>
        <v>1</v>
      </c>
      <c r="J3" s="20">
        <f t="shared" si="1"/>
        <v>0</v>
      </c>
      <c r="K3" s="20" t="str">
        <f>IF(AND(Carro2[[#This Row],[Nó]]=A4,Carro2[[#This Row],[Nó]]=A5),"",I3&amp;"|"&amp;F3)</f>
        <v>1|7</v>
      </c>
      <c r="M3" s="9" t="s">
        <v>252</v>
      </c>
      <c r="N3" s="10">
        <v>0</v>
      </c>
      <c r="O3" s="10"/>
      <c r="P3" s="10">
        <v>1</v>
      </c>
      <c r="Q3" s="10"/>
      <c r="R3" s="10">
        <v>2</v>
      </c>
      <c r="S3" s="10"/>
      <c r="T3" s="10">
        <v>3</v>
      </c>
      <c r="U3" s="10"/>
      <c r="V3" s="10">
        <v>4</v>
      </c>
      <c r="W3" s="10"/>
      <c r="X3" s="10">
        <v>5</v>
      </c>
      <c r="Y3" s="10"/>
      <c r="Z3" s="10">
        <v>6</v>
      </c>
      <c r="AA3" s="10"/>
      <c r="AB3" s="10">
        <v>7</v>
      </c>
      <c r="AC3" s="10"/>
      <c r="AD3" s="10">
        <v>8</v>
      </c>
      <c r="AE3" s="10"/>
      <c r="AF3" s="10">
        <v>9</v>
      </c>
      <c r="AG3" s="10"/>
      <c r="AH3" s="10">
        <v>10</v>
      </c>
      <c r="AI3" s="10"/>
      <c r="AJ3" s="10">
        <v>11</v>
      </c>
    </row>
    <row r="4" spans="1:38" x14ac:dyDescent="0.25">
      <c r="A4" s="20" t="s">
        <v>33</v>
      </c>
      <c r="B4" s="7">
        <v>0.30208333333333331</v>
      </c>
      <c r="C4" s="7">
        <v>0.30208333333333331</v>
      </c>
      <c r="D4" s="20" t="s">
        <v>51</v>
      </c>
      <c r="E4" s="20" t="str">
        <f>+TEXT(Carro2[[#This Row],[Column1]],"hh:mm")&amp;" | " &amp;TEXT(Carro2[[#This Row],[Hora Fim]],"hh:mm")</f>
        <v>07:15 | 07:15</v>
      </c>
      <c r="F4" s="20">
        <f>INDEX($N$3:$AJ$3,MATCH(Carro2[[#This Row],[Nó]],$N$1:$AJ$1,0))</f>
        <v>7</v>
      </c>
      <c r="G4" s="7">
        <f>+IF(AND(Carro2[[#This Row],[Nó]]=A3,Carro2[[#This Row],[Nó]]=A5),G3,Carro2[[#This Row],[Hora Início]])</f>
        <v>0.30208333333333331</v>
      </c>
      <c r="H4" s="20">
        <f t="shared" si="0"/>
        <v>2</v>
      </c>
      <c r="I4" s="20" cm="1">
        <f t="array" ref="I4">IFERROR(_xlfn.IFS(H4=H3,I3,I3="Ramo",1),I3+1)</f>
        <v>1</v>
      </c>
      <c r="J4" s="20">
        <f t="shared" si="1"/>
        <v>0</v>
      </c>
      <c r="K4" s="20" t="str">
        <f>IF(AND(Carro2[[#This Row],[Nó]]=A5,Carro2[[#This Row],[Nó]]=A6),"",I4&amp;"|"&amp;F4)</f>
        <v>1|7</v>
      </c>
      <c r="M4" s="11">
        <v>1</v>
      </c>
      <c r="N4" s="12" t="str">
        <f t="shared" ref="N4:AJ4" si="2">IF(O$2=0,IFERROR(INDEX($E:$E,MATCH($M4&amp;"|"&amp;N$3,$K:$K,0)),""),IFERROR(INDEX($J:$J,MATCH($M4&amp;"|"&amp;N$3,$K:$K,0)),""))</f>
        <v>09:12 | 09:29</v>
      </c>
      <c r="O4" s="12" t="str">
        <f t="shared" si="2"/>
        <v/>
      </c>
      <c r="P4" s="12" t="str">
        <f t="shared" si="2"/>
        <v>09:05 | 09:10</v>
      </c>
      <c r="Q4" s="12" t="str">
        <f t="shared" si="2"/>
        <v/>
      </c>
      <c r="R4" s="12" t="str">
        <f t="shared" si="2"/>
        <v>08:43 | 09:03</v>
      </c>
      <c r="S4" s="12" t="str">
        <f t="shared" si="2"/>
        <v/>
      </c>
      <c r="T4" s="12" t="str">
        <f t="shared" si="2"/>
        <v>08:17 | 08:27</v>
      </c>
      <c r="U4" s="12" t="str">
        <f t="shared" si="2"/>
        <v/>
      </c>
      <c r="V4" s="12" t="str">
        <f t="shared" si="2"/>
        <v>08:02 | 08:15</v>
      </c>
      <c r="W4" s="12" t="str">
        <f t="shared" si="2"/>
        <v/>
      </c>
      <c r="X4" s="12" t="str">
        <f t="shared" si="2"/>
        <v>07:32 | 08:00</v>
      </c>
      <c r="Y4" s="12" t="str">
        <f t="shared" si="2"/>
        <v/>
      </c>
      <c r="Z4" s="12" t="str">
        <f t="shared" si="2"/>
        <v>07:19 | 07:28</v>
      </c>
      <c r="AA4" s="12" t="str">
        <f t="shared" si="2"/>
        <v/>
      </c>
      <c r="AB4" s="12" t="str">
        <f t="shared" si="2"/>
        <v>07:00 | 07:15</v>
      </c>
      <c r="AC4" s="12" t="str">
        <f t="shared" si="2"/>
        <v/>
      </c>
      <c r="AD4" s="12" t="str">
        <f t="shared" si="2"/>
        <v/>
      </c>
      <c r="AE4" s="12" t="str">
        <f t="shared" si="2"/>
        <v/>
      </c>
      <c r="AF4" s="12" t="str">
        <f t="shared" si="2"/>
        <v/>
      </c>
      <c r="AG4" s="12" t="str">
        <f t="shared" si="2"/>
        <v/>
      </c>
      <c r="AH4" s="12" t="str">
        <f t="shared" si="2"/>
        <v/>
      </c>
      <c r="AI4" s="12" t="str">
        <f t="shared" si="2"/>
        <v/>
      </c>
      <c r="AJ4" s="12" t="str">
        <f t="shared" si="2"/>
        <v/>
      </c>
      <c r="AL4" s="13" t="s">
        <v>50</v>
      </c>
    </row>
    <row r="5" spans="1:38" x14ac:dyDescent="0.25">
      <c r="A5" s="20" t="s">
        <v>31</v>
      </c>
      <c r="B5" s="7">
        <v>0.30486111111111114</v>
      </c>
      <c r="C5" s="7">
        <v>0.31111111111111112</v>
      </c>
      <c r="D5" s="20" t="s">
        <v>50</v>
      </c>
      <c r="E5" s="20" t="str">
        <f>+TEXT(Carro2[[#This Row],[Column1]],"hh:mm")&amp;" | " &amp;TEXT(Carro2[[#This Row],[Hora Fim]],"hh:mm")</f>
        <v>07:19 | 07:28</v>
      </c>
      <c r="F5" s="20">
        <f>INDEX($N$3:$AJ$3,MATCH(Carro2[[#This Row],[Nó]],$N$1:$AJ$1,0))</f>
        <v>6</v>
      </c>
      <c r="G5" s="7">
        <f>+IF(AND(Carro2[[#This Row],[Nó]]=A4,Carro2[[#This Row],[Nó]]=A6),G4,Carro2[[#This Row],[Hora Início]])</f>
        <v>0.30486111111111114</v>
      </c>
      <c r="H5" s="20">
        <f t="shared" si="0"/>
        <v>2</v>
      </c>
      <c r="I5" s="20" cm="1">
        <f t="array" ref="I5">IFERROR(_xlfn.IFS(H5=H4,I4,I4="Ramo",1),I4+1)</f>
        <v>1</v>
      </c>
      <c r="J5" s="20">
        <f t="shared" si="1"/>
        <v>0</v>
      </c>
      <c r="K5" s="20" t="str">
        <f>IF(AND(Carro2[[#This Row],[Nó]]=A6,Carro2[[#This Row],[Nó]]=A7),"",I5&amp;"|"&amp;F5)</f>
        <v>1|6</v>
      </c>
      <c r="M5" s="11">
        <v>2</v>
      </c>
      <c r="N5" s="12" t="str">
        <f t="shared" ref="N5:AJ5" si="3">IF(O$2=0,IFERROR(INDEX($E:$E,MATCH($M5&amp;"|"&amp;N$3,$K:$K,0)),""),IFERROR(INDEX($J:$J,MATCH($M5&amp;"|"&amp;N$3,$K:$K,0)),""))</f>
        <v>09:29 | 09:29</v>
      </c>
      <c r="O5" s="12" t="str">
        <f t="shared" si="3"/>
        <v/>
      </c>
      <c r="P5" s="12" t="str">
        <f t="shared" si="3"/>
        <v>09:31 | 09:36</v>
      </c>
      <c r="Q5" s="12" t="str">
        <f t="shared" si="3"/>
        <v/>
      </c>
      <c r="R5" s="12" t="str">
        <f t="shared" si="3"/>
        <v>09:38 | 09:52</v>
      </c>
      <c r="S5" s="12" t="str">
        <f t="shared" si="3"/>
        <v/>
      </c>
      <c r="T5" s="12" t="str">
        <f t="shared" si="3"/>
        <v>09:54 | 10:04</v>
      </c>
      <c r="U5" s="12" t="str">
        <f t="shared" si="3"/>
        <v/>
      </c>
      <c r="V5" s="12" t="str">
        <f t="shared" si="3"/>
        <v>10:06 | 10:19</v>
      </c>
      <c r="W5" s="12" t="str">
        <f t="shared" si="3"/>
        <v/>
      </c>
      <c r="X5" s="12" t="str">
        <f t="shared" si="3"/>
        <v>10:21 | 10:49</v>
      </c>
      <c r="Y5" s="12" t="str">
        <f t="shared" si="3"/>
        <v/>
      </c>
      <c r="Z5" s="12" t="str">
        <f t="shared" si="3"/>
        <v>10:53 | 11:02</v>
      </c>
      <c r="AA5" s="12" t="str">
        <f t="shared" si="3"/>
        <v/>
      </c>
      <c r="AB5" s="12" t="str">
        <f t="shared" si="3"/>
        <v>11:06 | 11:06</v>
      </c>
      <c r="AC5" s="12" t="str">
        <f t="shared" si="3"/>
        <v/>
      </c>
      <c r="AD5" s="12" t="str">
        <f t="shared" si="3"/>
        <v/>
      </c>
      <c r="AE5" s="12" t="str">
        <f t="shared" si="3"/>
        <v/>
      </c>
      <c r="AF5" s="12" t="str">
        <f t="shared" si="3"/>
        <v/>
      </c>
      <c r="AG5" s="12" t="str">
        <f t="shared" si="3"/>
        <v/>
      </c>
      <c r="AH5" s="12" t="str">
        <f t="shared" si="3"/>
        <v/>
      </c>
      <c r="AI5" s="12" t="str">
        <f t="shared" si="3"/>
        <v/>
      </c>
      <c r="AJ5" s="12" t="str">
        <f t="shared" si="3"/>
        <v/>
      </c>
      <c r="AL5" s="14" t="s">
        <v>54</v>
      </c>
    </row>
    <row r="6" spans="1:38" x14ac:dyDescent="0.25">
      <c r="A6" s="20" t="s">
        <v>31</v>
      </c>
      <c r="B6" s="7">
        <v>0.31111111111111112</v>
      </c>
      <c r="C6" s="7">
        <v>0.31111111111111112</v>
      </c>
      <c r="D6" s="20" t="s">
        <v>51</v>
      </c>
      <c r="E6" s="20" t="str">
        <f>+TEXT(Carro2[[#This Row],[Column1]],"hh:mm")&amp;" | " &amp;TEXT(Carro2[[#This Row],[Hora Fim]],"hh:mm")</f>
        <v>07:28 | 07:28</v>
      </c>
      <c r="F6" s="20">
        <f>INDEX($N$3:$AJ$3,MATCH(Carro2[[#This Row],[Nó]],$N$1:$AJ$1,0))</f>
        <v>6</v>
      </c>
      <c r="G6" s="7">
        <f>+IF(AND(Carro2[[#This Row],[Nó]]=A5,Carro2[[#This Row],[Nó]]=A7),G5,Carro2[[#This Row],[Hora Início]])</f>
        <v>0.31111111111111112</v>
      </c>
      <c r="H6" s="20">
        <f t="shared" si="0"/>
        <v>2</v>
      </c>
      <c r="I6" s="20" cm="1">
        <f t="array" ref="I6">IFERROR(_xlfn.IFS(H6=H5,I5,I5="Ramo",1),I5+1)</f>
        <v>1</v>
      </c>
      <c r="J6" s="20">
        <f t="shared" si="1"/>
        <v>0</v>
      </c>
      <c r="K6" s="20" t="str">
        <f>IF(AND(Carro2[[#This Row],[Nó]]=A7,Carro2[[#This Row],[Nó]]=A8),"",I6&amp;"|"&amp;F6)</f>
        <v>1|6</v>
      </c>
      <c r="M6" s="11">
        <v>3</v>
      </c>
      <c r="N6" s="12" t="str">
        <f t="shared" ref="N6:AJ6" si="4">IF(O$2=0,IFERROR(INDEX($E:$E,MATCH($M6&amp;"|"&amp;N$3,$K:$K,0)),""),IFERROR(INDEX($J:$J,MATCH($M6&amp;"|"&amp;N$3,$K:$K,0)),""))</f>
        <v>11:26 | 11:26</v>
      </c>
      <c r="O6" s="12" t="str">
        <f t="shared" si="4"/>
        <v/>
      </c>
      <c r="P6" s="12" t="str">
        <f t="shared" si="4"/>
        <v>11:24 | 11:24</v>
      </c>
      <c r="Q6" s="12" t="str">
        <f t="shared" si="4"/>
        <v/>
      </c>
      <c r="R6" s="12" t="str">
        <f t="shared" si="4"/>
        <v>11:22 | 11:22</v>
      </c>
      <c r="S6" s="12" t="str">
        <f t="shared" si="4"/>
        <v/>
      </c>
      <c r="T6" s="12" t="str">
        <f t="shared" si="4"/>
        <v>11:20 | 11:20</v>
      </c>
      <c r="U6" s="12" t="str">
        <f t="shared" si="4"/>
        <v/>
      </c>
      <c r="V6" s="12" t="str">
        <f t="shared" si="4"/>
        <v>11:18 | 11:18</v>
      </c>
      <c r="W6" s="12" t="str">
        <f t="shared" si="4"/>
        <v/>
      </c>
      <c r="X6" s="12" t="str">
        <f t="shared" si="4"/>
        <v>11:16 | 11:16</v>
      </c>
      <c r="Y6" s="12" t="str">
        <f t="shared" si="4"/>
        <v/>
      </c>
      <c r="Z6" s="12" t="str">
        <f t="shared" si="4"/>
        <v>11:12 | 11:12</v>
      </c>
      <c r="AA6" s="12" t="str">
        <f t="shared" si="4"/>
        <v/>
      </c>
      <c r="AB6" s="12" t="str">
        <f t="shared" si="4"/>
        <v>11:08 | 11:08</v>
      </c>
      <c r="AC6" s="12" t="str">
        <f t="shared" si="4"/>
        <v/>
      </c>
      <c r="AD6" s="12" t="str">
        <f t="shared" si="4"/>
        <v/>
      </c>
      <c r="AE6" s="12" t="str">
        <f t="shared" si="4"/>
        <v/>
      </c>
      <c r="AF6" s="12" t="str">
        <f t="shared" si="4"/>
        <v/>
      </c>
      <c r="AG6" s="12" t="str">
        <f t="shared" si="4"/>
        <v/>
      </c>
      <c r="AH6" s="12" t="str">
        <f t="shared" si="4"/>
        <v/>
      </c>
      <c r="AI6" s="12" t="str">
        <f t="shared" si="4"/>
        <v/>
      </c>
      <c r="AJ6" s="12" t="str">
        <f t="shared" si="4"/>
        <v/>
      </c>
      <c r="AL6" s="14" t="s">
        <v>55</v>
      </c>
    </row>
    <row r="7" spans="1:38" x14ac:dyDescent="0.25">
      <c r="A7" s="20" t="s">
        <v>29</v>
      </c>
      <c r="B7" s="7">
        <v>0.31388888888888888</v>
      </c>
      <c r="C7" s="7">
        <v>0.33333333333333331</v>
      </c>
      <c r="D7" s="20" t="s">
        <v>50</v>
      </c>
      <c r="E7" s="20" t="str">
        <f>+TEXT(Carro2[[#This Row],[Column1]],"hh:mm")&amp;" | " &amp;TEXT(Carro2[[#This Row],[Hora Fim]],"hh:mm")</f>
        <v>07:32 | 08:00</v>
      </c>
      <c r="F7" s="20">
        <f>INDEX($N$3:$AJ$3,MATCH(Carro2[[#This Row],[Nó]],$N$1:$AJ$1,0))</f>
        <v>5</v>
      </c>
      <c r="G7" s="7">
        <f>+IF(AND(Carro2[[#This Row],[Nó]]=A6,Carro2[[#This Row],[Nó]]=A8),G6,Carro2[[#This Row],[Hora Início]])</f>
        <v>0.31388888888888888</v>
      </c>
      <c r="H7" s="20">
        <f t="shared" si="0"/>
        <v>2</v>
      </c>
      <c r="I7" s="20" cm="1">
        <f t="array" ref="I7">IFERROR(_xlfn.IFS(H7=H6,I6,I6="Ramo",1),I6+1)</f>
        <v>1</v>
      </c>
      <c r="J7" s="20">
        <f t="shared" si="1"/>
        <v>0</v>
      </c>
      <c r="K7" s="20" t="str">
        <f>IF(AND(Carro2[[#This Row],[Nó]]=A8,Carro2[[#This Row],[Nó]]=A9),"",I7&amp;"|"&amp;F7)</f>
        <v>1|5</v>
      </c>
      <c r="M7" s="11">
        <f>M6+1</f>
        <v>4</v>
      </c>
      <c r="N7" s="12" t="str">
        <f t="shared" ref="N7:AJ7" si="5">IF(O$2=0,IFERROR(INDEX($E:$E,MATCH($M7&amp;"|"&amp;N$3,$K:$K,0)),""),IFERROR(INDEX($J:$J,MATCH($M7&amp;"|"&amp;N$3,$K:$K,0)),""))</f>
        <v>11:28 | 11:28</v>
      </c>
      <c r="O7" s="12" t="str">
        <f t="shared" si="5"/>
        <v/>
      </c>
      <c r="P7" s="12" t="str">
        <f t="shared" si="5"/>
        <v>11:30 | 11:30</v>
      </c>
      <c r="Q7" s="12" t="str">
        <f t="shared" si="5"/>
        <v/>
      </c>
      <c r="R7" s="12" t="str">
        <f t="shared" si="5"/>
        <v>11:32 | 11:32</v>
      </c>
      <c r="S7" s="12" t="str">
        <f t="shared" si="5"/>
        <v/>
      </c>
      <c r="T7" s="12" t="str">
        <f t="shared" si="5"/>
        <v>11:34 | 11:34</v>
      </c>
      <c r="U7" s="12" t="str">
        <f t="shared" si="5"/>
        <v/>
      </c>
      <c r="V7" s="12" t="str">
        <f t="shared" si="5"/>
        <v>11:36 | 11:36</v>
      </c>
      <c r="W7" s="12" t="str">
        <f t="shared" si="5"/>
        <v/>
      </c>
      <c r="X7" s="12" t="str">
        <f t="shared" si="5"/>
        <v>11:38 | 11:38</v>
      </c>
      <c r="Y7" s="12" t="str">
        <f t="shared" si="5"/>
        <v/>
      </c>
      <c r="Z7" s="12" t="str">
        <f t="shared" si="5"/>
        <v>11:42 | 11:42</v>
      </c>
      <c r="AA7" s="12" t="str">
        <f t="shared" si="5"/>
        <v/>
      </c>
      <c r="AB7" s="12" t="str">
        <f t="shared" si="5"/>
        <v>11:46 | 15:00</v>
      </c>
      <c r="AC7" s="12" t="str">
        <f t="shared" si="5"/>
        <v/>
      </c>
      <c r="AD7" s="12" t="str">
        <f t="shared" si="5"/>
        <v/>
      </c>
      <c r="AE7" s="12" t="str">
        <f t="shared" si="5"/>
        <v/>
      </c>
      <c r="AF7" s="12" t="str">
        <f t="shared" si="5"/>
        <v/>
      </c>
      <c r="AG7" s="12" t="str">
        <f t="shared" si="5"/>
        <v/>
      </c>
      <c r="AH7" s="12" t="str">
        <f t="shared" si="5"/>
        <v/>
      </c>
      <c r="AI7" s="12" t="str">
        <f t="shared" si="5"/>
        <v/>
      </c>
      <c r="AJ7" s="12" t="str">
        <f t="shared" si="5"/>
        <v/>
      </c>
      <c r="AL7" s="15" t="s">
        <v>53</v>
      </c>
    </row>
    <row r="8" spans="1:38" x14ac:dyDescent="0.25">
      <c r="A8" s="20" t="s">
        <v>29</v>
      </c>
      <c r="B8" s="7">
        <v>0.33333333333333331</v>
      </c>
      <c r="C8" s="7">
        <v>0.33333333333333331</v>
      </c>
      <c r="D8" s="20" t="s">
        <v>51</v>
      </c>
      <c r="E8" s="20" t="str">
        <f>+TEXT(Carro2[[#This Row],[Column1]],"hh:mm")&amp;" | " &amp;TEXT(Carro2[[#This Row],[Hora Fim]],"hh:mm")</f>
        <v>08:00 | 08:00</v>
      </c>
      <c r="F8" s="20">
        <f>INDEX($N$3:$AJ$3,MATCH(Carro2[[#This Row],[Nó]],$N$1:$AJ$1,0))</f>
        <v>5</v>
      </c>
      <c r="G8" s="7">
        <f>+IF(AND(Carro2[[#This Row],[Nó]]=A7,Carro2[[#This Row],[Nó]]=A9),G7,Carro2[[#This Row],[Hora Início]])</f>
        <v>0.33333333333333331</v>
      </c>
      <c r="H8" s="20">
        <f t="shared" si="0"/>
        <v>2</v>
      </c>
      <c r="I8" s="20" cm="1">
        <f t="array" ref="I8">IFERROR(_xlfn.IFS(H8=H7,I7,I7="Ramo",1),I7+1)</f>
        <v>1</v>
      </c>
      <c r="J8" s="20">
        <f t="shared" si="1"/>
        <v>0</v>
      </c>
      <c r="K8" s="20" t="str">
        <f>IF(AND(Carro2[[#This Row],[Nó]]=A9,Carro2[[#This Row],[Nó]]=A10),"",I8&amp;"|"&amp;F8)</f>
        <v>1|5</v>
      </c>
      <c r="M8" s="11">
        <f t="shared" ref="M8:M32" si="6">M7+1</f>
        <v>5</v>
      </c>
      <c r="N8" s="12" t="str">
        <f t="shared" ref="N8:AJ8" si="7">IF(O$2=0,IFERROR(INDEX($E:$E,MATCH($M8&amp;"|"&amp;N$3,$K:$K,0)),""),IFERROR(INDEX($J:$J,MATCH($M8&amp;"|"&amp;N$3,$K:$K,0)),""))</f>
        <v/>
      </c>
      <c r="O8" s="12" t="str">
        <f t="shared" si="7"/>
        <v/>
      </c>
      <c r="P8" s="12" t="str">
        <f t="shared" si="7"/>
        <v/>
      </c>
      <c r="Q8" s="12" t="str">
        <f t="shared" si="7"/>
        <v/>
      </c>
      <c r="R8" s="12" t="str">
        <f t="shared" si="7"/>
        <v/>
      </c>
      <c r="S8" s="12" t="str">
        <f t="shared" si="7"/>
        <v/>
      </c>
      <c r="T8" s="12" t="str">
        <f t="shared" si="7"/>
        <v/>
      </c>
      <c r="U8" s="12" t="str">
        <f t="shared" si="7"/>
        <v/>
      </c>
      <c r="V8" s="12" t="str">
        <f t="shared" si="7"/>
        <v/>
      </c>
      <c r="W8" s="12" t="str">
        <f t="shared" si="7"/>
        <v/>
      </c>
      <c r="X8" s="12" t="str">
        <f t="shared" si="7"/>
        <v/>
      </c>
      <c r="Y8" s="12" t="str">
        <f t="shared" si="7"/>
        <v/>
      </c>
      <c r="Z8" s="12" t="str">
        <f t="shared" si="7"/>
        <v/>
      </c>
      <c r="AA8" s="12" t="str">
        <f t="shared" si="7"/>
        <v/>
      </c>
      <c r="AB8" s="12" t="str">
        <f t="shared" si="7"/>
        <v>15:00 | 15:00</v>
      </c>
      <c r="AC8" s="12" t="str">
        <f t="shared" si="7"/>
        <v/>
      </c>
      <c r="AD8" s="12" t="str">
        <f t="shared" si="7"/>
        <v/>
      </c>
      <c r="AE8" s="12" t="str">
        <f t="shared" si="7"/>
        <v/>
      </c>
      <c r="AF8" s="12" t="str">
        <f t="shared" si="7"/>
        <v/>
      </c>
      <c r="AG8" s="12" t="str">
        <f t="shared" si="7"/>
        <v/>
      </c>
      <c r="AH8" s="12" t="str">
        <f t="shared" si="7"/>
        <v/>
      </c>
      <c r="AI8" s="12" t="str">
        <f t="shared" si="7"/>
        <v/>
      </c>
      <c r="AJ8" s="12" t="str">
        <f t="shared" si="7"/>
        <v/>
      </c>
      <c r="AL8" s="16" t="s">
        <v>52</v>
      </c>
    </row>
    <row r="9" spans="1:38" x14ac:dyDescent="0.25">
      <c r="A9" s="20" t="s">
        <v>27</v>
      </c>
      <c r="B9" s="7">
        <v>0.3347222222222222</v>
      </c>
      <c r="C9" s="7">
        <v>0.34375</v>
      </c>
      <c r="D9" s="20" t="s">
        <v>50</v>
      </c>
      <c r="E9" s="20" t="str">
        <f>+TEXT(Carro2[[#This Row],[Column1]],"hh:mm")&amp;" | " &amp;TEXT(Carro2[[#This Row],[Hora Fim]],"hh:mm")</f>
        <v>08:02 | 08:15</v>
      </c>
      <c r="F9" s="20">
        <f>INDEX($N$3:$AJ$3,MATCH(Carro2[[#This Row],[Nó]],$N$1:$AJ$1,0))</f>
        <v>4</v>
      </c>
      <c r="G9" s="7">
        <f>+IF(AND(Carro2[[#This Row],[Nó]]=A8,Carro2[[#This Row],[Nó]]=A10),G8,Carro2[[#This Row],[Hora Início]])</f>
        <v>0.3347222222222222</v>
      </c>
      <c r="H9" s="20">
        <f t="shared" si="0"/>
        <v>2</v>
      </c>
      <c r="I9" s="20" cm="1">
        <f t="array" ref="I9">IFERROR(_xlfn.IFS(H9=H8,I8,I8="Ramo",1),I8+1)</f>
        <v>1</v>
      </c>
      <c r="J9" s="20">
        <f t="shared" si="1"/>
        <v>0</v>
      </c>
      <c r="K9" s="20" t="str">
        <f>IF(AND(Carro2[[#This Row],[Nó]]=A10,Carro2[[#This Row],[Nó]]=A11),"",I9&amp;"|"&amp;F9)</f>
        <v>1|4</v>
      </c>
      <c r="M9" s="11">
        <f t="shared" si="6"/>
        <v>6</v>
      </c>
      <c r="N9" s="12" t="str">
        <f t="shared" ref="N9:AJ9" si="8">IF(O$2=0,IFERROR(INDEX($E:$E,MATCH($M9&amp;"|"&amp;N$3,$K:$K,0)),""),IFERROR(INDEX($J:$J,MATCH($M9&amp;"|"&amp;N$3,$K:$K,0)),""))</f>
        <v/>
      </c>
      <c r="O9" s="12" t="str">
        <f t="shared" si="8"/>
        <v/>
      </c>
      <c r="P9" s="12" t="str">
        <f t="shared" si="8"/>
        <v/>
      </c>
      <c r="Q9" s="12" t="str">
        <f t="shared" si="8"/>
        <v/>
      </c>
      <c r="R9" s="12" t="str">
        <f t="shared" si="8"/>
        <v/>
      </c>
      <c r="S9" s="12" t="str">
        <f t="shared" si="8"/>
        <v/>
      </c>
      <c r="T9" s="12" t="str">
        <f t="shared" si="8"/>
        <v/>
      </c>
      <c r="U9" s="12" t="str">
        <f t="shared" si="8"/>
        <v/>
      </c>
      <c r="V9" s="12" t="str">
        <f t="shared" si="8"/>
        <v/>
      </c>
      <c r="W9" s="12" t="str">
        <f t="shared" si="8"/>
        <v/>
      </c>
      <c r="X9" s="12" t="str">
        <f t="shared" si="8"/>
        <v/>
      </c>
      <c r="Y9" s="12" t="str">
        <f t="shared" si="8"/>
        <v/>
      </c>
      <c r="Z9" s="12" t="str">
        <f t="shared" si="8"/>
        <v/>
      </c>
      <c r="AA9" s="12" t="str">
        <f t="shared" si="8"/>
        <v/>
      </c>
      <c r="AB9" s="12" t="str">
        <f t="shared" si="8"/>
        <v/>
      </c>
      <c r="AC9" s="12" t="str">
        <f t="shared" si="8"/>
        <v/>
      </c>
      <c r="AD9" s="12" t="str">
        <f t="shared" si="8"/>
        <v/>
      </c>
      <c r="AE9" s="12" t="str">
        <f t="shared" si="8"/>
        <v/>
      </c>
      <c r="AF9" s="12" t="str">
        <f t="shared" si="8"/>
        <v/>
      </c>
      <c r="AG9" s="12" t="str">
        <f t="shared" si="8"/>
        <v/>
      </c>
      <c r="AH9" s="12" t="str">
        <f t="shared" si="8"/>
        <v/>
      </c>
      <c r="AI9" s="12" t="str">
        <f t="shared" si="8"/>
        <v/>
      </c>
      <c r="AJ9" s="12" t="str">
        <f t="shared" si="8"/>
        <v/>
      </c>
    </row>
    <row r="10" spans="1:38" x14ac:dyDescent="0.25">
      <c r="A10" s="20" t="s">
        <v>27</v>
      </c>
      <c r="B10" s="7">
        <v>0.34375</v>
      </c>
      <c r="C10" s="7">
        <v>0.34375</v>
      </c>
      <c r="D10" s="20" t="s">
        <v>51</v>
      </c>
      <c r="E10" s="20" t="str">
        <f>+TEXT(Carro2[[#This Row],[Column1]],"hh:mm")&amp;" | " &amp;TEXT(Carro2[[#This Row],[Hora Fim]],"hh:mm")</f>
        <v>08:15 | 08:15</v>
      </c>
      <c r="F10" s="20">
        <f>INDEX($N$3:$AJ$3,MATCH(Carro2[[#This Row],[Nó]],$N$1:$AJ$1,0))</f>
        <v>4</v>
      </c>
      <c r="G10" s="7">
        <f>+IF(AND(Carro2[[#This Row],[Nó]]=A9,Carro2[[#This Row],[Nó]]=A11),G9,Carro2[[#This Row],[Hora Início]])</f>
        <v>0.34375</v>
      </c>
      <c r="H10" s="20">
        <f t="shared" si="0"/>
        <v>2</v>
      </c>
      <c r="I10" s="20" cm="1">
        <f t="array" ref="I10">IFERROR(_xlfn.IFS(H10=H9,I9,I9="Ramo",1),I9+1)</f>
        <v>1</v>
      </c>
      <c r="J10" s="20">
        <f t="shared" si="1"/>
        <v>0</v>
      </c>
      <c r="K10" s="20" t="str">
        <f>IF(AND(Carro2[[#This Row],[Nó]]=A11,Carro2[[#This Row],[Nó]]=A12),"",I10&amp;"|"&amp;F10)</f>
        <v>1|4</v>
      </c>
      <c r="M10" s="11">
        <f t="shared" si="6"/>
        <v>7</v>
      </c>
      <c r="N10" s="12" t="str">
        <f t="shared" ref="N10:AJ10" si="9">IF(O$2=0,IFERROR(INDEX($E:$E,MATCH($M10&amp;"|"&amp;N$3,$K:$K,0)),""),IFERROR(INDEX($J:$J,MATCH($M10&amp;"|"&amp;N$3,$K:$K,0)),""))</f>
        <v/>
      </c>
      <c r="O10" s="12" t="str">
        <f t="shared" si="9"/>
        <v/>
      </c>
      <c r="P10" s="12" t="str">
        <f t="shared" si="9"/>
        <v/>
      </c>
      <c r="Q10" s="12" t="str">
        <f t="shared" si="9"/>
        <v/>
      </c>
      <c r="R10" s="12" t="str">
        <f t="shared" si="9"/>
        <v/>
      </c>
      <c r="S10" s="12" t="str">
        <f t="shared" si="9"/>
        <v/>
      </c>
      <c r="T10" s="12" t="str">
        <f t="shared" si="9"/>
        <v/>
      </c>
      <c r="U10" s="12" t="str">
        <f t="shared" si="9"/>
        <v/>
      </c>
      <c r="V10" s="12" t="str">
        <f t="shared" si="9"/>
        <v/>
      </c>
      <c r="W10" s="12" t="str">
        <f t="shared" si="9"/>
        <v/>
      </c>
      <c r="X10" s="12" t="str">
        <f t="shared" si="9"/>
        <v/>
      </c>
      <c r="Y10" s="12" t="str">
        <f t="shared" si="9"/>
        <v/>
      </c>
      <c r="Z10" s="12" t="str">
        <f t="shared" si="9"/>
        <v/>
      </c>
      <c r="AA10" s="12" t="str">
        <f t="shared" si="9"/>
        <v/>
      </c>
      <c r="AB10" s="12" t="str">
        <f t="shared" si="9"/>
        <v/>
      </c>
      <c r="AC10" s="12" t="str">
        <f t="shared" si="9"/>
        <v/>
      </c>
      <c r="AD10" s="12" t="str">
        <f t="shared" si="9"/>
        <v/>
      </c>
      <c r="AE10" s="12" t="str">
        <f t="shared" si="9"/>
        <v/>
      </c>
      <c r="AF10" s="12" t="str">
        <f t="shared" si="9"/>
        <v/>
      </c>
      <c r="AG10" s="12" t="str">
        <f t="shared" si="9"/>
        <v/>
      </c>
      <c r="AH10" s="12" t="str">
        <f t="shared" si="9"/>
        <v/>
      </c>
      <c r="AI10" s="12" t="str">
        <f t="shared" si="9"/>
        <v/>
      </c>
      <c r="AJ10" s="12" t="str">
        <f t="shared" si="9"/>
        <v/>
      </c>
    </row>
    <row r="11" spans="1:38" x14ac:dyDescent="0.25">
      <c r="A11" s="20" t="s">
        <v>26</v>
      </c>
      <c r="B11" s="7">
        <v>0.34513888888888888</v>
      </c>
      <c r="C11" s="7">
        <v>0.35208333333333336</v>
      </c>
      <c r="D11" s="20" t="s">
        <v>50</v>
      </c>
      <c r="E11" s="20" t="str">
        <f>+TEXT(Carro2[[#This Row],[Column1]],"hh:mm")&amp;" | " &amp;TEXT(Carro2[[#This Row],[Hora Fim]],"hh:mm")</f>
        <v>08:17 | 08:27</v>
      </c>
      <c r="F11" s="20">
        <f>INDEX($N$3:$AJ$3,MATCH(Carro2[[#This Row],[Nó]],$N$1:$AJ$1,0))</f>
        <v>3</v>
      </c>
      <c r="G11" s="7">
        <f>+IF(AND(Carro2[[#This Row],[Nó]]=A10,Carro2[[#This Row],[Nó]]=A12),G10,Carro2[[#This Row],[Hora Início]])</f>
        <v>0.34513888888888888</v>
      </c>
      <c r="H11" s="20">
        <f t="shared" si="0"/>
        <v>2</v>
      </c>
      <c r="I11" s="20" cm="1">
        <f t="array" ref="I11">IFERROR(_xlfn.IFS(H11=H10,I10,I10="Ramo",1),I10+1)</f>
        <v>1</v>
      </c>
      <c r="J11" s="20">
        <f t="shared" si="1"/>
        <v>0</v>
      </c>
      <c r="K11" s="20" t="str">
        <f>IF(AND(Carro2[[#This Row],[Nó]]=A12,Carro2[[#This Row],[Nó]]=A13),"",I11&amp;"|"&amp;F11)</f>
        <v>1|3</v>
      </c>
      <c r="M11" s="11">
        <f t="shared" si="6"/>
        <v>8</v>
      </c>
      <c r="N11" s="12" t="str">
        <f t="shared" ref="N11:AJ11" si="10">IF(O$2=0,IFERROR(INDEX($E:$E,MATCH($M11&amp;"|"&amp;N$3,$K:$K,0)),""),IFERROR(INDEX($J:$J,MATCH($M11&amp;"|"&amp;N$3,$K:$K,0)),""))</f>
        <v/>
      </c>
      <c r="O11" s="12" t="str">
        <f t="shared" si="10"/>
        <v/>
      </c>
      <c r="P11" s="12" t="str">
        <f t="shared" si="10"/>
        <v/>
      </c>
      <c r="Q11" s="12" t="str">
        <f t="shared" si="10"/>
        <v/>
      </c>
      <c r="R11" s="12" t="str">
        <f t="shared" si="10"/>
        <v/>
      </c>
      <c r="S11" s="12" t="str">
        <f t="shared" si="10"/>
        <v/>
      </c>
      <c r="T11" s="12" t="str">
        <f t="shared" si="10"/>
        <v/>
      </c>
      <c r="U11" s="12" t="str">
        <f t="shared" si="10"/>
        <v/>
      </c>
      <c r="V11" s="12" t="str">
        <f t="shared" si="10"/>
        <v/>
      </c>
      <c r="W11" s="12" t="str">
        <f t="shared" si="10"/>
        <v/>
      </c>
      <c r="X11" s="12" t="str">
        <f t="shared" si="10"/>
        <v/>
      </c>
      <c r="Y11" s="12" t="str">
        <f t="shared" si="10"/>
        <v/>
      </c>
      <c r="Z11" s="12" t="str">
        <f t="shared" si="10"/>
        <v/>
      </c>
      <c r="AA11" s="12" t="str">
        <f t="shared" si="10"/>
        <v/>
      </c>
      <c r="AB11" s="12" t="str">
        <f t="shared" si="10"/>
        <v/>
      </c>
      <c r="AC11" s="12" t="str">
        <f t="shared" si="10"/>
        <v/>
      </c>
      <c r="AD11" s="12" t="str">
        <f t="shared" si="10"/>
        <v/>
      </c>
      <c r="AE11" s="12" t="str">
        <f t="shared" si="10"/>
        <v/>
      </c>
      <c r="AF11" s="12" t="str">
        <f t="shared" si="10"/>
        <v/>
      </c>
      <c r="AG11" s="12" t="str">
        <f t="shared" si="10"/>
        <v/>
      </c>
      <c r="AH11" s="12" t="str">
        <f t="shared" si="10"/>
        <v/>
      </c>
      <c r="AI11" s="12" t="str">
        <f t="shared" si="10"/>
        <v/>
      </c>
      <c r="AJ11" s="12" t="str">
        <f t="shared" si="10"/>
        <v/>
      </c>
    </row>
    <row r="12" spans="1:38" x14ac:dyDescent="0.25">
      <c r="A12" s="20" t="s">
        <v>26</v>
      </c>
      <c r="B12" s="7">
        <v>0.35208333333333336</v>
      </c>
      <c r="C12" s="7">
        <v>0.35208333333333336</v>
      </c>
      <c r="D12" s="20" t="s">
        <v>51</v>
      </c>
      <c r="E12" s="20" t="str">
        <f>+TEXT(Carro2[[#This Row],[Column1]],"hh:mm")&amp;" | " &amp;TEXT(Carro2[[#This Row],[Hora Fim]],"hh:mm")</f>
        <v>08:27 | 08:27</v>
      </c>
      <c r="F12" s="20">
        <f>INDEX($N$3:$AJ$3,MATCH(Carro2[[#This Row],[Nó]],$N$1:$AJ$1,0))</f>
        <v>3</v>
      </c>
      <c r="G12" s="7">
        <f>+IF(AND(Carro2[[#This Row],[Nó]]=A11,Carro2[[#This Row],[Nó]]=A13),G11,Carro2[[#This Row],[Hora Início]])</f>
        <v>0.35208333333333336</v>
      </c>
      <c r="H12" s="20">
        <f t="shared" si="0"/>
        <v>2</v>
      </c>
      <c r="I12" s="20" cm="1">
        <f t="array" ref="I12">IFERROR(_xlfn.IFS(H12=H11,I11,I11="Ramo",1),I11+1)</f>
        <v>1</v>
      </c>
      <c r="J12" s="20">
        <f t="shared" si="1"/>
        <v>0</v>
      </c>
      <c r="K12" s="20" t="str">
        <f>IF(AND(Carro2[[#This Row],[Nó]]=A13,Carro2[[#This Row],[Nó]]=A14),"",I12&amp;"|"&amp;F12)</f>
        <v>1|3</v>
      </c>
      <c r="M12" s="11">
        <f t="shared" si="6"/>
        <v>9</v>
      </c>
      <c r="N12" s="12" t="str">
        <f t="shared" ref="N12:AJ12" si="11">IF(O$2=0,IFERROR(INDEX($E:$E,MATCH($M12&amp;"|"&amp;N$3,$K:$K,0)),""),IFERROR(INDEX($J:$J,MATCH($M12&amp;"|"&amp;N$3,$K:$K,0)),""))</f>
        <v/>
      </c>
      <c r="O12" s="12" t="str">
        <f t="shared" si="11"/>
        <v/>
      </c>
      <c r="P12" s="12" t="str">
        <f t="shared" si="11"/>
        <v/>
      </c>
      <c r="Q12" s="12" t="str">
        <f t="shared" si="11"/>
        <v/>
      </c>
      <c r="R12" s="12" t="str">
        <f t="shared" si="11"/>
        <v/>
      </c>
      <c r="S12" s="12" t="str">
        <f t="shared" si="11"/>
        <v/>
      </c>
      <c r="T12" s="12" t="str">
        <f t="shared" si="11"/>
        <v/>
      </c>
      <c r="U12" s="12" t="str">
        <f t="shared" si="11"/>
        <v/>
      </c>
      <c r="V12" s="12" t="str">
        <f t="shared" si="11"/>
        <v/>
      </c>
      <c r="W12" s="12" t="str">
        <f t="shared" si="11"/>
        <v/>
      </c>
      <c r="X12" s="12" t="str">
        <f t="shared" si="11"/>
        <v/>
      </c>
      <c r="Y12" s="12" t="str">
        <f t="shared" si="11"/>
        <v/>
      </c>
      <c r="Z12" s="12" t="str">
        <f t="shared" si="11"/>
        <v/>
      </c>
      <c r="AA12" s="12" t="str">
        <f t="shared" si="11"/>
        <v/>
      </c>
      <c r="AB12" s="12" t="str">
        <f t="shared" si="11"/>
        <v/>
      </c>
      <c r="AC12" s="12" t="str">
        <f t="shared" si="11"/>
        <v/>
      </c>
      <c r="AD12" s="12" t="str">
        <f t="shared" si="11"/>
        <v/>
      </c>
      <c r="AE12" s="12" t="str">
        <f t="shared" si="11"/>
        <v/>
      </c>
      <c r="AF12" s="12" t="str">
        <f t="shared" si="11"/>
        <v/>
      </c>
      <c r="AG12" s="12" t="str">
        <f t="shared" si="11"/>
        <v/>
      </c>
      <c r="AH12" s="12" t="str">
        <f t="shared" si="11"/>
        <v/>
      </c>
      <c r="AI12" s="12" t="str">
        <f t="shared" si="11"/>
        <v/>
      </c>
      <c r="AJ12" s="12" t="str">
        <f t="shared" si="11"/>
        <v/>
      </c>
    </row>
    <row r="13" spans="1:38" x14ac:dyDescent="0.25">
      <c r="A13" s="20" t="s">
        <v>24</v>
      </c>
      <c r="B13" s="7">
        <v>0.36319444444444443</v>
      </c>
      <c r="C13" s="7">
        <v>0.37708333333333333</v>
      </c>
      <c r="D13" s="20" t="s">
        <v>54</v>
      </c>
      <c r="E13" s="20" t="str">
        <f>+TEXT(Carro2[[#This Row],[Column1]],"hh:mm")&amp;" | " &amp;TEXT(Carro2[[#This Row],[Hora Fim]],"hh:mm")</f>
        <v>08:43 | 09:03</v>
      </c>
      <c r="F13" s="20">
        <f>INDEX($N$3:$AJ$3,MATCH(Carro2[[#This Row],[Nó]],$N$1:$AJ$1,0))</f>
        <v>2</v>
      </c>
      <c r="G13" s="7">
        <f>+IF(AND(Carro2[[#This Row],[Nó]]=A12,Carro2[[#This Row],[Nó]]=A14),G12,Carro2[[#This Row],[Hora Início]])</f>
        <v>0.36319444444444443</v>
      </c>
      <c r="H13" s="20">
        <f t="shared" si="0"/>
        <v>2</v>
      </c>
      <c r="I13" s="20" cm="1">
        <f t="array" ref="I13">IFERROR(_xlfn.IFS(H13=H12,I12,I12="Ramo",1),I12+1)</f>
        <v>1</v>
      </c>
      <c r="J13" s="20">
        <f t="shared" si="1"/>
        <v>0</v>
      </c>
      <c r="K13" s="20" t="str">
        <f>IF(AND(Carro2[[#This Row],[Nó]]=A14,Carro2[[#This Row],[Nó]]=A15),"",I13&amp;"|"&amp;F13)</f>
        <v/>
      </c>
      <c r="M13" s="11">
        <f t="shared" si="6"/>
        <v>10</v>
      </c>
      <c r="N13" s="12" t="str">
        <f t="shared" ref="N13:AJ13" si="12">IF(O$2=0,IFERROR(INDEX($E:$E,MATCH($M13&amp;"|"&amp;N$3,$K:$K,0)),""),IFERROR(INDEX($J:$J,MATCH($M13&amp;"|"&amp;N$3,$K:$K,0)),""))</f>
        <v/>
      </c>
      <c r="O13" s="12" t="str">
        <f t="shared" si="12"/>
        <v/>
      </c>
      <c r="P13" s="12" t="str">
        <f t="shared" si="12"/>
        <v/>
      </c>
      <c r="Q13" s="12" t="str">
        <f t="shared" si="12"/>
        <v/>
      </c>
      <c r="R13" s="12" t="str">
        <f t="shared" si="12"/>
        <v/>
      </c>
      <c r="S13" s="12" t="str">
        <f t="shared" si="12"/>
        <v/>
      </c>
      <c r="T13" s="12" t="str">
        <f t="shared" si="12"/>
        <v/>
      </c>
      <c r="U13" s="12" t="str">
        <f t="shared" si="12"/>
        <v/>
      </c>
      <c r="V13" s="12" t="str">
        <f t="shared" si="12"/>
        <v/>
      </c>
      <c r="W13" s="12" t="str">
        <f t="shared" si="12"/>
        <v/>
      </c>
      <c r="X13" s="12" t="str">
        <f t="shared" si="12"/>
        <v/>
      </c>
      <c r="Y13" s="12" t="str">
        <f t="shared" si="12"/>
        <v/>
      </c>
      <c r="Z13" s="12" t="str">
        <f t="shared" si="12"/>
        <v/>
      </c>
      <c r="AA13" s="12" t="str">
        <f t="shared" si="12"/>
        <v/>
      </c>
      <c r="AB13" s="12" t="str">
        <f t="shared" si="12"/>
        <v/>
      </c>
      <c r="AC13" s="12" t="str">
        <f t="shared" si="12"/>
        <v/>
      </c>
      <c r="AD13" s="12" t="str">
        <f t="shared" si="12"/>
        <v/>
      </c>
      <c r="AE13" s="12" t="str">
        <f t="shared" si="12"/>
        <v/>
      </c>
      <c r="AF13" s="12" t="str">
        <f t="shared" si="12"/>
        <v/>
      </c>
      <c r="AG13" s="12" t="str">
        <f t="shared" si="12"/>
        <v/>
      </c>
      <c r="AH13" s="12" t="str">
        <f t="shared" si="12"/>
        <v/>
      </c>
      <c r="AI13" s="12" t="str">
        <f t="shared" si="12"/>
        <v/>
      </c>
      <c r="AJ13" s="12" t="str">
        <f t="shared" si="12"/>
        <v/>
      </c>
    </row>
    <row r="14" spans="1:38" x14ac:dyDescent="0.25">
      <c r="A14" s="20" t="s">
        <v>24</v>
      </c>
      <c r="B14" s="7">
        <v>0.36736111111111114</v>
      </c>
      <c r="C14" s="7">
        <v>0.37708333333333333</v>
      </c>
      <c r="D14" s="20" t="s">
        <v>50</v>
      </c>
      <c r="E14" s="20" t="str">
        <f>+TEXT(Carro2[[#This Row],[Column1]],"hh:mm")&amp;" | " &amp;TEXT(Carro2[[#This Row],[Hora Fim]],"hh:mm")</f>
        <v>08:43 | 09:03</v>
      </c>
      <c r="F14" s="20">
        <f>INDEX($N$3:$AJ$3,MATCH(Carro2[[#This Row],[Nó]],$N$1:$AJ$1,0))</f>
        <v>2</v>
      </c>
      <c r="G14" s="7">
        <f>+IF(AND(Carro2[[#This Row],[Nó]]=A13,Carro2[[#This Row],[Nó]]=A15),G13,Carro2[[#This Row],[Hora Início]])</f>
        <v>0.36319444444444443</v>
      </c>
      <c r="H14" s="20">
        <f t="shared" si="0"/>
        <v>2</v>
      </c>
      <c r="I14" s="20" cm="1">
        <f t="array" ref="I14">IFERROR(_xlfn.IFS(H14=H13,I13,I13="Ramo",1),I13+1)</f>
        <v>1</v>
      </c>
      <c r="J14" s="20">
        <f t="shared" si="1"/>
        <v>0</v>
      </c>
      <c r="K14" s="20" t="str">
        <f>IF(AND(Carro2[[#This Row],[Nó]]=A15,Carro2[[#This Row],[Nó]]=A16),"",I14&amp;"|"&amp;F14)</f>
        <v>1|2</v>
      </c>
      <c r="M14" s="11">
        <f t="shared" si="6"/>
        <v>11</v>
      </c>
      <c r="N14" s="12" t="str">
        <f t="shared" ref="N14:AJ14" si="13">IF(O$2=0,IFERROR(INDEX($E:$E,MATCH($M14&amp;"|"&amp;N$3,$K:$K,0)),""),IFERROR(INDEX($J:$J,MATCH($M14&amp;"|"&amp;N$3,$K:$K,0)),""))</f>
        <v/>
      </c>
      <c r="O14" s="12" t="str">
        <f t="shared" si="13"/>
        <v/>
      </c>
      <c r="P14" s="12" t="str">
        <f t="shared" si="13"/>
        <v/>
      </c>
      <c r="Q14" s="12" t="str">
        <f t="shared" si="13"/>
        <v/>
      </c>
      <c r="R14" s="12" t="str">
        <f t="shared" si="13"/>
        <v/>
      </c>
      <c r="S14" s="12" t="str">
        <f t="shared" si="13"/>
        <v/>
      </c>
      <c r="T14" s="12" t="str">
        <f t="shared" si="13"/>
        <v/>
      </c>
      <c r="U14" s="12" t="str">
        <f t="shared" si="13"/>
        <v/>
      </c>
      <c r="V14" s="12" t="str">
        <f t="shared" si="13"/>
        <v/>
      </c>
      <c r="W14" s="12" t="str">
        <f t="shared" si="13"/>
        <v/>
      </c>
      <c r="X14" s="12" t="str">
        <f t="shared" si="13"/>
        <v/>
      </c>
      <c r="Y14" s="12" t="str">
        <f t="shared" si="13"/>
        <v/>
      </c>
      <c r="Z14" s="12" t="str">
        <f t="shared" si="13"/>
        <v/>
      </c>
      <c r="AA14" s="12" t="str">
        <f t="shared" si="13"/>
        <v/>
      </c>
      <c r="AB14" s="12" t="str">
        <f t="shared" si="13"/>
        <v/>
      </c>
      <c r="AC14" s="12" t="str">
        <f t="shared" si="13"/>
        <v/>
      </c>
      <c r="AD14" s="12" t="str">
        <f t="shared" si="13"/>
        <v/>
      </c>
      <c r="AE14" s="12" t="str">
        <f t="shared" si="13"/>
        <v/>
      </c>
      <c r="AF14" s="12" t="str">
        <f t="shared" si="13"/>
        <v/>
      </c>
      <c r="AG14" s="12" t="str">
        <f t="shared" si="13"/>
        <v/>
      </c>
      <c r="AH14" s="12" t="str">
        <f t="shared" si="13"/>
        <v/>
      </c>
      <c r="AI14" s="12" t="str">
        <f t="shared" si="13"/>
        <v/>
      </c>
      <c r="AJ14" s="12" t="str">
        <f t="shared" si="13"/>
        <v/>
      </c>
    </row>
    <row r="15" spans="1:38" x14ac:dyDescent="0.25">
      <c r="A15" s="20" t="s">
        <v>24</v>
      </c>
      <c r="B15" s="7">
        <v>0.37708333333333333</v>
      </c>
      <c r="C15" s="7">
        <v>0.37708333333333333</v>
      </c>
      <c r="D15" s="20" t="s">
        <v>51</v>
      </c>
      <c r="E15" s="20" t="str">
        <f>+TEXT(Carro2[[#This Row],[Column1]],"hh:mm")&amp;" | " &amp;TEXT(Carro2[[#This Row],[Hora Fim]],"hh:mm")</f>
        <v>09:03 | 09:03</v>
      </c>
      <c r="F15" s="20">
        <f>INDEX($N$3:$AJ$3,MATCH(Carro2[[#This Row],[Nó]],$N$1:$AJ$1,0))</f>
        <v>2</v>
      </c>
      <c r="G15" s="7">
        <f>+IF(AND(Carro2[[#This Row],[Nó]]=A14,Carro2[[#This Row],[Nó]]=A16),G14,Carro2[[#This Row],[Hora Início]])</f>
        <v>0.37708333333333333</v>
      </c>
      <c r="H15" s="20">
        <f t="shared" si="0"/>
        <v>2</v>
      </c>
      <c r="I15" s="20" cm="1">
        <f t="array" ref="I15">IFERROR(_xlfn.IFS(H15=H14,I14,I14="Ramo",1),I14+1)</f>
        <v>1</v>
      </c>
      <c r="J15" s="20">
        <f t="shared" si="1"/>
        <v>0</v>
      </c>
      <c r="K15" s="20" t="str">
        <f>IF(AND(Carro2[[#This Row],[Nó]]=A16,Carro2[[#This Row],[Nó]]=A17),"",I15&amp;"|"&amp;F15)</f>
        <v>1|2</v>
      </c>
      <c r="M15" s="11">
        <f t="shared" si="6"/>
        <v>12</v>
      </c>
      <c r="N15" s="12" t="str">
        <f t="shared" ref="N15:AJ15" si="14">IF(O$2=0,IFERROR(INDEX($E:$E,MATCH($M15&amp;"|"&amp;N$3,$K:$K,0)),""),IFERROR(INDEX($J:$J,MATCH($M15&amp;"|"&amp;N$3,$K:$K,0)),""))</f>
        <v/>
      </c>
      <c r="O15" s="12" t="str">
        <f t="shared" si="14"/>
        <v/>
      </c>
      <c r="P15" s="12" t="str">
        <f t="shared" si="14"/>
        <v/>
      </c>
      <c r="Q15" s="12" t="str">
        <f t="shared" si="14"/>
        <v/>
      </c>
      <c r="R15" s="12" t="str">
        <f t="shared" si="14"/>
        <v/>
      </c>
      <c r="S15" s="12" t="str">
        <f t="shared" si="14"/>
        <v/>
      </c>
      <c r="T15" s="12" t="str">
        <f t="shared" si="14"/>
        <v/>
      </c>
      <c r="U15" s="12" t="str">
        <f t="shared" si="14"/>
        <v/>
      </c>
      <c r="V15" s="12" t="str">
        <f t="shared" si="14"/>
        <v/>
      </c>
      <c r="W15" s="12" t="str">
        <f t="shared" si="14"/>
        <v/>
      </c>
      <c r="X15" s="12" t="str">
        <f t="shared" si="14"/>
        <v/>
      </c>
      <c r="Y15" s="12" t="str">
        <f t="shared" si="14"/>
        <v/>
      </c>
      <c r="Z15" s="12" t="str">
        <f t="shared" si="14"/>
        <v/>
      </c>
      <c r="AA15" s="12" t="str">
        <f t="shared" si="14"/>
        <v/>
      </c>
      <c r="AB15" s="12" t="str">
        <f t="shared" si="14"/>
        <v/>
      </c>
      <c r="AC15" s="12" t="str">
        <f t="shared" si="14"/>
        <v/>
      </c>
      <c r="AD15" s="12" t="str">
        <f t="shared" si="14"/>
        <v/>
      </c>
      <c r="AE15" s="12" t="str">
        <f t="shared" si="14"/>
        <v/>
      </c>
      <c r="AF15" s="12" t="str">
        <f t="shared" si="14"/>
        <v/>
      </c>
      <c r="AG15" s="12" t="str">
        <f t="shared" si="14"/>
        <v/>
      </c>
      <c r="AH15" s="12" t="str">
        <f t="shared" si="14"/>
        <v/>
      </c>
      <c r="AI15" s="12" t="str">
        <f t="shared" si="14"/>
        <v/>
      </c>
      <c r="AJ15" s="12" t="str">
        <f t="shared" si="14"/>
        <v/>
      </c>
    </row>
    <row r="16" spans="1:38" x14ac:dyDescent="0.25">
      <c r="A16" s="20" t="s">
        <v>22</v>
      </c>
      <c r="B16" s="7">
        <v>0.37847222222222221</v>
      </c>
      <c r="C16" s="7">
        <v>0.38194444444444442</v>
      </c>
      <c r="D16" s="20" t="s">
        <v>50</v>
      </c>
      <c r="E16" s="20" t="str">
        <f>+TEXT(Carro2[[#This Row],[Column1]],"hh:mm")&amp;" | " &amp;TEXT(Carro2[[#This Row],[Hora Fim]],"hh:mm")</f>
        <v>09:05 | 09:10</v>
      </c>
      <c r="F16" s="20">
        <f>INDEX($N$3:$AJ$3,MATCH(Carro2[[#This Row],[Nó]],$N$1:$AJ$1,0))</f>
        <v>1</v>
      </c>
      <c r="G16" s="7">
        <f>+IF(AND(Carro2[[#This Row],[Nó]]=A15,Carro2[[#This Row],[Nó]]=A17),G15,Carro2[[#This Row],[Hora Início]])</f>
        <v>0.37847222222222221</v>
      </c>
      <c r="H16" s="20">
        <f t="shared" si="0"/>
        <v>2</v>
      </c>
      <c r="I16" s="20" cm="1">
        <f t="array" ref="I16">IFERROR(_xlfn.IFS(H16=H15,I15,I15="Ramo",1),I15+1)</f>
        <v>1</v>
      </c>
      <c r="J16" s="20">
        <f t="shared" si="1"/>
        <v>0</v>
      </c>
      <c r="K16" s="20" t="str">
        <f>IF(AND(Carro2[[#This Row],[Nó]]=A17,Carro2[[#This Row],[Nó]]=A18),"",I16&amp;"|"&amp;F16)</f>
        <v>1|1</v>
      </c>
      <c r="M16" s="11">
        <f t="shared" si="6"/>
        <v>13</v>
      </c>
      <c r="N16" s="12" t="str">
        <f t="shared" ref="N16:AJ16" si="15">IF(O$2=0,IFERROR(INDEX($E:$E,MATCH($M16&amp;"|"&amp;N$3,$K:$K,0)),""),IFERROR(INDEX($J:$J,MATCH($M16&amp;"|"&amp;N$3,$K:$K,0)),""))</f>
        <v/>
      </c>
      <c r="O16" s="12" t="str">
        <f t="shared" si="15"/>
        <v/>
      </c>
      <c r="P16" s="12" t="str">
        <f t="shared" si="15"/>
        <v/>
      </c>
      <c r="Q16" s="12" t="str">
        <f t="shared" si="15"/>
        <v/>
      </c>
      <c r="R16" s="12" t="str">
        <f t="shared" si="15"/>
        <v/>
      </c>
      <c r="S16" s="12" t="str">
        <f t="shared" si="15"/>
        <v/>
      </c>
      <c r="T16" s="12" t="str">
        <f t="shared" si="15"/>
        <v/>
      </c>
      <c r="U16" s="12" t="str">
        <f t="shared" si="15"/>
        <v/>
      </c>
      <c r="V16" s="12" t="str">
        <f t="shared" si="15"/>
        <v/>
      </c>
      <c r="W16" s="12" t="str">
        <f t="shared" si="15"/>
        <v/>
      </c>
      <c r="X16" s="12" t="str">
        <f t="shared" si="15"/>
        <v/>
      </c>
      <c r="Y16" s="12" t="str">
        <f t="shared" si="15"/>
        <v/>
      </c>
      <c r="Z16" s="12" t="str">
        <f t="shared" si="15"/>
        <v/>
      </c>
      <c r="AA16" s="12" t="str">
        <f t="shared" si="15"/>
        <v/>
      </c>
      <c r="AB16" s="12" t="str">
        <f t="shared" si="15"/>
        <v/>
      </c>
      <c r="AC16" s="12" t="str">
        <f t="shared" si="15"/>
        <v/>
      </c>
      <c r="AD16" s="12" t="str">
        <f t="shared" si="15"/>
        <v/>
      </c>
      <c r="AE16" s="12" t="str">
        <f t="shared" si="15"/>
        <v/>
      </c>
      <c r="AF16" s="12" t="str">
        <f t="shared" si="15"/>
        <v/>
      </c>
      <c r="AG16" s="12" t="str">
        <f t="shared" si="15"/>
        <v/>
      </c>
      <c r="AH16" s="12" t="str">
        <f t="shared" si="15"/>
        <v/>
      </c>
      <c r="AI16" s="12" t="str">
        <f t="shared" si="15"/>
        <v/>
      </c>
      <c r="AJ16" s="12" t="str">
        <f t="shared" si="15"/>
        <v/>
      </c>
    </row>
    <row r="17" spans="1:36" x14ac:dyDescent="0.25">
      <c r="A17" s="20" t="s">
        <v>22</v>
      </c>
      <c r="B17" s="7">
        <v>0.38194444444444442</v>
      </c>
      <c r="C17" s="7">
        <v>0.38194444444444442</v>
      </c>
      <c r="D17" s="20" t="s">
        <v>51</v>
      </c>
      <c r="E17" s="20" t="str">
        <f>+TEXT(Carro2[[#This Row],[Column1]],"hh:mm")&amp;" | " &amp;TEXT(Carro2[[#This Row],[Hora Fim]],"hh:mm")</f>
        <v>09:10 | 09:10</v>
      </c>
      <c r="F17" s="20">
        <f>INDEX($N$3:$AJ$3,MATCH(Carro2[[#This Row],[Nó]],$N$1:$AJ$1,0))</f>
        <v>1</v>
      </c>
      <c r="G17" s="7">
        <f>+IF(AND(Carro2[[#This Row],[Nó]]=A16,Carro2[[#This Row],[Nó]]=A18),G16,Carro2[[#This Row],[Hora Início]])</f>
        <v>0.38194444444444442</v>
      </c>
      <c r="H17" s="20">
        <f t="shared" si="0"/>
        <v>2</v>
      </c>
      <c r="I17" s="20" cm="1">
        <f t="array" ref="I17">IFERROR(_xlfn.IFS(H17=H16,I16,I16="Ramo",1),I16+1)</f>
        <v>1</v>
      </c>
      <c r="J17" s="20">
        <f t="shared" si="1"/>
        <v>0</v>
      </c>
      <c r="K17" s="20" t="str">
        <f>IF(AND(Carro2[[#This Row],[Nó]]=A18,Carro2[[#This Row],[Nó]]=A19),"",I17&amp;"|"&amp;F17)</f>
        <v>1|1</v>
      </c>
      <c r="M17" s="11">
        <f t="shared" si="6"/>
        <v>14</v>
      </c>
      <c r="N17" s="12" t="str">
        <f t="shared" ref="N17:AJ17" si="16">IF(O$2=0,IFERROR(INDEX($E:$E,MATCH($M17&amp;"|"&amp;N$3,$K:$K,0)),""),IFERROR(INDEX($J:$J,MATCH($M17&amp;"|"&amp;N$3,$K:$K,0)),""))</f>
        <v/>
      </c>
      <c r="O17" s="12" t="str">
        <f t="shared" si="16"/>
        <v/>
      </c>
      <c r="P17" s="12" t="str">
        <f t="shared" si="16"/>
        <v/>
      </c>
      <c r="Q17" s="12" t="str">
        <f t="shared" si="16"/>
        <v/>
      </c>
      <c r="R17" s="12" t="str">
        <f t="shared" si="16"/>
        <v/>
      </c>
      <c r="S17" s="12" t="str">
        <f t="shared" si="16"/>
        <v/>
      </c>
      <c r="T17" s="12" t="str">
        <f t="shared" si="16"/>
        <v/>
      </c>
      <c r="U17" s="12" t="str">
        <f t="shared" si="16"/>
        <v/>
      </c>
      <c r="V17" s="12" t="str">
        <f t="shared" si="16"/>
        <v/>
      </c>
      <c r="W17" s="12" t="str">
        <f t="shared" si="16"/>
        <v/>
      </c>
      <c r="X17" s="12" t="str">
        <f t="shared" si="16"/>
        <v/>
      </c>
      <c r="Y17" s="12" t="str">
        <f t="shared" si="16"/>
        <v/>
      </c>
      <c r="Z17" s="12" t="str">
        <f t="shared" si="16"/>
        <v/>
      </c>
      <c r="AA17" s="12" t="str">
        <f t="shared" si="16"/>
        <v/>
      </c>
      <c r="AB17" s="12" t="str">
        <f t="shared" si="16"/>
        <v/>
      </c>
      <c r="AC17" s="12" t="str">
        <f t="shared" si="16"/>
        <v/>
      </c>
      <c r="AD17" s="12" t="str">
        <f t="shared" si="16"/>
        <v/>
      </c>
      <c r="AE17" s="12" t="str">
        <f t="shared" si="16"/>
        <v/>
      </c>
      <c r="AF17" s="12" t="str">
        <f t="shared" si="16"/>
        <v/>
      </c>
      <c r="AG17" s="12" t="str">
        <f t="shared" si="16"/>
        <v/>
      </c>
      <c r="AH17" s="12" t="str">
        <f t="shared" si="16"/>
        <v/>
      </c>
      <c r="AI17" s="12" t="str">
        <f t="shared" si="16"/>
        <v/>
      </c>
      <c r="AJ17" s="12" t="str">
        <f t="shared" si="16"/>
        <v/>
      </c>
    </row>
    <row r="18" spans="1:36" x14ac:dyDescent="0.25">
      <c r="A18" s="20" t="s">
        <v>20</v>
      </c>
      <c r="B18" s="7">
        <v>0.38333333333333336</v>
      </c>
      <c r="C18" s="7">
        <v>0.38333333333333336</v>
      </c>
      <c r="D18" s="20" t="s">
        <v>51</v>
      </c>
      <c r="E18" s="20" t="str">
        <f>+TEXT(Carro2[[#This Row],[Column1]],"hh:mm")&amp;" | " &amp;TEXT(Carro2[[#This Row],[Hora Fim]],"hh:mm")</f>
        <v>09:12 | 09:12</v>
      </c>
      <c r="F18" s="20">
        <f>INDEX($N$3:$AJ$3,MATCH(Carro2[[#This Row],[Nó]],$N$1:$AJ$1,0))</f>
        <v>0</v>
      </c>
      <c r="G18" s="7">
        <f>+IF(AND(Carro2[[#This Row],[Nó]]=A17,Carro2[[#This Row],[Nó]]=A19),G17,Carro2[[#This Row],[Hora Início]])</f>
        <v>0.38333333333333336</v>
      </c>
      <c r="H18" s="20">
        <f t="shared" si="0"/>
        <v>2</v>
      </c>
      <c r="I18" s="20" cm="1">
        <f t="array" ref="I18">IFERROR(_xlfn.IFS(H18=H17,I17,I17="Ramo",1),I17+1)</f>
        <v>1</v>
      </c>
      <c r="J18" s="20">
        <f t="shared" si="1"/>
        <v>0</v>
      </c>
      <c r="K18" s="20" t="str">
        <f>IF(AND(Carro2[[#This Row],[Nó]]=A19,Carro2[[#This Row],[Nó]]=A20),"",I18&amp;"|"&amp;F18)</f>
        <v/>
      </c>
      <c r="M18" s="11">
        <f t="shared" si="6"/>
        <v>15</v>
      </c>
      <c r="N18" s="12" t="str">
        <f t="shared" ref="N18:AJ18" si="17">IF(O$2=0,IFERROR(INDEX($E:$E,MATCH($M18&amp;"|"&amp;N$3,$K:$K,0)),""),IFERROR(INDEX($J:$J,MATCH($M18&amp;"|"&amp;N$3,$K:$K,0)),""))</f>
        <v/>
      </c>
      <c r="O18" s="12" t="str">
        <f t="shared" si="17"/>
        <v/>
      </c>
      <c r="P18" s="12" t="str">
        <f t="shared" si="17"/>
        <v/>
      </c>
      <c r="Q18" s="12" t="str">
        <f t="shared" si="17"/>
        <v/>
      </c>
      <c r="R18" s="12" t="str">
        <f t="shared" si="17"/>
        <v/>
      </c>
      <c r="S18" s="12" t="str">
        <f t="shared" si="17"/>
        <v/>
      </c>
      <c r="T18" s="12" t="str">
        <f t="shared" si="17"/>
        <v/>
      </c>
      <c r="U18" s="12" t="str">
        <f t="shared" si="17"/>
        <v/>
      </c>
      <c r="V18" s="12" t="str">
        <f t="shared" si="17"/>
        <v/>
      </c>
      <c r="W18" s="12" t="str">
        <f t="shared" si="17"/>
        <v/>
      </c>
      <c r="X18" s="12" t="str">
        <f t="shared" si="17"/>
        <v/>
      </c>
      <c r="Y18" s="12" t="str">
        <f t="shared" si="17"/>
        <v/>
      </c>
      <c r="Z18" s="12" t="str">
        <f t="shared" si="17"/>
        <v/>
      </c>
      <c r="AA18" s="12" t="str">
        <f t="shared" si="17"/>
        <v/>
      </c>
      <c r="AB18" s="12" t="str">
        <f t="shared" si="17"/>
        <v/>
      </c>
      <c r="AC18" s="12" t="str">
        <f t="shared" si="17"/>
        <v/>
      </c>
      <c r="AD18" s="12" t="str">
        <f t="shared" si="17"/>
        <v/>
      </c>
      <c r="AE18" s="12" t="str">
        <f t="shared" si="17"/>
        <v/>
      </c>
      <c r="AF18" s="12" t="str">
        <f t="shared" si="17"/>
        <v/>
      </c>
      <c r="AG18" s="12" t="str">
        <f t="shared" si="17"/>
        <v/>
      </c>
      <c r="AH18" s="12" t="str">
        <f t="shared" si="17"/>
        <v/>
      </c>
      <c r="AI18" s="12" t="str">
        <f t="shared" si="17"/>
        <v/>
      </c>
      <c r="AJ18" s="12" t="str">
        <f t="shared" si="17"/>
        <v/>
      </c>
    </row>
    <row r="19" spans="1:36" x14ac:dyDescent="0.25">
      <c r="A19" s="20" t="s">
        <v>20</v>
      </c>
      <c r="B19" s="7">
        <v>0.38472222222222224</v>
      </c>
      <c r="C19" s="7">
        <v>0.39513888888888887</v>
      </c>
      <c r="D19" s="20" t="s">
        <v>50</v>
      </c>
      <c r="E19" s="20" t="str">
        <f>+TEXT(Carro2[[#This Row],[Column1]],"hh:mm")&amp;" | " &amp;TEXT(Carro2[[#This Row],[Hora Fim]],"hh:mm")</f>
        <v>09:12 | 09:29</v>
      </c>
      <c r="F19" s="20">
        <f>INDEX($N$3:$AJ$3,MATCH(Carro2[[#This Row],[Nó]],$N$1:$AJ$1,0))</f>
        <v>0</v>
      </c>
      <c r="G19" s="7">
        <f>+IF(AND(Carro2[[#This Row],[Nó]]=A18,Carro2[[#This Row],[Nó]]=A20),G18,Carro2[[#This Row],[Hora Início]])</f>
        <v>0.38333333333333336</v>
      </c>
      <c r="H19" s="20">
        <f t="shared" si="0"/>
        <v>2</v>
      </c>
      <c r="I19" s="20" cm="1">
        <f t="array" ref="I19">IFERROR(_xlfn.IFS(H19=H18,I18,I18="Ramo",1),I18+1)</f>
        <v>1</v>
      </c>
      <c r="J19" s="20">
        <f t="shared" si="1"/>
        <v>0</v>
      </c>
      <c r="K19" s="20" t="str">
        <f>IF(AND(Carro2[[#This Row],[Nó]]=A20,Carro2[[#This Row],[Nó]]=A21),"",I19&amp;"|"&amp;F19)</f>
        <v>1|0</v>
      </c>
      <c r="M19" s="11">
        <f t="shared" si="6"/>
        <v>16</v>
      </c>
      <c r="N19" s="12" t="str">
        <f t="shared" ref="N19:AJ19" si="18">IF(O$2=0,IFERROR(INDEX($E:$E,MATCH($M19&amp;"|"&amp;N$3,$K:$K,0)),""),IFERROR(INDEX($J:$J,MATCH($M19&amp;"|"&amp;N$3,$K:$K,0)),""))</f>
        <v/>
      </c>
      <c r="O19" s="12" t="str">
        <f t="shared" si="18"/>
        <v/>
      </c>
      <c r="P19" s="12" t="str">
        <f t="shared" si="18"/>
        <v/>
      </c>
      <c r="Q19" s="12" t="str">
        <f t="shared" si="18"/>
        <v/>
      </c>
      <c r="R19" s="12" t="str">
        <f t="shared" si="18"/>
        <v/>
      </c>
      <c r="S19" s="12" t="str">
        <f t="shared" si="18"/>
        <v/>
      </c>
      <c r="T19" s="12" t="str">
        <f t="shared" si="18"/>
        <v/>
      </c>
      <c r="U19" s="12" t="str">
        <f t="shared" si="18"/>
        <v/>
      </c>
      <c r="V19" s="12" t="str">
        <f t="shared" si="18"/>
        <v/>
      </c>
      <c r="W19" s="12" t="str">
        <f t="shared" si="18"/>
        <v/>
      </c>
      <c r="X19" s="12" t="str">
        <f t="shared" si="18"/>
        <v/>
      </c>
      <c r="Y19" s="12" t="str">
        <f t="shared" si="18"/>
        <v/>
      </c>
      <c r="Z19" s="12" t="str">
        <f t="shared" si="18"/>
        <v/>
      </c>
      <c r="AA19" s="12" t="str">
        <f t="shared" si="18"/>
        <v/>
      </c>
      <c r="AB19" s="12" t="str">
        <f t="shared" si="18"/>
        <v/>
      </c>
      <c r="AC19" s="12" t="str">
        <f t="shared" si="18"/>
        <v/>
      </c>
      <c r="AD19" s="12" t="str">
        <f t="shared" si="18"/>
        <v/>
      </c>
      <c r="AE19" s="12" t="str">
        <f t="shared" si="18"/>
        <v/>
      </c>
      <c r="AF19" s="12" t="str">
        <f t="shared" si="18"/>
        <v/>
      </c>
      <c r="AG19" s="12" t="str">
        <f t="shared" si="18"/>
        <v/>
      </c>
      <c r="AH19" s="12" t="str">
        <f t="shared" si="18"/>
        <v/>
      </c>
      <c r="AI19" s="12" t="str">
        <f t="shared" si="18"/>
        <v/>
      </c>
      <c r="AJ19" s="12" t="str">
        <f t="shared" si="18"/>
        <v/>
      </c>
    </row>
    <row r="20" spans="1:36" x14ac:dyDescent="0.25">
      <c r="A20" s="20" t="s">
        <v>20</v>
      </c>
      <c r="B20" s="7">
        <v>0.39513888888888887</v>
      </c>
      <c r="C20" s="7">
        <v>0.39513888888888887</v>
      </c>
      <c r="D20" s="20" t="s">
        <v>51</v>
      </c>
      <c r="E20" s="20" t="str">
        <f>+TEXT(Carro2[[#This Row],[Column1]],"hh:mm")&amp;" | " &amp;TEXT(Carro2[[#This Row],[Hora Fim]],"hh:mm")</f>
        <v>09:29 | 09:29</v>
      </c>
      <c r="F20" s="20">
        <f>INDEX($N$3:$AJ$3,MATCH(Carro2[[#This Row],[Nó]],$N$1:$AJ$1,0))</f>
        <v>0</v>
      </c>
      <c r="G20" s="7">
        <f>+IF(AND(Carro2[[#This Row],[Nó]]=A19,Carro2[[#This Row],[Nó]]=A21),G19,Carro2[[#This Row],[Hora Início]])</f>
        <v>0.39513888888888887</v>
      </c>
      <c r="H20" s="20">
        <f t="shared" si="0"/>
        <v>1</v>
      </c>
      <c r="I20" s="20" cm="1">
        <f t="array" ref="I20">IFERROR(_xlfn.IFS(H20=H19,I19,I19="Ramo",1),I19+1)</f>
        <v>2</v>
      </c>
      <c r="J20" s="20">
        <f t="shared" si="1"/>
        <v>1</v>
      </c>
      <c r="K20" s="20" t="str">
        <f>IF(AND(Carro2[[#This Row],[Nó]]=A21,Carro2[[#This Row],[Nó]]=A22),"",I20&amp;"|"&amp;F20)</f>
        <v>2|0</v>
      </c>
      <c r="M20" s="11">
        <f t="shared" si="6"/>
        <v>17</v>
      </c>
      <c r="N20" s="12" t="str">
        <f t="shared" ref="N20:AJ20" si="19">IF(O$2=0,IFERROR(INDEX($E:$E,MATCH($M20&amp;"|"&amp;N$3,$K:$K,0)),""),IFERROR(INDEX($J:$J,MATCH($M20&amp;"|"&amp;N$3,$K:$K,0)),""))</f>
        <v/>
      </c>
      <c r="O20" s="12" t="str">
        <f t="shared" si="19"/>
        <v/>
      </c>
      <c r="P20" s="12" t="str">
        <f t="shared" si="19"/>
        <v/>
      </c>
      <c r="Q20" s="12" t="str">
        <f t="shared" si="19"/>
        <v/>
      </c>
      <c r="R20" s="12" t="str">
        <f t="shared" si="19"/>
        <v/>
      </c>
      <c r="S20" s="12" t="str">
        <f t="shared" si="19"/>
        <v/>
      </c>
      <c r="T20" s="12" t="str">
        <f t="shared" si="19"/>
        <v/>
      </c>
      <c r="U20" s="12" t="str">
        <f t="shared" si="19"/>
        <v/>
      </c>
      <c r="V20" s="12" t="str">
        <f t="shared" si="19"/>
        <v/>
      </c>
      <c r="W20" s="12" t="str">
        <f t="shared" si="19"/>
        <v/>
      </c>
      <c r="X20" s="12" t="str">
        <f t="shared" si="19"/>
        <v/>
      </c>
      <c r="Y20" s="12" t="str">
        <f t="shared" si="19"/>
        <v/>
      </c>
      <c r="Z20" s="12" t="str">
        <f t="shared" si="19"/>
        <v/>
      </c>
      <c r="AA20" s="12" t="str">
        <f t="shared" si="19"/>
        <v/>
      </c>
      <c r="AB20" s="12" t="str">
        <f t="shared" si="19"/>
        <v/>
      </c>
      <c r="AC20" s="12" t="str">
        <f t="shared" si="19"/>
        <v/>
      </c>
      <c r="AD20" s="12" t="str">
        <f t="shared" si="19"/>
        <v/>
      </c>
      <c r="AE20" s="12" t="str">
        <f t="shared" si="19"/>
        <v/>
      </c>
      <c r="AF20" s="12" t="str">
        <f t="shared" si="19"/>
        <v/>
      </c>
      <c r="AG20" s="12" t="str">
        <f t="shared" si="19"/>
        <v/>
      </c>
      <c r="AH20" s="12" t="str">
        <f t="shared" si="19"/>
        <v/>
      </c>
      <c r="AI20" s="12" t="str">
        <f t="shared" si="19"/>
        <v/>
      </c>
      <c r="AJ20" s="12" t="str">
        <f t="shared" si="19"/>
        <v/>
      </c>
    </row>
    <row r="21" spans="1:36" x14ac:dyDescent="0.25">
      <c r="A21" s="20" t="s">
        <v>22</v>
      </c>
      <c r="B21" s="7">
        <v>0.39652777777777776</v>
      </c>
      <c r="C21" s="7">
        <v>0.4</v>
      </c>
      <c r="D21" s="20" t="s">
        <v>50</v>
      </c>
      <c r="E21" s="20" t="str">
        <f>+TEXT(Carro2[[#This Row],[Column1]],"hh:mm")&amp;" | " &amp;TEXT(Carro2[[#This Row],[Hora Fim]],"hh:mm")</f>
        <v>09:31 | 09:36</v>
      </c>
      <c r="F21" s="20">
        <f>INDEX($N$3:$AJ$3,MATCH(Carro2[[#This Row],[Nó]],$N$1:$AJ$1,0))</f>
        <v>1</v>
      </c>
      <c r="G21" s="7">
        <f>+IF(AND(Carro2[[#This Row],[Nó]]=A20,Carro2[[#This Row],[Nó]]=A22),G20,Carro2[[#This Row],[Hora Início]])</f>
        <v>0.39652777777777776</v>
      </c>
      <c r="H21" s="20">
        <f t="shared" si="0"/>
        <v>1</v>
      </c>
      <c r="I21" s="20" cm="1">
        <f t="array" ref="I21">IFERROR(_xlfn.IFS(H21=H20,I20,I20="Ramo",1),I20+1)</f>
        <v>2</v>
      </c>
      <c r="J21" s="20">
        <f t="shared" si="1"/>
        <v>0</v>
      </c>
      <c r="K21" s="20" t="str">
        <f>IF(AND(Carro2[[#This Row],[Nó]]=A22,Carro2[[#This Row],[Nó]]=A23),"",I21&amp;"|"&amp;F21)</f>
        <v>2|1</v>
      </c>
      <c r="M21" s="11">
        <f t="shared" si="6"/>
        <v>18</v>
      </c>
      <c r="N21" s="12" t="str">
        <f t="shared" ref="N21:AJ21" si="20">IF(O$2=0,IFERROR(INDEX($E:$E,MATCH($M21&amp;"|"&amp;N$3,$K:$K,0)),""),IFERROR(INDEX($J:$J,MATCH($M21&amp;"|"&amp;N$3,$K:$K,0)),""))</f>
        <v/>
      </c>
      <c r="O21" s="12" t="str">
        <f t="shared" si="20"/>
        <v/>
      </c>
      <c r="P21" s="12" t="str">
        <f t="shared" si="20"/>
        <v/>
      </c>
      <c r="Q21" s="12" t="str">
        <f t="shared" si="20"/>
        <v/>
      </c>
      <c r="R21" s="12" t="str">
        <f t="shared" si="20"/>
        <v/>
      </c>
      <c r="S21" s="12" t="str">
        <f t="shared" si="20"/>
        <v/>
      </c>
      <c r="T21" s="12" t="str">
        <f t="shared" si="20"/>
        <v/>
      </c>
      <c r="U21" s="12" t="str">
        <f t="shared" si="20"/>
        <v/>
      </c>
      <c r="V21" s="12" t="str">
        <f t="shared" si="20"/>
        <v/>
      </c>
      <c r="W21" s="12" t="str">
        <f t="shared" si="20"/>
        <v/>
      </c>
      <c r="X21" s="12" t="str">
        <f t="shared" si="20"/>
        <v/>
      </c>
      <c r="Y21" s="12" t="str">
        <f t="shared" si="20"/>
        <v/>
      </c>
      <c r="Z21" s="12" t="str">
        <f t="shared" si="20"/>
        <v/>
      </c>
      <c r="AA21" s="12" t="str">
        <f t="shared" si="20"/>
        <v/>
      </c>
      <c r="AB21" s="12" t="str">
        <f t="shared" si="20"/>
        <v/>
      </c>
      <c r="AC21" s="12" t="str">
        <f t="shared" si="20"/>
        <v/>
      </c>
      <c r="AD21" s="12" t="str">
        <f t="shared" si="20"/>
        <v/>
      </c>
      <c r="AE21" s="12" t="str">
        <f t="shared" si="20"/>
        <v/>
      </c>
      <c r="AF21" s="12" t="str">
        <f t="shared" si="20"/>
        <v/>
      </c>
      <c r="AG21" s="12" t="str">
        <f t="shared" si="20"/>
        <v/>
      </c>
      <c r="AH21" s="12" t="str">
        <f t="shared" si="20"/>
        <v/>
      </c>
      <c r="AI21" s="12" t="str">
        <f t="shared" si="20"/>
        <v/>
      </c>
      <c r="AJ21" s="12" t="str">
        <f t="shared" si="20"/>
        <v/>
      </c>
    </row>
    <row r="22" spans="1:36" x14ac:dyDescent="0.25">
      <c r="A22" s="20" t="s">
        <v>22</v>
      </c>
      <c r="B22" s="7">
        <v>0.4</v>
      </c>
      <c r="C22" s="7">
        <v>0.4</v>
      </c>
      <c r="D22" s="20" t="s">
        <v>51</v>
      </c>
      <c r="E22" s="20" t="str">
        <f>+TEXT(Carro2[[#This Row],[Column1]],"hh:mm")&amp;" | " &amp;TEXT(Carro2[[#This Row],[Hora Fim]],"hh:mm")</f>
        <v>09:36 | 09:36</v>
      </c>
      <c r="F22" s="20">
        <f>INDEX($N$3:$AJ$3,MATCH(Carro2[[#This Row],[Nó]],$N$1:$AJ$1,0))</f>
        <v>1</v>
      </c>
      <c r="G22" s="7">
        <f>+IF(AND(Carro2[[#This Row],[Nó]]=A21,Carro2[[#This Row],[Nó]]=A23),G21,Carro2[[#This Row],[Hora Início]])</f>
        <v>0.4</v>
      </c>
      <c r="H22" s="20">
        <f t="shared" si="0"/>
        <v>1</v>
      </c>
      <c r="I22" s="20" cm="1">
        <f t="array" ref="I22">IFERROR(_xlfn.IFS(H22=H21,I21,I21="Ramo",1),I21+1)</f>
        <v>2</v>
      </c>
      <c r="J22" s="20">
        <f t="shared" si="1"/>
        <v>0</v>
      </c>
      <c r="K22" s="20" t="str">
        <f>IF(AND(Carro2[[#This Row],[Nó]]=A23,Carro2[[#This Row],[Nó]]=A24),"",I22&amp;"|"&amp;F22)</f>
        <v>2|1</v>
      </c>
      <c r="M22" s="11">
        <f t="shared" si="6"/>
        <v>19</v>
      </c>
      <c r="N22" s="12" t="str">
        <f t="shared" ref="N22:AJ22" si="21">IF(O$2=0,IFERROR(INDEX($E:$E,MATCH($M22&amp;"|"&amp;N$3,$K:$K,0)),""),IFERROR(INDEX($J:$J,MATCH($M22&amp;"|"&amp;N$3,$K:$K,0)),""))</f>
        <v/>
      </c>
      <c r="O22" s="12" t="str">
        <f t="shared" si="21"/>
        <v/>
      </c>
      <c r="P22" s="12" t="str">
        <f t="shared" si="21"/>
        <v/>
      </c>
      <c r="Q22" s="12" t="str">
        <f t="shared" si="21"/>
        <v/>
      </c>
      <c r="R22" s="12" t="str">
        <f t="shared" si="21"/>
        <v/>
      </c>
      <c r="S22" s="12" t="str">
        <f t="shared" si="21"/>
        <v/>
      </c>
      <c r="T22" s="12" t="str">
        <f t="shared" si="21"/>
        <v/>
      </c>
      <c r="U22" s="12" t="str">
        <f t="shared" si="21"/>
        <v/>
      </c>
      <c r="V22" s="12" t="str">
        <f t="shared" si="21"/>
        <v/>
      </c>
      <c r="W22" s="12" t="str">
        <f t="shared" si="21"/>
        <v/>
      </c>
      <c r="X22" s="12" t="str">
        <f t="shared" si="21"/>
        <v/>
      </c>
      <c r="Y22" s="12" t="str">
        <f t="shared" si="21"/>
        <v/>
      </c>
      <c r="Z22" s="12" t="str">
        <f t="shared" si="21"/>
        <v/>
      </c>
      <c r="AA22" s="12" t="str">
        <f t="shared" si="21"/>
        <v/>
      </c>
      <c r="AB22" s="12" t="str">
        <f t="shared" si="21"/>
        <v/>
      </c>
      <c r="AC22" s="12" t="str">
        <f t="shared" si="21"/>
        <v/>
      </c>
      <c r="AD22" s="12" t="str">
        <f t="shared" si="21"/>
        <v/>
      </c>
      <c r="AE22" s="12" t="str">
        <f t="shared" si="21"/>
        <v/>
      </c>
      <c r="AF22" s="12" t="str">
        <f t="shared" si="21"/>
        <v/>
      </c>
      <c r="AG22" s="12" t="str">
        <f t="shared" si="21"/>
        <v/>
      </c>
      <c r="AH22" s="12" t="str">
        <f t="shared" si="21"/>
        <v/>
      </c>
      <c r="AI22" s="12" t="str">
        <f t="shared" si="21"/>
        <v/>
      </c>
      <c r="AJ22" s="12" t="str">
        <f t="shared" si="21"/>
        <v/>
      </c>
    </row>
    <row r="23" spans="1:36" x14ac:dyDescent="0.25">
      <c r="A23" s="20" t="s">
        <v>24</v>
      </c>
      <c r="B23" s="7">
        <v>0.40138888888888891</v>
      </c>
      <c r="C23" s="7">
        <v>0.41111111111111109</v>
      </c>
      <c r="D23" s="20" t="s">
        <v>50</v>
      </c>
      <c r="E23" s="20" t="str">
        <f>+TEXT(Carro2[[#This Row],[Column1]],"hh:mm")&amp;" | " &amp;TEXT(Carro2[[#This Row],[Hora Fim]],"hh:mm")</f>
        <v>09:38 | 09:52</v>
      </c>
      <c r="F23" s="20">
        <f>INDEX($N$3:$AJ$3,MATCH(Carro2[[#This Row],[Nó]],$N$1:$AJ$1,0))</f>
        <v>2</v>
      </c>
      <c r="G23" s="7">
        <f>+IF(AND(Carro2[[#This Row],[Nó]]=A22,Carro2[[#This Row],[Nó]]=A24),G22,Carro2[[#This Row],[Hora Início]])</f>
        <v>0.40138888888888891</v>
      </c>
      <c r="H23" s="20">
        <f t="shared" si="0"/>
        <v>1</v>
      </c>
      <c r="I23" s="20" cm="1">
        <f t="array" ref="I23">IFERROR(_xlfn.IFS(H23=H22,I22,I22="Ramo",1),I22+1)</f>
        <v>2</v>
      </c>
      <c r="J23" s="20">
        <f t="shared" si="1"/>
        <v>0</v>
      </c>
      <c r="K23" s="20" t="str">
        <f>IF(AND(Carro2[[#This Row],[Nó]]=A24,Carro2[[#This Row],[Nó]]=A25),"",I23&amp;"|"&amp;F23)</f>
        <v>2|2</v>
      </c>
      <c r="M23" s="11">
        <f t="shared" si="6"/>
        <v>20</v>
      </c>
      <c r="N23" s="12" t="str">
        <f t="shared" ref="N23:AJ23" si="22">IF(O$2=0,IFERROR(INDEX($E:$E,MATCH($M23&amp;"|"&amp;N$3,$K:$K,0)),""),IFERROR(INDEX($J:$J,MATCH($M23&amp;"|"&amp;N$3,$K:$K,0)),""))</f>
        <v/>
      </c>
      <c r="O23" s="12" t="str">
        <f t="shared" si="22"/>
        <v/>
      </c>
      <c r="P23" s="12" t="str">
        <f t="shared" si="22"/>
        <v/>
      </c>
      <c r="Q23" s="12" t="str">
        <f t="shared" si="22"/>
        <v/>
      </c>
      <c r="R23" s="12" t="str">
        <f t="shared" si="22"/>
        <v/>
      </c>
      <c r="S23" s="12" t="str">
        <f t="shared" si="22"/>
        <v/>
      </c>
      <c r="T23" s="12" t="str">
        <f t="shared" si="22"/>
        <v/>
      </c>
      <c r="U23" s="12" t="str">
        <f t="shared" si="22"/>
        <v/>
      </c>
      <c r="V23" s="12" t="str">
        <f t="shared" si="22"/>
        <v/>
      </c>
      <c r="W23" s="12" t="str">
        <f t="shared" si="22"/>
        <v/>
      </c>
      <c r="X23" s="12" t="str">
        <f t="shared" si="22"/>
        <v/>
      </c>
      <c r="Y23" s="12" t="str">
        <f t="shared" si="22"/>
        <v/>
      </c>
      <c r="Z23" s="12" t="str">
        <f t="shared" si="22"/>
        <v/>
      </c>
      <c r="AA23" s="12" t="str">
        <f t="shared" si="22"/>
        <v/>
      </c>
      <c r="AB23" s="12" t="str">
        <f t="shared" si="22"/>
        <v/>
      </c>
      <c r="AC23" s="12" t="str">
        <f t="shared" si="22"/>
        <v/>
      </c>
      <c r="AD23" s="12" t="str">
        <f t="shared" si="22"/>
        <v/>
      </c>
      <c r="AE23" s="12" t="str">
        <f t="shared" si="22"/>
        <v/>
      </c>
      <c r="AF23" s="12" t="str">
        <f t="shared" si="22"/>
        <v/>
      </c>
      <c r="AG23" s="12" t="str">
        <f t="shared" si="22"/>
        <v/>
      </c>
      <c r="AH23" s="12" t="str">
        <f t="shared" si="22"/>
        <v/>
      </c>
      <c r="AI23" s="12" t="str">
        <f t="shared" si="22"/>
        <v/>
      </c>
      <c r="AJ23" s="12" t="str">
        <f t="shared" si="22"/>
        <v/>
      </c>
    </row>
    <row r="24" spans="1:36" x14ac:dyDescent="0.25">
      <c r="A24" s="20" t="s">
        <v>24</v>
      </c>
      <c r="B24" s="7">
        <v>0.41111111111111109</v>
      </c>
      <c r="C24" s="7">
        <v>0.41111111111111109</v>
      </c>
      <c r="D24" s="20" t="s">
        <v>51</v>
      </c>
      <c r="E24" s="20" t="str">
        <f>+TEXT(Carro2[[#This Row],[Column1]],"hh:mm")&amp;" | " &amp;TEXT(Carro2[[#This Row],[Hora Fim]],"hh:mm")</f>
        <v>09:52 | 09:52</v>
      </c>
      <c r="F24" s="20">
        <f>INDEX($N$3:$AJ$3,MATCH(Carro2[[#This Row],[Nó]],$N$1:$AJ$1,0))</f>
        <v>2</v>
      </c>
      <c r="G24" s="7">
        <f>+IF(AND(Carro2[[#This Row],[Nó]]=A23,Carro2[[#This Row],[Nó]]=A25),G23,Carro2[[#This Row],[Hora Início]])</f>
        <v>0.41111111111111109</v>
      </c>
      <c r="H24" s="20">
        <f t="shared" si="0"/>
        <v>1</v>
      </c>
      <c r="I24" s="20" cm="1">
        <f t="array" ref="I24">IFERROR(_xlfn.IFS(H24=H23,I23,I23="Ramo",1),I23+1)</f>
        <v>2</v>
      </c>
      <c r="J24" s="20">
        <f t="shared" si="1"/>
        <v>0</v>
      </c>
      <c r="K24" s="20" t="str">
        <f>IF(AND(Carro2[[#This Row],[Nó]]=A25,Carro2[[#This Row],[Nó]]=A26),"",I24&amp;"|"&amp;F24)</f>
        <v>2|2</v>
      </c>
      <c r="M24" s="11">
        <f t="shared" si="6"/>
        <v>21</v>
      </c>
      <c r="N24" s="12" t="str">
        <f t="shared" ref="N24:AJ24" si="23">IF(O$2=0,IFERROR(INDEX($E:$E,MATCH($M24&amp;"|"&amp;N$3,$K:$K,0)),""),IFERROR(INDEX($J:$J,MATCH($M24&amp;"|"&amp;N$3,$K:$K,0)),""))</f>
        <v/>
      </c>
      <c r="O24" s="12" t="str">
        <f t="shared" si="23"/>
        <v/>
      </c>
      <c r="P24" s="12" t="str">
        <f t="shared" si="23"/>
        <v/>
      </c>
      <c r="Q24" s="12" t="str">
        <f t="shared" si="23"/>
        <v/>
      </c>
      <c r="R24" s="12" t="str">
        <f t="shared" si="23"/>
        <v/>
      </c>
      <c r="S24" s="12" t="str">
        <f t="shared" si="23"/>
        <v/>
      </c>
      <c r="T24" s="12" t="str">
        <f t="shared" si="23"/>
        <v/>
      </c>
      <c r="U24" s="12" t="str">
        <f t="shared" si="23"/>
        <v/>
      </c>
      <c r="V24" s="12" t="str">
        <f t="shared" si="23"/>
        <v/>
      </c>
      <c r="W24" s="12" t="str">
        <f t="shared" si="23"/>
        <v/>
      </c>
      <c r="X24" s="12" t="str">
        <f t="shared" si="23"/>
        <v/>
      </c>
      <c r="Y24" s="12" t="str">
        <f t="shared" si="23"/>
        <v/>
      </c>
      <c r="Z24" s="12" t="str">
        <f t="shared" si="23"/>
        <v/>
      </c>
      <c r="AA24" s="12" t="str">
        <f t="shared" si="23"/>
        <v/>
      </c>
      <c r="AB24" s="12" t="str">
        <f t="shared" si="23"/>
        <v/>
      </c>
      <c r="AC24" s="12" t="str">
        <f t="shared" si="23"/>
        <v/>
      </c>
      <c r="AD24" s="12" t="str">
        <f t="shared" si="23"/>
        <v/>
      </c>
      <c r="AE24" s="12" t="str">
        <f t="shared" si="23"/>
        <v/>
      </c>
      <c r="AF24" s="12" t="str">
        <f t="shared" si="23"/>
        <v/>
      </c>
      <c r="AG24" s="12" t="str">
        <f t="shared" si="23"/>
        <v/>
      </c>
      <c r="AH24" s="12" t="str">
        <f t="shared" si="23"/>
        <v/>
      </c>
      <c r="AI24" s="12" t="str">
        <f t="shared" si="23"/>
        <v/>
      </c>
      <c r="AJ24" s="12" t="str">
        <f t="shared" si="23"/>
        <v/>
      </c>
    </row>
    <row r="25" spans="1:36" x14ac:dyDescent="0.25">
      <c r="A25" s="20" t="s">
        <v>26</v>
      </c>
      <c r="B25" s="7">
        <v>0.41249999999999998</v>
      </c>
      <c r="C25" s="7">
        <v>0.41944444444444445</v>
      </c>
      <c r="D25" s="20" t="s">
        <v>50</v>
      </c>
      <c r="E25" s="20" t="str">
        <f>+TEXT(Carro2[[#This Row],[Column1]],"hh:mm")&amp;" | " &amp;TEXT(Carro2[[#This Row],[Hora Fim]],"hh:mm")</f>
        <v>09:54 | 10:04</v>
      </c>
      <c r="F25" s="20">
        <f>INDEX($N$3:$AJ$3,MATCH(Carro2[[#This Row],[Nó]],$N$1:$AJ$1,0))</f>
        <v>3</v>
      </c>
      <c r="G25" s="7">
        <f>+IF(AND(Carro2[[#This Row],[Nó]]=A24,Carro2[[#This Row],[Nó]]=A26),G24,Carro2[[#This Row],[Hora Início]])</f>
        <v>0.41249999999999998</v>
      </c>
      <c r="H25" s="20">
        <f t="shared" si="0"/>
        <v>1</v>
      </c>
      <c r="I25" s="20" cm="1">
        <f t="array" ref="I25">IFERROR(_xlfn.IFS(H25=H24,I24,I24="Ramo",1),I24+1)</f>
        <v>2</v>
      </c>
      <c r="J25" s="20">
        <f t="shared" si="1"/>
        <v>0</v>
      </c>
      <c r="K25" s="20" t="str">
        <f>IF(AND(Carro2[[#This Row],[Nó]]=A26,Carro2[[#This Row],[Nó]]=A27),"",I25&amp;"|"&amp;F25)</f>
        <v>2|3</v>
      </c>
      <c r="M25" s="11">
        <f t="shared" si="6"/>
        <v>22</v>
      </c>
      <c r="N25" s="12" t="str">
        <f t="shared" ref="N25:AJ25" si="24">IF(O$2=0,IFERROR(INDEX($E:$E,MATCH($M25&amp;"|"&amp;N$3,$K:$K,0)),""),IFERROR(INDEX($J:$J,MATCH($M25&amp;"|"&amp;N$3,$K:$K,0)),""))</f>
        <v/>
      </c>
      <c r="O25" s="12" t="str">
        <f t="shared" si="24"/>
        <v/>
      </c>
      <c r="P25" s="12" t="str">
        <f t="shared" si="24"/>
        <v/>
      </c>
      <c r="Q25" s="12" t="str">
        <f t="shared" si="24"/>
        <v/>
      </c>
      <c r="R25" s="12" t="str">
        <f t="shared" si="24"/>
        <v/>
      </c>
      <c r="S25" s="12" t="str">
        <f t="shared" si="24"/>
        <v/>
      </c>
      <c r="T25" s="12" t="str">
        <f t="shared" si="24"/>
        <v/>
      </c>
      <c r="U25" s="12" t="str">
        <f t="shared" si="24"/>
        <v/>
      </c>
      <c r="V25" s="12" t="str">
        <f t="shared" si="24"/>
        <v/>
      </c>
      <c r="W25" s="12" t="str">
        <f t="shared" si="24"/>
        <v/>
      </c>
      <c r="X25" s="12" t="str">
        <f t="shared" si="24"/>
        <v/>
      </c>
      <c r="Y25" s="12" t="str">
        <f t="shared" si="24"/>
        <v/>
      </c>
      <c r="Z25" s="12" t="str">
        <f t="shared" si="24"/>
        <v/>
      </c>
      <c r="AA25" s="12" t="str">
        <f t="shared" si="24"/>
        <v/>
      </c>
      <c r="AB25" s="12" t="str">
        <f t="shared" si="24"/>
        <v/>
      </c>
      <c r="AC25" s="12" t="str">
        <f t="shared" si="24"/>
        <v/>
      </c>
      <c r="AD25" s="12" t="str">
        <f t="shared" si="24"/>
        <v/>
      </c>
      <c r="AE25" s="12" t="str">
        <f t="shared" si="24"/>
        <v/>
      </c>
      <c r="AF25" s="12" t="str">
        <f t="shared" si="24"/>
        <v/>
      </c>
      <c r="AG25" s="12" t="str">
        <f t="shared" si="24"/>
        <v/>
      </c>
      <c r="AH25" s="12" t="str">
        <f t="shared" si="24"/>
        <v/>
      </c>
      <c r="AI25" s="12" t="str">
        <f t="shared" si="24"/>
        <v/>
      </c>
      <c r="AJ25" s="12" t="str">
        <f t="shared" si="24"/>
        <v/>
      </c>
    </row>
    <row r="26" spans="1:36" x14ac:dyDescent="0.25">
      <c r="A26" s="20" t="s">
        <v>26</v>
      </c>
      <c r="B26" s="7">
        <v>0.41944444444444445</v>
      </c>
      <c r="C26" s="7">
        <v>0.41944444444444445</v>
      </c>
      <c r="D26" s="20" t="s">
        <v>51</v>
      </c>
      <c r="E26" s="20" t="str">
        <f>+TEXT(Carro2[[#This Row],[Column1]],"hh:mm")&amp;" | " &amp;TEXT(Carro2[[#This Row],[Hora Fim]],"hh:mm")</f>
        <v>10:04 | 10:04</v>
      </c>
      <c r="F26" s="20">
        <f>INDEX($N$3:$AJ$3,MATCH(Carro2[[#This Row],[Nó]],$N$1:$AJ$1,0))</f>
        <v>3</v>
      </c>
      <c r="G26" s="7">
        <f>+IF(AND(Carro2[[#This Row],[Nó]]=A25,Carro2[[#This Row],[Nó]]=A27),G25,Carro2[[#This Row],[Hora Início]])</f>
        <v>0.41944444444444445</v>
      </c>
      <c r="H26" s="20">
        <f t="shared" si="0"/>
        <v>1</v>
      </c>
      <c r="I26" s="20" cm="1">
        <f t="array" ref="I26">IFERROR(_xlfn.IFS(H26=H25,I25,I25="Ramo",1),I25+1)</f>
        <v>2</v>
      </c>
      <c r="J26" s="20">
        <f t="shared" si="1"/>
        <v>0</v>
      </c>
      <c r="K26" s="20" t="str">
        <f>IF(AND(Carro2[[#This Row],[Nó]]=A27,Carro2[[#This Row],[Nó]]=A28),"",I26&amp;"|"&amp;F26)</f>
        <v>2|3</v>
      </c>
      <c r="M26" s="11">
        <f t="shared" si="6"/>
        <v>23</v>
      </c>
      <c r="N26" s="12" t="str">
        <f t="shared" ref="N26:AJ26" si="25">IF(O$2=0,IFERROR(INDEX($E:$E,MATCH($M26&amp;"|"&amp;N$3,$K:$K,0)),""),IFERROR(INDEX($J:$J,MATCH($M26&amp;"|"&amp;N$3,$K:$K,0)),""))</f>
        <v/>
      </c>
      <c r="O26" s="12" t="str">
        <f t="shared" si="25"/>
        <v/>
      </c>
      <c r="P26" s="12" t="str">
        <f t="shared" si="25"/>
        <v/>
      </c>
      <c r="Q26" s="12" t="str">
        <f t="shared" si="25"/>
        <v/>
      </c>
      <c r="R26" s="12" t="str">
        <f t="shared" si="25"/>
        <v/>
      </c>
      <c r="S26" s="12" t="str">
        <f t="shared" si="25"/>
        <v/>
      </c>
      <c r="T26" s="12" t="str">
        <f t="shared" si="25"/>
        <v/>
      </c>
      <c r="U26" s="12" t="str">
        <f t="shared" si="25"/>
        <v/>
      </c>
      <c r="V26" s="12" t="str">
        <f t="shared" si="25"/>
        <v/>
      </c>
      <c r="W26" s="12" t="str">
        <f t="shared" si="25"/>
        <v/>
      </c>
      <c r="X26" s="12" t="str">
        <f t="shared" si="25"/>
        <v/>
      </c>
      <c r="Y26" s="12" t="str">
        <f t="shared" si="25"/>
        <v/>
      </c>
      <c r="Z26" s="12" t="str">
        <f t="shared" si="25"/>
        <v/>
      </c>
      <c r="AA26" s="12" t="str">
        <f t="shared" si="25"/>
        <v/>
      </c>
      <c r="AB26" s="12" t="str">
        <f t="shared" si="25"/>
        <v/>
      </c>
      <c r="AC26" s="12" t="str">
        <f t="shared" si="25"/>
        <v/>
      </c>
      <c r="AD26" s="12" t="str">
        <f t="shared" si="25"/>
        <v/>
      </c>
      <c r="AE26" s="12" t="str">
        <f t="shared" si="25"/>
        <v/>
      </c>
      <c r="AF26" s="12" t="str">
        <f t="shared" si="25"/>
        <v/>
      </c>
      <c r="AG26" s="12" t="str">
        <f t="shared" si="25"/>
        <v/>
      </c>
      <c r="AH26" s="12" t="str">
        <f t="shared" si="25"/>
        <v/>
      </c>
      <c r="AI26" s="12" t="str">
        <f t="shared" si="25"/>
        <v/>
      </c>
      <c r="AJ26" s="12" t="str">
        <f t="shared" si="25"/>
        <v/>
      </c>
    </row>
    <row r="27" spans="1:36" x14ac:dyDescent="0.25">
      <c r="A27" s="20" t="s">
        <v>27</v>
      </c>
      <c r="B27" s="7">
        <v>0.42083333333333334</v>
      </c>
      <c r="C27" s="7">
        <v>0.42986111111111114</v>
      </c>
      <c r="D27" s="20" t="s">
        <v>50</v>
      </c>
      <c r="E27" s="20" t="str">
        <f>+TEXT(Carro2[[#This Row],[Column1]],"hh:mm")&amp;" | " &amp;TEXT(Carro2[[#This Row],[Hora Fim]],"hh:mm")</f>
        <v>10:06 | 10:19</v>
      </c>
      <c r="F27" s="20">
        <f>INDEX($N$3:$AJ$3,MATCH(Carro2[[#This Row],[Nó]],$N$1:$AJ$1,0))</f>
        <v>4</v>
      </c>
      <c r="G27" s="7">
        <f>+IF(AND(Carro2[[#This Row],[Nó]]=A26,Carro2[[#This Row],[Nó]]=A28),G26,Carro2[[#This Row],[Hora Início]])</f>
        <v>0.42083333333333334</v>
      </c>
      <c r="H27" s="20">
        <f t="shared" si="0"/>
        <v>1</v>
      </c>
      <c r="I27" s="20" cm="1">
        <f t="array" ref="I27">IFERROR(_xlfn.IFS(H27=H26,I26,I26="Ramo",1),I26+1)</f>
        <v>2</v>
      </c>
      <c r="J27" s="20">
        <f t="shared" si="1"/>
        <v>0</v>
      </c>
      <c r="K27" s="20" t="str">
        <f>IF(AND(Carro2[[#This Row],[Nó]]=A28,Carro2[[#This Row],[Nó]]=A29),"",I27&amp;"|"&amp;F27)</f>
        <v>2|4</v>
      </c>
      <c r="M27" s="11">
        <f t="shared" si="6"/>
        <v>24</v>
      </c>
      <c r="N27" s="12" t="str">
        <f t="shared" ref="N27:AJ27" si="26">IF(O$2=0,IFERROR(INDEX($E:$E,MATCH($M27&amp;"|"&amp;N$3,$K:$K,0)),""),IFERROR(INDEX($J:$J,MATCH($M27&amp;"|"&amp;N$3,$K:$K,0)),""))</f>
        <v/>
      </c>
      <c r="O27" s="12" t="str">
        <f t="shared" si="26"/>
        <v/>
      </c>
      <c r="P27" s="12" t="str">
        <f t="shared" si="26"/>
        <v/>
      </c>
      <c r="Q27" s="12" t="str">
        <f t="shared" si="26"/>
        <v/>
      </c>
      <c r="R27" s="12" t="str">
        <f t="shared" si="26"/>
        <v/>
      </c>
      <c r="S27" s="12" t="str">
        <f t="shared" si="26"/>
        <v/>
      </c>
      <c r="T27" s="12" t="str">
        <f t="shared" si="26"/>
        <v/>
      </c>
      <c r="U27" s="12" t="str">
        <f t="shared" si="26"/>
        <v/>
      </c>
      <c r="V27" s="12" t="str">
        <f t="shared" si="26"/>
        <v/>
      </c>
      <c r="W27" s="12" t="str">
        <f t="shared" si="26"/>
        <v/>
      </c>
      <c r="X27" s="12" t="str">
        <f t="shared" si="26"/>
        <v/>
      </c>
      <c r="Y27" s="12" t="str">
        <f t="shared" si="26"/>
        <v/>
      </c>
      <c r="Z27" s="12" t="str">
        <f t="shared" si="26"/>
        <v/>
      </c>
      <c r="AA27" s="12" t="str">
        <f t="shared" si="26"/>
        <v/>
      </c>
      <c r="AB27" s="12" t="str">
        <f t="shared" si="26"/>
        <v/>
      </c>
      <c r="AC27" s="12" t="str">
        <f t="shared" si="26"/>
        <v/>
      </c>
      <c r="AD27" s="12" t="str">
        <f t="shared" si="26"/>
        <v/>
      </c>
      <c r="AE27" s="12" t="str">
        <f t="shared" si="26"/>
        <v/>
      </c>
      <c r="AF27" s="12" t="str">
        <f t="shared" si="26"/>
        <v/>
      </c>
      <c r="AG27" s="12" t="str">
        <f t="shared" si="26"/>
        <v/>
      </c>
      <c r="AH27" s="12" t="str">
        <f t="shared" si="26"/>
        <v/>
      </c>
      <c r="AI27" s="12" t="str">
        <f t="shared" si="26"/>
        <v/>
      </c>
      <c r="AJ27" s="12" t="str">
        <f t="shared" si="26"/>
        <v/>
      </c>
    </row>
    <row r="28" spans="1:36" x14ac:dyDescent="0.25">
      <c r="A28" s="20" t="s">
        <v>27</v>
      </c>
      <c r="B28" s="7">
        <v>0.42986111111111114</v>
      </c>
      <c r="C28" s="7">
        <v>0.42986111111111114</v>
      </c>
      <c r="D28" s="20" t="s">
        <v>51</v>
      </c>
      <c r="E28" s="20" t="str">
        <f>+TEXT(Carro2[[#This Row],[Column1]],"hh:mm")&amp;" | " &amp;TEXT(Carro2[[#This Row],[Hora Fim]],"hh:mm")</f>
        <v>10:19 | 10:19</v>
      </c>
      <c r="F28" s="20">
        <f>INDEX($N$3:$AJ$3,MATCH(Carro2[[#This Row],[Nó]],$N$1:$AJ$1,0))</f>
        <v>4</v>
      </c>
      <c r="G28" s="7">
        <f>+IF(AND(Carro2[[#This Row],[Nó]]=A27,Carro2[[#This Row],[Nó]]=A29),G27,Carro2[[#This Row],[Hora Início]])</f>
        <v>0.42986111111111114</v>
      </c>
      <c r="H28" s="20">
        <f t="shared" si="0"/>
        <v>1</v>
      </c>
      <c r="I28" s="20" cm="1">
        <f t="array" ref="I28">IFERROR(_xlfn.IFS(H28=H27,I27,I27="Ramo",1),I27+1)</f>
        <v>2</v>
      </c>
      <c r="J28" s="20">
        <f t="shared" si="1"/>
        <v>0</v>
      </c>
      <c r="K28" s="20" t="str">
        <f>IF(AND(Carro2[[#This Row],[Nó]]=A29,Carro2[[#This Row],[Nó]]=A30),"",I28&amp;"|"&amp;F28)</f>
        <v>2|4</v>
      </c>
      <c r="M28" s="11">
        <f t="shared" si="6"/>
        <v>25</v>
      </c>
      <c r="N28" s="12" t="str">
        <f t="shared" ref="N28:AJ28" si="27">IF(O$2=0,IFERROR(INDEX($E:$E,MATCH($M28&amp;"|"&amp;N$3,$K:$K,0)),""),IFERROR(INDEX($J:$J,MATCH($M28&amp;"|"&amp;N$3,$K:$K,0)),""))</f>
        <v/>
      </c>
      <c r="O28" s="12" t="str">
        <f t="shared" si="27"/>
        <v/>
      </c>
      <c r="P28" s="12" t="str">
        <f t="shared" si="27"/>
        <v/>
      </c>
      <c r="Q28" s="12" t="str">
        <f t="shared" si="27"/>
        <v/>
      </c>
      <c r="R28" s="12" t="str">
        <f t="shared" si="27"/>
        <v/>
      </c>
      <c r="S28" s="12" t="str">
        <f t="shared" si="27"/>
        <v/>
      </c>
      <c r="T28" s="12" t="str">
        <f t="shared" si="27"/>
        <v/>
      </c>
      <c r="U28" s="12" t="str">
        <f t="shared" si="27"/>
        <v/>
      </c>
      <c r="V28" s="12" t="str">
        <f t="shared" si="27"/>
        <v/>
      </c>
      <c r="W28" s="12" t="str">
        <f t="shared" si="27"/>
        <v/>
      </c>
      <c r="X28" s="12" t="str">
        <f t="shared" si="27"/>
        <v/>
      </c>
      <c r="Y28" s="12" t="str">
        <f t="shared" si="27"/>
        <v/>
      </c>
      <c r="Z28" s="12" t="str">
        <f t="shared" si="27"/>
        <v/>
      </c>
      <c r="AA28" s="12" t="str">
        <f t="shared" si="27"/>
        <v/>
      </c>
      <c r="AB28" s="12" t="str">
        <f t="shared" si="27"/>
        <v/>
      </c>
      <c r="AC28" s="12" t="str">
        <f t="shared" si="27"/>
        <v/>
      </c>
      <c r="AD28" s="12" t="str">
        <f t="shared" si="27"/>
        <v/>
      </c>
      <c r="AE28" s="12" t="str">
        <f t="shared" si="27"/>
        <v/>
      </c>
      <c r="AF28" s="12" t="str">
        <f t="shared" si="27"/>
        <v/>
      </c>
      <c r="AG28" s="12" t="str">
        <f t="shared" si="27"/>
        <v/>
      </c>
      <c r="AH28" s="12" t="str">
        <f t="shared" si="27"/>
        <v/>
      </c>
      <c r="AI28" s="12" t="str">
        <f t="shared" si="27"/>
        <v/>
      </c>
      <c r="AJ28" s="12" t="str">
        <f t="shared" si="27"/>
        <v/>
      </c>
    </row>
    <row r="29" spans="1:36" x14ac:dyDescent="0.25">
      <c r="A29" s="20" t="s">
        <v>29</v>
      </c>
      <c r="B29" s="7">
        <v>0.43125000000000002</v>
      </c>
      <c r="C29" s="7">
        <v>0.45069444444444445</v>
      </c>
      <c r="D29" s="20" t="s">
        <v>50</v>
      </c>
      <c r="E29" s="20" t="str">
        <f>+TEXT(Carro2[[#This Row],[Column1]],"hh:mm")&amp;" | " &amp;TEXT(Carro2[[#This Row],[Hora Fim]],"hh:mm")</f>
        <v>10:21 | 10:49</v>
      </c>
      <c r="F29" s="20">
        <f>INDEX($N$3:$AJ$3,MATCH(Carro2[[#This Row],[Nó]],$N$1:$AJ$1,0))</f>
        <v>5</v>
      </c>
      <c r="G29" s="7">
        <f>+IF(AND(Carro2[[#This Row],[Nó]]=A28,Carro2[[#This Row],[Nó]]=A30),G28,Carro2[[#This Row],[Hora Início]])</f>
        <v>0.43125000000000002</v>
      </c>
      <c r="H29" s="20">
        <f t="shared" si="0"/>
        <v>1</v>
      </c>
      <c r="I29" s="20" cm="1">
        <f t="array" ref="I29">IFERROR(_xlfn.IFS(H29=H28,I28,I28="Ramo",1),I28+1)</f>
        <v>2</v>
      </c>
      <c r="J29" s="20">
        <f t="shared" si="1"/>
        <v>0</v>
      </c>
      <c r="K29" s="20" t="str">
        <f>IF(AND(Carro2[[#This Row],[Nó]]=A30,Carro2[[#This Row],[Nó]]=A31),"",I29&amp;"|"&amp;F29)</f>
        <v>2|5</v>
      </c>
      <c r="M29" s="11">
        <f t="shared" si="6"/>
        <v>26</v>
      </c>
      <c r="N29" s="12" t="str">
        <f t="shared" ref="N29:AJ29" si="28">IF(O$2=0,IFERROR(INDEX($E:$E,MATCH($M29&amp;"|"&amp;N$3,$K:$K,0)),""),IFERROR(INDEX($J:$J,MATCH($M29&amp;"|"&amp;N$3,$K:$K,0)),""))</f>
        <v/>
      </c>
      <c r="O29" s="12" t="str">
        <f t="shared" si="28"/>
        <v/>
      </c>
      <c r="P29" s="12" t="str">
        <f t="shared" si="28"/>
        <v/>
      </c>
      <c r="Q29" s="12" t="str">
        <f t="shared" si="28"/>
        <v/>
      </c>
      <c r="R29" s="12" t="str">
        <f t="shared" si="28"/>
        <v/>
      </c>
      <c r="S29" s="12" t="str">
        <f t="shared" si="28"/>
        <v/>
      </c>
      <c r="T29" s="12" t="str">
        <f t="shared" si="28"/>
        <v/>
      </c>
      <c r="U29" s="12" t="str">
        <f t="shared" si="28"/>
        <v/>
      </c>
      <c r="V29" s="12" t="str">
        <f t="shared" si="28"/>
        <v/>
      </c>
      <c r="W29" s="12" t="str">
        <f t="shared" si="28"/>
        <v/>
      </c>
      <c r="X29" s="12" t="str">
        <f t="shared" si="28"/>
        <v/>
      </c>
      <c r="Y29" s="12" t="str">
        <f t="shared" si="28"/>
        <v/>
      </c>
      <c r="Z29" s="12" t="str">
        <f t="shared" si="28"/>
        <v/>
      </c>
      <c r="AA29" s="12" t="str">
        <f t="shared" si="28"/>
        <v/>
      </c>
      <c r="AB29" s="12" t="str">
        <f t="shared" si="28"/>
        <v/>
      </c>
      <c r="AC29" s="12" t="str">
        <f t="shared" si="28"/>
        <v/>
      </c>
      <c r="AD29" s="12" t="str">
        <f t="shared" si="28"/>
        <v/>
      </c>
      <c r="AE29" s="12" t="str">
        <f t="shared" si="28"/>
        <v/>
      </c>
      <c r="AF29" s="12" t="str">
        <f t="shared" si="28"/>
        <v/>
      </c>
      <c r="AG29" s="12" t="str">
        <f t="shared" si="28"/>
        <v/>
      </c>
      <c r="AH29" s="12" t="str">
        <f t="shared" si="28"/>
        <v/>
      </c>
      <c r="AI29" s="12" t="str">
        <f t="shared" si="28"/>
        <v/>
      </c>
      <c r="AJ29" s="12" t="str">
        <f t="shared" si="28"/>
        <v/>
      </c>
    </row>
    <row r="30" spans="1:36" x14ac:dyDescent="0.25">
      <c r="A30" s="20" t="s">
        <v>29</v>
      </c>
      <c r="B30" s="7">
        <v>0.45069444444444445</v>
      </c>
      <c r="C30" s="7">
        <v>0.45069444444444445</v>
      </c>
      <c r="D30" s="20" t="s">
        <v>51</v>
      </c>
      <c r="E30" s="20" t="str">
        <f>+TEXT(Carro2[[#This Row],[Column1]],"hh:mm")&amp;" | " &amp;TEXT(Carro2[[#This Row],[Hora Fim]],"hh:mm")</f>
        <v>10:49 | 10:49</v>
      </c>
      <c r="F30" s="20">
        <f>INDEX($N$3:$AJ$3,MATCH(Carro2[[#This Row],[Nó]],$N$1:$AJ$1,0))</f>
        <v>5</v>
      </c>
      <c r="G30" s="7">
        <f>+IF(AND(Carro2[[#This Row],[Nó]]=A29,Carro2[[#This Row],[Nó]]=A31),G29,Carro2[[#This Row],[Hora Início]])</f>
        <v>0.45069444444444445</v>
      </c>
      <c r="H30" s="20">
        <f t="shared" si="0"/>
        <v>1</v>
      </c>
      <c r="I30" s="20" cm="1">
        <f t="array" ref="I30">IFERROR(_xlfn.IFS(H30=H29,I29,I29="Ramo",1),I29+1)</f>
        <v>2</v>
      </c>
      <c r="J30" s="20">
        <f t="shared" si="1"/>
        <v>0</v>
      </c>
      <c r="K30" s="20" t="str">
        <f>IF(AND(Carro2[[#This Row],[Nó]]=A31,Carro2[[#This Row],[Nó]]=A32),"",I30&amp;"|"&amp;F30)</f>
        <v>2|5</v>
      </c>
      <c r="M30" s="11">
        <f t="shared" si="6"/>
        <v>27</v>
      </c>
      <c r="N30" s="12" t="str">
        <f t="shared" ref="N30:AJ30" si="29">IF(O$2=0,IFERROR(INDEX($E:$E,MATCH($M30&amp;"|"&amp;N$3,$K:$K,0)),""),IFERROR(INDEX($J:$J,MATCH($M30&amp;"|"&amp;N$3,$K:$K,0)),""))</f>
        <v/>
      </c>
      <c r="O30" s="12" t="str">
        <f t="shared" si="29"/>
        <v/>
      </c>
      <c r="P30" s="12" t="str">
        <f t="shared" si="29"/>
        <v/>
      </c>
      <c r="Q30" s="12" t="str">
        <f t="shared" si="29"/>
        <v/>
      </c>
      <c r="R30" s="12" t="str">
        <f t="shared" si="29"/>
        <v/>
      </c>
      <c r="S30" s="12" t="str">
        <f t="shared" si="29"/>
        <v/>
      </c>
      <c r="T30" s="12" t="str">
        <f t="shared" si="29"/>
        <v/>
      </c>
      <c r="U30" s="12" t="str">
        <f t="shared" si="29"/>
        <v/>
      </c>
      <c r="V30" s="12" t="str">
        <f t="shared" si="29"/>
        <v/>
      </c>
      <c r="W30" s="12" t="str">
        <f t="shared" si="29"/>
        <v/>
      </c>
      <c r="X30" s="12" t="str">
        <f t="shared" si="29"/>
        <v/>
      </c>
      <c r="Y30" s="12" t="str">
        <f t="shared" si="29"/>
        <v/>
      </c>
      <c r="Z30" s="12" t="str">
        <f t="shared" si="29"/>
        <v/>
      </c>
      <c r="AA30" s="12" t="str">
        <f t="shared" si="29"/>
        <v/>
      </c>
      <c r="AB30" s="12" t="str">
        <f t="shared" si="29"/>
        <v/>
      </c>
      <c r="AC30" s="12" t="str">
        <f t="shared" si="29"/>
        <v/>
      </c>
      <c r="AD30" s="12" t="str">
        <f t="shared" si="29"/>
        <v/>
      </c>
      <c r="AE30" s="12" t="str">
        <f t="shared" si="29"/>
        <v/>
      </c>
      <c r="AF30" s="12" t="str">
        <f t="shared" si="29"/>
        <v/>
      </c>
      <c r="AG30" s="12" t="str">
        <f t="shared" si="29"/>
        <v/>
      </c>
      <c r="AH30" s="12" t="str">
        <f t="shared" si="29"/>
        <v/>
      </c>
      <c r="AI30" s="12" t="str">
        <f t="shared" si="29"/>
        <v/>
      </c>
      <c r="AJ30" s="12" t="str">
        <f t="shared" si="29"/>
        <v/>
      </c>
    </row>
    <row r="31" spans="1:36" x14ac:dyDescent="0.25">
      <c r="A31" s="20" t="s">
        <v>31</v>
      </c>
      <c r="B31" s="7">
        <v>0.45347222222222222</v>
      </c>
      <c r="C31" s="7">
        <v>0.4597222222222222</v>
      </c>
      <c r="D31" s="20" t="s">
        <v>50</v>
      </c>
      <c r="E31" s="20" t="str">
        <f>+TEXT(Carro2[[#This Row],[Column1]],"hh:mm")&amp;" | " &amp;TEXT(Carro2[[#This Row],[Hora Fim]],"hh:mm")</f>
        <v>10:53 | 11:02</v>
      </c>
      <c r="F31" s="20">
        <f>INDEX($N$3:$AJ$3,MATCH(Carro2[[#This Row],[Nó]],$N$1:$AJ$1,0))</f>
        <v>6</v>
      </c>
      <c r="G31" s="7">
        <f>+IF(AND(Carro2[[#This Row],[Nó]]=A30,Carro2[[#This Row],[Nó]]=A32),G30,Carro2[[#This Row],[Hora Início]])</f>
        <v>0.45347222222222222</v>
      </c>
      <c r="H31" s="20">
        <f t="shared" si="0"/>
        <v>1</v>
      </c>
      <c r="I31" s="20" cm="1">
        <f t="array" ref="I31">IFERROR(_xlfn.IFS(H31=H30,I30,I30="Ramo",1),I30+1)</f>
        <v>2</v>
      </c>
      <c r="J31" s="20">
        <f t="shared" si="1"/>
        <v>0</v>
      </c>
      <c r="K31" s="20" t="str">
        <f>IF(AND(Carro2[[#This Row],[Nó]]=A32,Carro2[[#This Row],[Nó]]=A33),"",I31&amp;"|"&amp;F31)</f>
        <v>2|6</v>
      </c>
      <c r="M31" s="11">
        <f t="shared" si="6"/>
        <v>28</v>
      </c>
      <c r="N31" s="12" t="str">
        <f t="shared" ref="N31:AJ31" si="30">IF(O$2=0,IFERROR(INDEX($E:$E,MATCH($M31&amp;"|"&amp;N$3,$K:$K,0)),""),IFERROR(INDEX($J:$J,MATCH($M31&amp;"|"&amp;N$3,$K:$K,0)),""))</f>
        <v/>
      </c>
      <c r="O31" s="12" t="str">
        <f t="shared" si="30"/>
        <v/>
      </c>
      <c r="P31" s="12" t="str">
        <f t="shared" si="30"/>
        <v/>
      </c>
      <c r="Q31" s="12" t="str">
        <f t="shared" si="30"/>
        <v/>
      </c>
      <c r="R31" s="12" t="str">
        <f t="shared" si="30"/>
        <v/>
      </c>
      <c r="S31" s="12" t="str">
        <f t="shared" si="30"/>
        <v/>
      </c>
      <c r="T31" s="12" t="str">
        <f t="shared" si="30"/>
        <v/>
      </c>
      <c r="U31" s="12" t="str">
        <f t="shared" si="30"/>
        <v/>
      </c>
      <c r="V31" s="12" t="str">
        <f t="shared" si="30"/>
        <v/>
      </c>
      <c r="W31" s="12" t="str">
        <f t="shared" si="30"/>
        <v/>
      </c>
      <c r="X31" s="12" t="str">
        <f t="shared" si="30"/>
        <v/>
      </c>
      <c r="Y31" s="12" t="str">
        <f t="shared" si="30"/>
        <v/>
      </c>
      <c r="Z31" s="12" t="str">
        <f t="shared" si="30"/>
        <v/>
      </c>
      <c r="AA31" s="12" t="str">
        <f t="shared" si="30"/>
        <v/>
      </c>
      <c r="AB31" s="12" t="str">
        <f t="shared" si="30"/>
        <v/>
      </c>
      <c r="AC31" s="12" t="str">
        <f t="shared" si="30"/>
        <v/>
      </c>
      <c r="AD31" s="12" t="str">
        <f t="shared" si="30"/>
        <v/>
      </c>
      <c r="AE31" s="12" t="str">
        <f t="shared" si="30"/>
        <v/>
      </c>
      <c r="AF31" s="12" t="str">
        <f t="shared" si="30"/>
        <v/>
      </c>
      <c r="AG31" s="12" t="str">
        <f t="shared" si="30"/>
        <v/>
      </c>
      <c r="AH31" s="12" t="str">
        <f t="shared" si="30"/>
        <v/>
      </c>
      <c r="AI31" s="12" t="str">
        <f t="shared" si="30"/>
        <v/>
      </c>
      <c r="AJ31" s="12" t="str">
        <f t="shared" si="30"/>
        <v/>
      </c>
    </row>
    <row r="32" spans="1:36" x14ac:dyDescent="0.25">
      <c r="A32" s="20" t="s">
        <v>31</v>
      </c>
      <c r="B32" s="7">
        <v>0.4597222222222222</v>
      </c>
      <c r="C32" s="7">
        <v>0.4597222222222222</v>
      </c>
      <c r="D32" s="20" t="s">
        <v>51</v>
      </c>
      <c r="E32" s="20" t="str">
        <f>+TEXT(Carro2[[#This Row],[Column1]],"hh:mm")&amp;" | " &amp;TEXT(Carro2[[#This Row],[Hora Fim]],"hh:mm")</f>
        <v>11:02 | 11:02</v>
      </c>
      <c r="F32" s="20">
        <f>INDEX($N$3:$AJ$3,MATCH(Carro2[[#This Row],[Nó]],$N$1:$AJ$1,0))</f>
        <v>6</v>
      </c>
      <c r="G32" s="7">
        <f>+IF(AND(Carro2[[#This Row],[Nó]]=A31,Carro2[[#This Row],[Nó]]=A33),G31,Carro2[[#This Row],[Hora Início]])</f>
        <v>0.4597222222222222</v>
      </c>
      <c r="H32" s="20">
        <f t="shared" si="0"/>
        <v>1</v>
      </c>
      <c r="I32" s="20" cm="1">
        <f t="array" ref="I32">IFERROR(_xlfn.IFS(H32=H31,I31,I31="Ramo",1),I31+1)</f>
        <v>2</v>
      </c>
      <c r="J32" s="20">
        <f t="shared" si="1"/>
        <v>0</v>
      </c>
      <c r="K32" s="20" t="str">
        <f>IF(AND(Carro2[[#This Row],[Nó]]=A33,Carro2[[#This Row],[Nó]]=A34),"",I32&amp;"|"&amp;F32)</f>
        <v>2|6</v>
      </c>
      <c r="M32" s="11">
        <f t="shared" si="6"/>
        <v>29</v>
      </c>
      <c r="N32" s="12" t="str">
        <f t="shared" ref="N32:AJ32" si="31">IF(O$2=0,IFERROR(INDEX($E:$E,MATCH($M32&amp;"|"&amp;N$3,$K:$K,0)),""),IFERROR(INDEX($J:$J,MATCH($M32&amp;"|"&amp;N$3,$K:$K,0)),""))</f>
        <v/>
      </c>
      <c r="O32" s="12" t="str">
        <f t="shared" si="31"/>
        <v/>
      </c>
      <c r="P32" s="12" t="str">
        <f t="shared" si="31"/>
        <v/>
      </c>
      <c r="Q32" s="12" t="str">
        <f t="shared" si="31"/>
        <v/>
      </c>
      <c r="R32" s="12" t="str">
        <f t="shared" si="31"/>
        <v/>
      </c>
      <c r="S32" s="12" t="str">
        <f t="shared" si="31"/>
        <v/>
      </c>
      <c r="T32" s="12" t="str">
        <f t="shared" si="31"/>
        <v/>
      </c>
      <c r="U32" s="12" t="str">
        <f t="shared" si="31"/>
        <v/>
      </c>
      <c r="V32" s="12" t="str">
        <f t="shared" si="31"/>
        <v/>
      </c>
      <c r="W32" s="12" t="str">
        <f t="shared" si="31"/>
        <v/>
      </c>
      <c r="X32" s="12" t="str">
        <f t="shared" si="31"/>
        <v/>
      </c>
      <c r="Y32" s="12" t="str">
        <f t="shared" si="31"/>
        <v/>
      </c>
      <c r="Z32" s="12" t="str">
        <f t="shared" si="31"/>
        <v/>
      </c>
      <c r="AA32" s="12" t="str">
        <f t="shared" si="31"/>
        <v/>
      </c>
      <c r="AB32" s="12" t="str">
        <f t="shared" si="31"/>
        <v/>
      </c>
      <c r="AC32" s="12" t="str">
        <f t="shared" si="31"/>
        <v/>
      </c>
      <c r="AD32" s="12" t="str">
        <f t="shared" si="31"/>
        <v/>
      </c>
      <c r="AE32" s="12" t="str">
        <f t="shared" si="31"/>
        <v/>
      </c>
      <c r="AF32" s="12" t="str">
        <f t="shared" si="31"/>
        <v/>
      </c>
      <c r="AG32" s="12" t="str">
        <f t="shared" si="31"/>
        <v/>
      </c>
      <c r="AH32" s="12" t="str">
        <f t="shared" si="31"/>
        <v/>
      </c>
      <c r="AI32" s="12" t="str">
        <f t="shared" si="31"/>
        <v/>
      </c>
      <c r="AJ32" s="12" t="str">
        <f t="shared" si="31"/>
        <v/>
      </c>
    </row>
    <row r="33" spans="1:36" x14ac:dyDescent="0.25">
      <c r="A33" s="20" t="s">
        <v>33</v>
      </c>
      <c r="B33" s="7">
        <v>0.46250000000000002</v>
      </c>
      <c r="C33" s="7">
        <v>0.46250000000000002</v>
      </c>
      <c r="D33" s="20" t="s">
        <v>51</v>
      </c>
      <c r="E33" s="20" t="str">
        <f>+TEXT(Carro2[[#This Row],[Column1]],"hh:mm")&amp;" | " &amp;TEXT(Carro2[[#This Row],[Hora Fim]],"hh:mm")</f>
        <v>11:06 | 11:06</v>
      </c>
      <c r="F33" s="20">
        <f>INDEX($N$3:$AJ$3,MATCH(Carro2[[#This Row],[Nó]],$N$1:$AJ$1,0))</f>
        <v>7</v>
      </c>
      <c r="G33" s="7">
        <f>+IF(AND(Carro2[[#This Row],[Nó]]=A32,Carro2[[#This Row],[Nó]]=A34),G32,Carro2[[#This Row],[Hora Início]])</f>
        <v>0.46250000000000002</v>
      </c>
      <c r="H33" s="20">
        <f t="shared" si="0"/>
        <v>1</v>
      </c>
      <c r="I33" s="20" cm="1">
        <f t="array" ref="I33">IFERROR(_xlfn.IFS(H33=H32,I32,I32="Ramo",1),I32+1)</f>
        <v>2</v>
      </c>
      <c r="J33" s="20">
        <f t="shared" si="1"/>
        <v>0</v>
      </c>
      <c r="K33" s="20" t="str">
        <f>IF(AND(Carro2[[#This Row],[Nó]]=A34,Carro2[[#This Row],[Nó]]=A35),"",I33&amp;"|"&amp;F33)</f>
        <v>2|7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</row>
    <row r="34" spans="1:36" x14ac:dyDescent="0.25">
      <c r="A34" s="20" t="s">
        <v>33</v>
      </c>
      <c r="B34" s="7">
        <v>0.46388888888888891</v>
      </c>
      <c r="C34" s="7">
        <v>0.46388888888888891</v>
      </c>
      <c r="D34" s="20" t="s">
        <v>51</v>
      </c>
      <c r="E34" s="20" t="str">
        <f>+TEXT(Carro2[[#This Row],[Column1]],"hh:mm")&amp;" | " &amp;TEXT(Carro2[[#This Row],[Hora Fim]],"hh:mm")</f>
        <v>11:08 | 11:08</v>
      </c>
      <c r="F34" s="20">
        <f>INDEX($N$3:$AJ$3,MATCH(Carro2[[#This Row],[Nó]],$N$1:$AJ$1,0))</f>
        <v>7</v>
      </c>
      <c r="G34" s="7">
        <f>+IF(AND(Carro2[[#This Row],[Nó]]=A33,Carro2[[#This Row],[Nó]]=A35),G33,Carro2[[#This Row],[Hora Início]])</f>
        <v>0.46388888888888891</v>
      </c>
      <c r="H34" s="20">
        <f t="shared" ref="H34:H56" si="32">IF(F34=F33,IF(F34&lt;&gt;F35,IF(F35&gt;=F33,1,2),H33),IF(F34&gt;=F33,1,2))</f>
        <v>2</v>
      </c>
      <c r="I34" s="20" cm="1">
        <f t="array" ref="I34">IFERROR(_xlfn.IFS(H34=H33,I33,I33="Ramo",1),I33+1)</f>
        <v>3</v>
      </c>
      <c r="J34" s="20">
        <f t="shared" ref="J34:J56" si="33">IF(I34&lt;&gt;I33,1,0)</f>
        <v>1</v>
      </c>
      <c r="K34" s="20" t="str">
        <f>IF(AND(Carro2[[#This Row],[Nó]]=A35,Carro2[[#This Row],[Nó]]=A36),"",I34&amp;"|"&amp;F34)</f>
        <v>3|7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</row>
    <row r="35" spans="1:36" x14ac:dyDescent="0.25">
      <c r="A35" s="20" t="s">
        <v>31</v>
      </c>
      <c r="B35" s="7">
        <v>0.46666666666666667</v>
      </c>
      <c r="C35" s="7">
        <v>0.46666666666666667</v>
      </c>
      <c r="D35" s="20" t="s">
        <v>51</v>
      </c>
      <c r="E35" s="20" t="str">
        <f>+TEXT(Carro2[[#This Row],[Column1]],"hh:mm")&amp;" | " &amp;TEXT(Carro2[[#This Row],[Hora Fim]],"hh:mm")</f>
        <v>11:12 | 11:12</v>
      </c>
      <c r="F35" s="20">
        <f>INDEX($N$3:$AJ$3,MATCH(Carro2[[#This Row],[Nó]],$N$1:$AJ$1,0))</f>
        <v>6</v>
      </c>
      <c r="G35" s="7">
        <f>+IF(AND(Carro2[[#This Row],[Nó]]=A34,Carro2[[#This Row],[Nó]]=A36),G34,Carro2[[#This Row],[Hora Início]])</f>
        <v>0.46666666666666667</v>
      </c>
      <c r="H35" s="20">
        <f t="shared" si="32"/>
        <v>2</v>
      </c>
      <c r="I35" s="20" cm="1">
        <f t="array" ref="I35">IFERROR(_xlfn.IFS(H35=H34,I34,I34="Ramo",1),I34+1)</f>
        <v>3</v>
      </c>
      <c r="J35" s="20">
        <f t="shared" si="33"/>
        <v>0</v>
      </c>
      <c r="K35" s="20" t="str">
        <f>IF(AND(Carro2[[#This Row],[Nó]]=A36,Carro2[[#This Row],[Nó]]=A37),"",I35&amp;"|"&amp;F35)</f>
        <v>3|6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</row>
    <row r="36" spans="1:36" x14ac:dyDescent="0.25">
      <c r="A36" s="20" t="s">
        <v>29</v>
      </c>
      <c r="B36" s="7">
        <v>0.46944444444444444</v>
      </c>
      <c r="C36" s="7">
        <v>0.46944444444444444</v>
      </c>
      <c r="D36" s="20" t="s">
        <v>51</v>
      </c>
      <c r="E36" s="20" t="str">
        <f>+TEXT(Carro2[[#This Row],[Column1]],"hh:mm")&amp;" | " &amp;TEXT(Carro2[[#This Row],[Hora Fim]],"hh:mm")</f>
        <v>11:16 | 11:16</v>
      </c>
      <c r="F36" s="20">
        <f>INDEX($N$3:$AJ$3,MATCH(Carro2[[#This Row],[Nó]],$N$1:$AJ$1,0))</f>
        <v>5</v>
      </c>
      <c r="G36" s="7">
        <f>+IF(AND(Carro2[[#This Row],[Nó]]=A35,Carro2[[#This Row],[Nó]]=A37),G35,Carro2[[#This Row],[Hora Início]])</f>
        <v>0.46944444444444444</v>
      </c>
      <c r="H36" s="20">
        <f t="shared" si="32"/>
        <v>2</v>
      </c>
      <c r="I36" s="20" cm="1">
        <f t="array" ref="I36">IFERROR(_xlfn.IFS(H36=H35,I35,I35="Ramo",1),I35+1)</f>
        <v>3</v>
      </c>
      <c r="J36" s="20">
        <f t="shared" si="33"/>
        <v>0</v>
      </c>
      <c r="K36" s="20" t="str">
        <f>IF(AND(Carro2[[#This Row],[Nó]]=A37,Carro2[[#This Row],[Nó]]=A38),"",I36&amp;"|"&amp;F36)</f>
        <v>3|5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x14ac:dyDescent="0.25">
      <c r="A37" s="20" t="s">
        <v>27</v>
      </c>
      <c r="B37" s="7">
        <v>0.47083333333333333</v>
      </c>
      <c r="C37" s="7">
        <v>0.47083333333333333</v>
      </c>
      <c r="D37" s="20" t="s">
        <v>51</v>
      </c>
      <c r="E37" s="20" t="str">
        <f>+TEXT(Carro2[[#This Row],[Column1]],"hh:mm")&amp;" | " &amp;TEXT(Carro2[[#This Row],[Hora Fim]],"hh:mm")</f>
        <v>11:18 | 11:18</v>
      </c>
      <c r="F37" s="20">
        <f>INDEX($N$3:$AJ$3,MATCH(Carro2[[#This Row],[Nó]],$N$1:$AJ$1,0))</f>
        <v>4</v>
      </c>
      <c r="G37" s="7">
        <f>+IF(AND(Carro2[[#This Row],[Nó]]=A36,Carro2[[#This Row],[Nó]]=A38),G36,Carro2[[#This Row],[Hora Início]])</f>
        <v>0.47083333333333333</v>
      </c>
      <c r="H37" s="20">
        <f t="shared" si="32"/>
        <v>2</v>
      </c>
      <c r="I37" s="20" cm="1">
        <f t="array" ref="I37">IFERROR(_xlfn.IFS(H37=H36,I36,I36="Ramo",1),I36+1)</f>
        <v>3</v>
      </c>
      <c r="J37" s="20">
        <f t="shared" si="33"/>
        <v>0</v>
      </c>
      <c r="K37" s="20" t="str">
        <f>IF(AND(Carro2[[#This Row],[Nó]]=A38,Carro2[[#This Row],[Nó]]=A39),"",I37&amp;"|"&amp;F37)</f>
        <v>3|4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25">
      <c r="A38" s="20" t="s">
        <v>26</v>
      </c>
      <c r="B38" s="7">
        <v>0.47222222222222221</v>
      </c>
      <c r="C38" s="7">
        <v>0.47222222222222221</v>
      </c>
      <c r="D38" s="20" t="s">
        <v>51</v>
      </c>
      <c r="E38" s="20" t="str">
        <f>+TEXT(Carro2[[#This Row],[Column1]],"hh:mm")&amp;" | " &amp;TEXT(Carro2[[#This Row],[Hora Fim]],"hh:mm")</f>
        <v>11:20 | 11:20</v>
      </c>
      <c r="F38" s="20">
        <f>INDEX($N$3:$AJ$3,MATCH(Carro2[[#This Row],[Nó]],$N$1:$AJ$1,0))</f>
        <v>3</v>
      </c>
      <c r="G38" s="7">
        <f>+IF(AND(Carro2[[#This Row],[Nó]]=A37,Carro2[[#This Row],[Nó]]=A39),G37,Carro2[[#This Row],[Hora Início]])</f>
        <v>0.47222222222222221</v>
      </c>
      <c r="H38" s="20">
        <f t="shared" si="32"/>
        <v>2</v>
      </c>
      <c r="I38" s="20" cm="1">
        <f t="array" ref="I38">IFERROR(_xlfn.IFS(H38=H37,I37,I37="Ramo",1),I37+1)</f>
        <v>3</v>
      </c>
      <c r="J38" s="20">
        <f t="shared" si="33"/>
        <v>0</v>
      </c>
      <c r="K38" s="20" t="str">
        <f>IF(AND(Carro2[[#This Row],[Nó]]=A39,Carro2[[#This Row],[Nó]]=A40),"",I38&amp;"|"&amp;F38)</f>
        <v>3|3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</row>
    <row r="39" spans="1:36" x14ac:dyDescent="0.25">
      <c r="A39" s="20" t="s">
        <v>24</v>
      </c>
      <c r="B39" s="7">
        <v>0.47361111111111109</v>
      </c>
      <c r="C39" s="7">
        <v>0.47361111111111109</v>
      </c>
      <c r="D39" s="20" t="s">
        <v>51</v>
      </c>
      <c r="E39" s="20" t="str">
        <f>+TEXT(Carro2[[#This Row],[Column1]],"hh:mm")&amp;" | " &amp;TEXT(Carro2[[#This Row],[Hora Fim]],"hh:mm")</f>
        <v>11:22 | 11:22</v>
      </c>
      <c r="F39" s="20">
        <f>INDEX($N$3:$AJ$3,MATCH(Carro2[[#This Row],[Nó]],$N$1:$AJ$1,0))</f>
        <v>2</v>
      </c>
      <c r="G39" s="7">
        <f>+IF(AND(Carro2[[#This Row],[Nó]]=A38,Carro2[[#This Row],[Nó]]=A40),G38,Carro2[[#This Row],[Hora Início]])</f>
        <v>0.47361111111111109</v>
      </c>
      <c r="H39" s="20">
        <f t="shared" si="32"/>
        <v>2</v>
      </c>
      <c r="I39" s="20" cm="1">
        <f t="array" ref="I39">IFERROR(_xlfn.IFS(H39=H38,I38,I38="Ramo",1),I38+1)</f>
        <v>3</v>
      </c>
      <c r="J39" s="20">
        <f t="shared" si="33"/>
        <v>0</v>
      </c>
      <c r="K39" s="20" t="str">
        <f>IF(AND(Carro2[[#This Row],[Nó]]=A40,Carro2[[#This Row],[Nó]]=A41),"",I39&amp;"|"&amp;F39)</f>
        <v>3|2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</row>
    <row r="40" spans="1:36" x14ac:dyDescent="0.25">
      <c r="A40" s="20" t="s">
        <v>22</v>
      </c>
      <c r="B40" s="7">
        <v>0.47499999999999998</v>
      </c>
      <c r="C40" s="7">
        <v>0.47499999999999998</v>
      </c>
      <c r="D40" s="20" t="s">
        <v>51</v>
      </c>
      <c r="E40" s="20" t="str">
        <f>+TEXT(Carro2[[#This Row],[Column1]],"hh:mm")&amp;" | " &amp;TEXT(Carro2[[#This Row],[Hora Fim]],"hh:mm")</f>
        <v>11:24 | 11:24</v>
      </c>
      <c r="F40" s="20">
        <f>INDEX($N$3:$AJ$3,MATCH(Carro2[[#This Row],[Nó]],$N$1:$AJ$1,0))</f>
        <v>1</v>
      </c>
      <c r="G40" s="7">
        <f>+IF(AND(Carro2[[#This Row],[Nó]]=A39,Carro2[[#This Row],[Nó]]=A41),G39,Carro2[[#This Row],[Hora Início]])</f>
        <v>0.47499999999999998</v>
      </c>
      <c r="H40" s="20">
        <f t="shared" si="32"/>
        <v>2</v>
      </c>
      <c r="I40" s="20" cm="1">
        <f t="array" ref="I40">IFERROR(_xlfn.IFS(H40=H39,I39,I39="Ramo",1),I39+1)</f>
        <v>3</v>
      </c>
      <c r="J40" s="20">
        <f t="shared" si="33"/>
        <v>0</v>
      </c>
      <c r="K40" s="20" t="str">
        <f>IF(AND(Carro2[[#This Row],[Nó]]=A41,Carro2[[#This Row],[Nó]]=A42),"",I40&amp;"|"&amp;F40)</f>
        <v>3|1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</row>
    <row r="41" spans="1:36" x14ac:dyDescent="0.25">
      <c r="A41" s="20" t="s">
        <v>20</v>
      </c>
      <c r="B41" s="7">
        <v>0.47638888888888886</v>
      </c>
      <c r="C41" s="7">
        <v>0.47638888888888886</v>
      </c>
      <c r="D41" s="20" t="s">
        <v>51</v>
      </c>
      <c r="E41" s="20" t="str">
        <f>+TEXT(Carro2[[#This Row],[Column1]],"hh:mm")&amp;" | " &amp;TEXT(Carro2[[#This Row],[Hora Fim]],"hh:mm")</f>
        <v>11:26 | 11:26</v>
      </c>
      <c r="F41" s="20">
        <f>INDEX($N$3:$AJ$3,MATCH(Carro2[[#This Row],[Nó]],$N$1:$AJ$1,0))</f>
        <v>0</v>
      </c>
      <c r="G41" s="7">
        <f>+IF(AND(Carro2[[#This Row],[Nó]]=A40,Carro2[[#This Row],[Nó]]=A42),G40,Carro2[[#This Row],[Hora Início]])</f>
        <v>0.47638888888888886</v>
      </c>
      <c r="H41" s="20">
        <f t="shared" si="32"/>
        <v>2</v>
      </c>
      <c r="I41" s="20" cm="1">
        <f t="array" ref="I41">IFERROR(_xlfn.IFS(H41=H40,I40,I40="Ramo",1),I40+1)</f>
        <v>3</v>
      </c>
      <c r="J41" s="20">
        <f t="shared" si="33"/>
        <v>0</v>
      </c>
      <c r="K41" s="20" t="str">
        <f>IF(AND(Carro2[[#This Row],[Nó]]=A42,Carro2[[#This Row],[Nó]]=A43),"",I41&amp;"|"&amp;F41)</f>
        <v>3|0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1:36" x14ac:dyDescent="0.25">
      <c r="A42" s="20" t="s">
        <v>20</v>
      </c>
      <c r="B42" s="7">
        <v>0.4777777777777778</v>
      </c>
      <c r="C42" s="7">
        <v>0.4777777777777778</v>
      </c>
      <c r="D42" s="20" t="s">
        <v>51</v>
      </c>
      <c r="E42" s="20" t="str">
        <f>+TEXT(Carro2[[#This Row],[Column1]],"hh:mm")&amp;" | " &amp;TEXT(Carro2[[#This Row],[Hora Fim]],"hh:mm")</f>
        <v>11:28 | 11:28</v>
      </c>
      <c r="F42" s="20">
        <f>INDEX($N$3:$AJ$3,MATCH(Carro2[[#This Row],[Nó]],$N$1:$AJ$1,0))</f>
        <v>0</v>
      </c>
      <c r="G42" s="7">
        <f>+IF(AND(Carro2[[#This Row],[Nó]]=A41,Carro2[[#This Row],[Nó]]=A43),G41,Carro2[[#This Row],[Hora Início]])</f>
        <v>0.4777777777777778</v>
      </c>
      <c r="H42" s="20">
        <f t="shared" si="32"/>
        <v>1</v>
      </c>
      <c r="I42" s="20" cm="1">
        <f t="array" ref="I42">IFERROR(_xlfn.IFS(H42=H41,I41,I41="Ramo",1),I41+1)</f>
        <v>4</v>
      </c>
      <c r="J42" s="20">
        <f t="shared" si="33"/>
        <v>1</v>
      </c>
      <c r="K42" s="20" t="str">
        <f>IF(AND(Carro2[[#This Row],[Nó]]=A43,Carro2[[#This Row],[Nó]]=A44),"",I42&amp;"|"&amp;F42)</f>
        <v>4|0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1:36" x14ac:dyDescent="0.25">
      <c r="A43" s="20" t="s">
        <v>22</v>
      </c>
      <c r="B43" s="7">
        <v>0.47916666666666669</v>
      </c>
      <c r="C43" s="7">
        <v>0.47916666666666669</v>
      </c>
      <c r="D43" s="20" t="s">
        <v>51</v>
      </c>
      <c r="E43" s="20" t="str">
        <f>+TEXT(Carro2[[#This Row],[Column1]],"hh:mm")&amp;" | " &amp;TEXT(Carro2[[#This Row],[Hora Fim]],"hh:mm")</f>
        <v>11:30 | 11:30</v>
      </c>
      <c r="F43" s="20">
        <f>INDEX($N$3:$AJ$3,MATCH(Carro2[[#This Row],[Nó]],$N$1:$AJ$1,0))</f>
        <v>1</v>
      </c>
      <c r="G43" s="7">
        <f>+IF(AND(Carro2[[#This Row],[Nó]]=A42,Carro2[[#This Row],[Nó]]=A44),G42,Carro2[[#This Row],[Hora Início]])</f>
        <v>0.47916666666666669</v>
      </c>
      <c r="H43" s="20">
        <f t="shared" si="32"/>
        <v>1</v>
      </c>
      <c r="I43" s="20" cm="1">
        <f t="array" ref="I43">IFERROR(_xlfn.IFS(H43=H42,I42,I42="Ramo",1),I42+1)</f>
        <v>4</v>
      </c>
      <c r="J43" s="20">
        <f t="shared" si="33"/>
        <v>0</v>
      </c>
      <c r="K43" s="20" t="str">
        <f>IF(AND(Carro2[[#This Row],[Nó]]=A44,Carro2[[#This Row],[Nó]]=A45),"",I43&amp;"|"&amp;F43)</f>
        <v>4|1</v>
      </c>
      <c r="N43" s="7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</row>
    <row r="44" spans="1:36" x14ac:dyDescent="0.25">
      <c r="A44" s="20" t="s">
        <v>24</v>
      </c>
      <c r="B44" s="7">
        <v>0.48055555555555557</v>
      </c>
      <c r="C44" s="7">
        <v>0.48055555555555557</v>
      </c>
      <c r="D44" s="20" t="s">
        <v>51</v>
      </c>
      <c r="E44" s="20" t="str">
        <f>+TEXT(Carro2[[#This Row],[Column1]],"hh:mm")&amp;" | " &amp;TEXT(Carro2[[#This Row],[Hora Fim]],"hh:mm")</f>
        <v>11:32 | 11:32</v>
      </c>
      <c r="F44" s="20">
        <f>INDEX($N$3:$AJ$3,MATCH(Carro2[[#This Row],[Nó]],$N$1:$AJ$1,0))</f>
        <v>2</v>
      </c>
      <c r="G44" s="7">
        <f>+IF(AND(Carro2[[#This Row],[Nó]]=A43,Carro2[[#This Row],[Nó]]=A45),G43,Carro2[[#This Row],[Hora Início]])</f>
        <v>0.48055555555555557</v>
      </c>
      <c r="H44" s="20">
        <f t="shared" si="32"/>
        <v>1</v>
      </c>
      <c r="I44" s="20" cm="1">
        <f t="array" ref="I44">IFERROR(_xlfn.IFS(H44=H43,I43,I43="Ramo",1),I43+1)</f>
        <v>4</v>
      </c>
      <c r="J44" s="20">
        <f t="shared" si="33"/>
        <v>0</v>
      </c>
      <c r="K44" s="20" t="str">
        <f>IF(AND(Carro2[[#This Row],[Nó]]=A45,Carro2[[#This Row],[Nó]]=A46),"",I44&amp;"|"&amp;F44)</f>
        <v>4|2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</row>
    <row r="45" spans="1:36" x14ac:dyDescent="0.25">
      <c r="A45" s="20" t="s">
        <v>26</v>
      </c>
      <c r="B45" s="7">
        <v>0.48194444444444445</v>
      </c>
      <c r="C45" s="7">
        <v>0.48194444444444445</v>
      </c>
      <c r="D45" s="20" t="s">
        <v>51</v>
      </c>
      <c r="E45" s="20" t="str">
        <f>+TEXT(Carro2[[#This Row],[Column1]],"hh:mm")&amp;" | " &amp;TEXT(Carro2[[#This Row],[Hora Fim]],"hh:mm")</f>
        <v>11:34 | 11:34</v>
      </c>
      <c r="F45" s="20">
        <f>INDEX($N$3:$AJ$3,MATCH(Carro2[[#This Row],[Nó]],$N$1:$AJ$1,0))</f>
        <v>3</v>
      </c>
      <c r="G45" s="7">
        <f>+IF(AND(Carro2[[#This Row],[Nó]]=A44,Carro2[[#This Row],[Nó]]=A46),G44,Carro2[[#This Row],[Hora Início]])</f>
        <v>0.48194444444444445</v>
      </c>
      <c r="H45" s="20">
        <f t="shared" si="32"/>
        <v>1</v>
      </c>
      <c r="I45" s="20" cm="1">
        <f t="array" ref="I45">IFERROR(_xlfn.IFS(H45=H44,I44,I44="Ramo",1),I44+1)</f>
        <v>4</v>
      </c>
      <c r="J45" s="20">
        <f t="shared" si="33"/>
        <v>0</v>
      </c>
      <c r="K45" s="20" t="str">
        <f>IF(AND(Carro2[[#This Row],[Nó]]=A46,Carro2[[#This Row],[Nó]]=A47),"",I45&amp;"|"&amp;F45)</f>
        <v>4|3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</row>
    <row r="46" spans="1:36" x14ac:dyDescent="0.25">
      <c r="A46" s="20" t="s">
        <v>27</v>
      </c>
      <c r="B46" s="7">
        <v>0.48333333333333334</v>
      </c>
      <c r="C46" s="7">
        <v>0.48333333333333334</v>
      </c>
      <c r="D46" s="20" t="s">
        <v>51</v>
      </c>
      <c r="E46" s="20" t="str">
        <f>+TEXT(Carro2[[#This Row],[Column1]],"hh:mm")&amp;" | " &amp;TEXT(Carro2[[#This Row],[Hora Fim]],"hh:mm")</f>
        <v>11:36 | 11:36</v>
      </c>
      <c r="F46" s="20">
        <f>INDEX($N$3:$AJ$3,MATCH(Carro2[[#This Row],[Nó]],$N$1:$AJ$1,0))</f>
        <v>4</v>
      </c>
      <c r="G46" s="7">
        <f>+IF(AND(Carro2[[#This Row],[Nó]]=A45,Carro2[[#This Row],[Nó]]=A47),G45,Carro2[[#This Row],[Hora Início]])</f>
        <v>0.48333333333333334</v>
      </c>
      <c r="H46" s="20">
        <f t="shared" si="32"/>
        <v>1</v>
      </c>
      <c r="I46" s="20" cm="1">
        <f t="array" ref="I46">IFERROR(_xlfn.IFS(H46=H45,I45,I45="Ramo",1),I45+1)</f>
        <v>4</v>
      </c>
      <c r="J46" s="20">
        <f t="shared" si="33"/>
        <v>0</v>
      </c>
      <c r="K46" s="20" t="str">
        <f>IF(AND(Carro2[[#This Row],[Nó]]=A47,Carro2[[#This Row],[Nó]]=A48),"",I46&amp;"|"&amp;F46)</f>
        <v>4|4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</row>
    <row r="47" spans="1:36" x14ac:dyDescent="0.25">
      <c r="A47" s="20" t="s">
        <v>29</v>
      </c>
      <c r="B47" s="7">
        <v>0.48472222222222222</v>
      </c>
      <c r="C47" s="7">
        <v>0.48472222222222222</v>
      </c>
      <c r="D47" s="20" t="s">
        <v>51</v>
      </c>
      <c r="E47" s="20" t="str">
        <f>+TEXT(Carro2[[#This Row],[Column1]],"hh:mm")&amp;" | " &amp;TEXT(Carro2[[#This Row],[Hora Fim]],"hh:mm")</f>
        <v>11:38 | 11:38</v>
      </c>
      <c r="F47" s="20">
        <f>INDEX($N$3:$AJ$3,MATCH(Carro2[[#This Row],[Nó]],$N$1:$AJ$1,0))</f>
        <v>5</v>
      </c>
      <c r="G47" s="7">
        <f>+IF(AND(Carro2[[#This Row],[Nó]]=A46,Carro2[[#This Row],[Nó]]=A48),G46,Carro2[[#This Row],[Hora Início]])</f>
        <v>0.48472222222222222</v>
      </c>
      <c r="H47" s="20">
        <f t="shared" si="32"/>
        <v>1</v>
      </c>
      <c r="I47" s="20" cm="1">
        <f t="array" ref="I47">IFERROR(_xlfn.IFS(H47=H46,I46,I46="Ramo",1),I46+1)</f>
        <v>4</v>
      </c>
      <c r="J47" s="20">
        <f t="shared" si="33"/>
        <v>0</v>
      </c>
      <c r="K47" s="20" t="str">
        <f>IF(AND(Carro2[[#This Row],[Nó]]=A48,Carro2[[#This Row],[Nó]]=A49),"",I47&amp;"|"&amp;F47)</f>
        <v>4|5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</row>
    <row r="48" spans="1:36" x14ac:dyDescent="0.25">
      <c r="A48" s="20" t="s">
        <v>31</v>
      </c>
      <c r="B48" s="7">
        <v>0.48749999999999999</v>
      </c>
      <c r="C48" s="7">
        <v>0.48749999999999999</v>
      </c>
      <c r="D48" s="20" t="s">
        <v>51</v>
      </c>
      <c r="E48" s="20" t="str">
        <f>+TEXT(Carro2[[#This Row],[Column1]],"hh:mm")&amp;" | " &amp;TEXT(Carro2[[#This Row],[Hora Fim]],"hh:mm")</f>
        <v>11:42 | 11:42</v>
      </c>
      <c r="F48" s="20">
        <f>INDEX($N$3:$AJ$3,MATCH(Carro2[[#This Row],[Nó]],$N$1:$AJ$1,0))</f>
        <v>6</v>
      </c>
      <c r="G48" s="7">
        <f>+IF(AND(Carro2[[#This Row],[Nó]]=A47,Carro2[[#This Row],[Nó]]=A49),G47,Carro2[[#This Row],[Hora Início]])</f>
        <v>0.48749999999999999</v>
      </c>
      <c r="H48" s="20">
        <f t="shared" si="32"/>
        <v>1</v>
      </c>
      <c r="I48" s="20" cm="1">
        <f t="array" ref="I48">IFERROR(_xlfn.IFS(H48=H47,I47,I47="Ramo",1),I47+1)</f>
        <v>4</v>
      </c>
      <c r="J48" s="20">
        <f t="shared" si="33"/>
        <v>0</v>
      </c>
      <c r="K48" s="20" t="str">
        <f>IF(AND(Carro2[[#This Row],[Nó]]=A49,Carro2[[#This Row],[Nó]]=A50),"",I48&amp;"|"&amp;F48)</f>
        <v>4|6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</row>
    <row r="49" spans="1:36" x14ac:dyDescent="0.25">
      <c r="A49" s="20" t="s">
        <v>33</v>
      </c>
      <c r="B49" s="7">
        <v>0.49027777777777776</v>
      </c>
      <c r="C49" s="7">
        <v>0.51249999999999996</v>
      </c>
      <c r="D49" s="20" t="s">
        <v>52</v>
      </c>
      <c r="E49" s="20" t="str">
        <f>+TEXT(Carro2[[#This Row],[Column1]],"hh:mm")&amp;" | " &amp;TEXT(Carro2[[#This Row],[Hora Fim]],"hh:mm")</f>
        <v>11:46 | 12:18</v>
      </c>
      <c r="F49" s="20">
        <f>INDEX($N$3:$AJ$3,MATCH(Carro2[[#This Row],[Nó]],$N$1:$AJ$1,0))</f>
        <v>7</v>
      </c>
      <c r="G49" s="7">
        <f>+IF(AND(Carro2[[#This Row],[Nó]]=A48,Carro2[[#This Row],[Nó]]=A50),G48,Carro2[[#This Row],[Hora Início]])</f>
        <v>0.49027777777777776</v>
      </c>
      <c r="H49" s="20">
        <f t="shared" si="32"/>
        <v>1</v>
      </c>
      <c r="I49" s="20" cm="1">
        <f t="array" ref="I49">IFERROR(_xlfn.IFS(H49=H48,I48,I48="Ramo",1),I48+1)</f>
        <v>4</v>
      </c>
      <c r="J49" s="20">
        <f t="shared" si="33"/>
        <v>0</v>
      </c>
      <c r="K49" s="20" t="str">
        <f>IF(AND(Carro2[[#This Row],[Nó]]=A50,Carro2[[#This Row],[Nó]]=A51),"",I49&amp;"|"&amp;F49)</f>
        <v/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</row>
    <row r="50" spans="1:36" x14ac:dyDescent="0.25">
      <c r="A50" s="20" t="s">
        <v>33</v>
      </c>
      <c r="B50" s="7">
        <v>0.51249999999999996</v>
      </c>
      <c r="C50" s="7">
        <v>0.51249999999999996</v>
      </c>
      <c r="D50" s="20" t="s">
        <v>51</v>
      </c>
      <c r="E50" s="20" t="str">
        <f>+TEXT(Carro2[[#This Row],[Column1]],"hh:mm")&amp;" | " &amp;TEXT(Carro2[[#This Row],[Hora Fim]],"hh:mm")</f>
        <v>11:46 | 12:18</v>
      </c>
      <c r="F50" s="20">
        <f>INDEX($N$3:$AJ$3,MATCH(Carro2[[#This Row],[Nó]],$N$1:$AJ$1,0))</f>
        <v>7</v>
      </c>
      <c r="G50" s="7">
        <f>+IF(AND(Carro2[[#This Row],[Nó]]=A49,Carro2[[#This Row],[Nó]]=A51),G49,Carro2[[#This Row],[Hora Início]])</f>
        <v>0.49027777777777776</v>
      </c>
      <c r="H50" s="20">
        <f t="shared" si="32"/>
        <v>1</v>
      </c>
      <c r="I50" s="20" cm="1">
        <f t="array" ref="I50">IFERROR(_xlfn.IFS(H50=H49,I49,I49="Ramo",1),I49+1)</f>
        <v>4</v>
      </c>
      <c r="J50" s="20">
        <f t="shared" si="33"/>
        <v>0</v>
      </c>
      <c r="K50" s="20" t="str">
        <f>IF(AND(Carro2[[#This Row],[Nó]]=A51,Carro2[[#This Row],[Nó]]=A52),"",I50&amp;"|"&amp;F50)</f>
        <v/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</row>
    <row r="51" spans="1:36" x14ac:dyDescent="0.25">
      <c r="A51" s="20" t="s">
        <v>33</v>
      </c>
      <c r="B51" s="7">
        <v>0.55555555555555558</v>
      </c>
      <c r="C51" s="7">
        <v>0.57847222222222228</v>
      </c>
      <c r="D51" s="20" t="s">
        <v>52</v>
      </c>
      <c r="E51" s="20" t="str">
        <f>+TEXT(Carro2[[#This Row],[Column1]],"hh:mm")&amp;" | " &amp;TEXT(Carro2[[#This Row],[Hora Fim]],"hh:mm")</f>
        <v>11:46 | 13:53</v>
      </c>
      <c r="F51" s="20">
        <f>INDEX($N$3:$AJ$3,MATCH(Carro2[[#This Row],[Nó]],$N$1:$AJ$1,0))</f>
        <v>7</v>
      </c>
      <c r="G51" s="7">
        <f>+IF(AND(Carro2[[#This Row],[Nó]]=A50,Carro2[[#This Row],[Nó]]=A52),G50,Carro2[[#This Row],[Hora Início]])</f>
        <v>0.49027777777777776</v>
      </c>
      <c r="H51" s="20">
        <f t="shared" si="32"/>
        <v>1</v>
      </c>
      <c r="I51" s="20" cm="1">
        <f t="array" ref="I51">IFERROR(_xlfn.IFS(H51=H50,I50,I50="Ramo",1),I50+1)</f>
        <v>4</v>
      </c>
      <c r="J51" s="20">
        <f t="shared" si="33"/>
        <v>0</v>
      </c>
      <c r="K51" s="20" t="str">
        <f>IF(AND(Carro2[[#This Row],[Nó]]=A52,Carro2[[#This Row],[Nó]]=A53),"",I51&amp;"|"&amp;F51)</f>
        <v/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</row>
    <row r="52" spans="1:36" x14ac:dyDescent="0.25">
      <c r="A52" s="20" t="s">
        <v>33</v>
      </c>
      <c r="B52" s="7">
        <v>0.53680555555555554</v>
      </c>
      <c r="C52" s="7">
        <v>0.57847222222222228</v>
      </c>
      <c r="D52" s="20" t="s">
        <v>54</v>
      </c>
      <c r="E52" s="20" t="str">
        <f>+TEXT(Carro2[[#This Row],[Column1]],"hh:mm")&amp;" | " &amp;TEXT(Carro2[[#This Row],[Hora Fim]],"hh:mm")</f>
        <v>11:46 | 13:53</v>
      </c>
      <c r="F52" s="20">
        <f>INDEX($N$3:$AJ$3,MATCH(Carro2[[#This Row],[Nó]],$N$1:$AJ$1,0))</f>
        <v>7</v>
      </c>
      <c r="G52" s="7">
        <f>+IF(AND(Carro2[[#This Row],[Nó]]=A51,Carro2[[#This Row],[Nó]]=A53),G51,Carro2[[#This Row],[Hora Início]])</f>
        <v>0.49027777777777776</v>
      </c>
      <c r="H52" s="20">
        <f t="shared" si="32"/>
        <v>1</v>
      </c>
      <c r="I52" s="20" cm="1">
        <f t="array" ref="I52">IFERROR(_xlfn.IFS(H52=H51,I51,I51="Ramo",1),I51+1)</f>
        <v>4</v>
      </c>
      <c r="J52" s="20">
        <f t="shared" si="33"/>
        <v>0</v>
      </c>
      <c r="K52" s="20" t="str">
        <f>IF(AND(Carro2[[#This Row],[Nó]]=A53,Carro2[[#This Row],[Nó]]=A54),"",I52&amp;"|"&amp;F52)</f>
        <v/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</row>
    <row r="53" spans="1:36" x14ac:dyDescent="0.25">
      <c r="A53" s="20" t="s">
        <v>33</v>
      </c>
      <c r="B53" s="7">
        <v>0.57847222222222228</v>
      </c>
      <c r="C53" s="7">
        <v>0.60138888888888886</v>
      </c>
      <c r="D53" s="20" t="s">
        <v>52</v>
      </c>
      <c r="E53" s="20" t="str">
        <f>+TEXT(Carro2[[#This Row],[Column1]],"hh:mm")&amp;" | " &amp;TEXT(Carro2[[#This Row],[Hora Fim]],"hh:mm")</f>
        <v>11:46 | 14:26</v>
      </c>
      <c r="F53" s="20">
        <f>INDEX($N$3:$AJ$3,MATCH(Carro2[[#This Row],[Nó]],$N$1:$AJ$1,0))</f>
        <v>7</v>
      </c>
      <c r="G53" s="7">
        <f>+IF(AND(Carro2[[#This Row],[Nó]]=A52,Carro2[[#This Row],[Nó]]=A54),G52,Carro2[[#This Row],[Hora Início]])</f>
        <v>0.49027777777777776</v>
      </c>
      <c r="H53" s="20">
        <f t="shared" si="32"/>
        <v>1</v>
      </c>
      <c r="I53" s="20" cm="1">
        <f t="array" ref="I53">IFERROR(_xlfn.IFS(H53=H52,I52,I52="Ramo",1),I52+1)</f>
        <v>4</v>
      </c>
      <c r="J53" s="20">
        <f t="shared" si="33"/>
        <v>0</v>
      </c>
      <c r="K53" s="20" t="str">
        <f>IF(AND(Carro2[[#This Row],[Nó]]=A54,Carro2[[#This Row],[Nó]]=A55),"",I53&amp;"|"&amp;F53)</f>
        <v/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</row>
    <row r="54" spans="1:36" x14ac:dyDescent="0.25">
      <c r="A54" s="20" t="s">
        <v>33</v>
      </c>
      <c r="B54" s="7">
        <v>0.60138888888888886</v>
      </c>
      <c r="C54" s="7">
        <v>0.60138888888888886</v>
      </c>
      <c r="D54" s="20" t="s">
        <v>51</v>
      </c>
      <c r="E54" s="20" t="str">
        <f>+TEXT(Carro2[[#This Row],[Column1]],"hh:mm")&amp;" | " &amp;TEXT(Carro2[[#This Row],[Hora Fim]],"hh:mm")</f>
        <v>11:46 | 14:26</v>
      </c>
      <c r="F54" s="20">
        <f>INDEX($N$3:$AJ$3,MATCH(Carro2[[#This Row],[Nó]],$N$1:$AJ$1,0))</f>
        <v>7</v>
      </c>
      <c r="G54" s="7">
        <f>+IF(AND(Carro2[[#This Row],[Nó]]=A53,Carro2[[#This Row],[Nó]]=A55),G53,Carro2[[#This Row],[Hora Início]])</f>
        <v>0.49027777777777776</v>
      </c>
      <c r="H54" s="20">
        <f t="shared" si="32"/>
        <v>1</v>
      </c>
      <c r="I54" s="20" cm="1">
        <f t="array" ref="I54">IFERROR(_xlfn.IFS(H54=H53,I53,I53="Ramo",1),I53+1)</f>
        <v>4</v>
      </c>
      <c r="J54" s="20">
        <f t="shared" si="33"/>
        <v>0</v>
      </c>
      <c r="K54" s="20" t="str">
        <f>IF(AND(Carro2[[#This Row],[Nó]]=A55,Carro2[[#This Row],[Nó]]=A56),"",I54&amp;"|"&amp;F54)</f>
        <v/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</row>
    <row r="55" spans="1:36" x14ac:dyDescent="0.25">
      <c r="A55" s="20" t="s">
        <v>33</v>
      </c>
      <c r="B55" s="7">
        <v>0.60277777777777775</v>
      </c>
      <c r="C55" s="7">
        <v>0.625</v>
      </c>
      <c r="D55" s="20" t="s">
        <v>52</v>
      </c>
      <c r="E55" s="20" t="str">
        <f>+TEXT(Carro2[[#This Row],[Column1]],"hh:mm")&amp;" | " &amp;TEXT(Carro2[[#This Row],[Hora Fim]],"hh:mm")</f>
        <v>11:46 | 15:00</v>
      </c>
      <c r="F55" s="20">
        <f>INDEX($N$3:$AJ$3,MATCH(Carro2[[#This Row],[Nó]],$N$1:$AJ$1,0))</f>
        <v>7</v>
      </c>
      <c r="G55" s="7">
        <f>+IF(AND(Carro2[[#This Row],[Nó]]=A54,Carro2[[#This Row],[Nó]]=A56),G54,Carro2[[#This Row],[Hora Início]])</f>
        <v>0.49027777777777776</v>
      </c>
      <c r="H55" s="20">
        <f t="shared" si="32"/>
        <v>1</v>
      </c>
      <c r="I55" s="20" cm="1">
        <f t="array" ref="I55">IFERROR(_xlfn.IFS(H55=H54,I54,I54="Ramo",1),I54+1)</f>
        <v>4</v>
      </c>
      <c r="J55" s="20">
        <f t="shared" si="33"/>
        <v>0</v>
      </c>
      <c r="K55" s="20" t="str">
        <f>IF(AND(Carro2[[#This Row],[Nó]]=A56,Carro2[[#This Row],[Nó]]=A57),"",I55&amp;"|"&amp;F55)</f>
        <v>4|7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</row>
    <row r="56" spans="1:36" x14ac:dyDescent="0.25">
      <c r="A56" s="20" t="s">
        <v>33</v>
      </c>
      <c r="B56" s="7">
        <v>0.625</v>
      </c>
      <c r="C56" s="7">
        <v>0.625</v>
      </c>
      <c r="D56" s="20" t="s">
        <v>51</v>
      </c>
      <c r="E56" s="20" t="str">
        <f>+TEXT(Carro2[[#This Row],[Column1]],"hh:mm")&amp;" | " &amp;TEXT(Carro2[[#This Row],[Hora Fim]],"hh:mm")</f>
        <v>15:00 | 15:00</v>
      </c>
      <c r="F56" s="20">
        <f>INDEX($N$3:$AJ$3,MATCH(Carro2[[#This Row],[Nó]],$N$1:$AJ$1,0))</f>
        <v>7</v>
      </c>
      <c r="G56" s="7">
        <f>+IF(AND(Carro2[[#This Row],[Nó]]=A55,Carro2[[#This Row],[Nó]]=A57),G55,Carro2[[#This Row],[Hora Início]])</f>
        <v>0.625</v>
      </c>
      <c r="H56" s="20">
        <f t="shared" si="32"/>
        <v>2</v>
      </c>
      <c r="I56" s="20" cm="1">
        <f t="array" ref="I56">IFERROR(_xlfn.IFS(H56=H55,I55,I55="Ramo",1),I55+1)</f>
        <v>5</v>
      </c>
      <c r="J56" s="20">
        <f t="shared" si="33"/>
        <v>1</v>
      </c>
      <c r="K56" s="20" t="str">
        <f>IF(AND(Carro2[[#This Row],[Nó]]=A57,Carro2[[#This Row],[Nó]]=A58),"",I56&amp;"|"&amp;F56)</f>
        <v>5|7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</row>
    <row r="57" spans="1:36" x14ac:dyDescent="0.25"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</row>
    <row r="58" spans="1:36" x14ac:dyDescent="0.25"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</row>
    <row r="59" spans="1:36" x14ac:dyDescent="0.25"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</row>
    <row r="60" spans="1:36" x14ac:dyDescent="0.25"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</row>
  </sheetData>
  <conditionalFormatting sqref="N4:AJ32">
    <cfRule type="cellIs" dxfId="50" priority="1" operator="equal">
      <formula>0</formula>
    </cfRule>
    <cfRule type="expression" dxfId="49" priority="2">
      <formula>IF(O$2=0,IFERROR(INDEX($D:$D,MATCH($M4&amp;"|"&amp;N$3,$K:$K,0)),""),IFERROR(INDEX($J:$J,MATCH($M4&amp;"|"&amp;N$3,$K:$K,0)),""))="Espera"</formula>
    </cfRule>
    <cfRule type="expression" dxfId="48" priority="3">
      <formula>IF(O$2=0,IFERROR(INDEX($D:$D,MATCH($M4&amp;"|"&amp;N$3,$K:$K,0)),""),IFERROR(INDEX($J:$J,MATCH($M4&amp;"|"&amp;N$3,$K:$K,0)),""))="Incidência"</formula>
    </cfRule>
    <cfRule type="expression" dxfId="47" priority="4">
      <formula>IF(O$2=0,IFERROR(INDEX($D:$D,MATCH($M4&amp;"|"&amp;N$3,$K:$K,0)),""),IFERROR(INDEX($J:$J,MATCH($M4&amp;"|"&amp;N$3,$K:$K,0)),""))="Almoço"</formula>
    </cfRule>
    <cfRule type="expression" dxfId="46" priority="5">
      <formula>IF(O$2=0,IFERROR(INDEX($D:$D,MATCH($M4&amp;"|"&amp;N$3,$K:$K,0)),""),IFERROR(INDEX($J:$J,MATCH($M4&amp;"|"&amp;N$3,$K:$K,0)),""))="Pausa"</formula>
    </cfRule>
    <cfRule type="expression" dxfId="45" priority="6">
      <formula>IF(O$2=0,IFERROR(INDEX($D:$D,MATCH($M4&amp;"|"&amp;N$3,$K:$K,0)),""),IFERROR(INDEX($J:$J,MATCH($M4&amp;"|"&amp;N$3,$K:$K,0)),""))="Visitar Nó"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B1B4A-E3AB-4699-ACD5-DD4322398E2A}">
  <sheetPr codeName="Sheet5">
    <tabColor theme="0" tint="-0.14999847407452621"/>
  </sheetPr>
  <dimension ref="A1:J9"/>
  <sheetViews>
    <sheetView zoomScale="80" zoomScaleNormal="80" workbookViewId="0">
      <selection activeCell="A2" sqref="A2:J9"/>
    </sheetView>
  </sheetViews>
  <sheetFormatPr defaultRowHeight="15" x14ac:dyDescent="0.25"/>
  <sheetData>
    <row r="1" spans="1:10" x14ac:dyDescent="0.25">
      <c r="A1" t="s">
        <v>9</v>
      </c>
      <c r="B1" t="s">
        <v>10</v>
      </c>
      <c r="C1" t="s">
        <v>11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60</v>
      </c>
    </row>
    <row r="2" spans="1:10" x14ac:dyDescent="0.25">
      <c r="A2" t="s">
        <v>19</v>
      </c>
      <c r="B2" t="s">
        <v>6</v>
      </c>
      <c r="C2" t="s">
        <v>20</v>
      </c>
      <c r="D2">
        <v>0</v>
      </c>
      <c r="E2">
        <v>0</v>
      </c>
      <c r="F2">
        <v>0</v>
      </c>
      <c r="G2">
        <v>0</v>
      </c>
      <c r="H2">
        <v>15</v>
      </c>
      <c r="I2">
        <v>15</v>
      </c>
      <c r="J2">
        <v>0</v>
      </c>
    </row>
    <row r="3" spans="1:10" x14ac:dyDescent="0.25">
      <c r="A3" t="s">
        <v>19</v>
      </c>
      <c r="B3" t="s">
        <v>6</v>
      </c>
      <c r="C3" t="s">
        <v>22</v>
      </c>
      <c r="D3">
        <v>1</v>
      </c>
      <c r="E3">
        <v>0</v>
      </c>
      <c r="F3">
        <v>1</v>
      </c>
      <c r="G3">
        <v>0</v>
      </c>
      <c r="H3">
        <v>5</v>
      </c>
      <c r="I3">
        <v>5</v>
      </c>
      <c r="J3">
        <v>1</v>
      </c>
    </row>
    <row r="4" spans="1:10" x14ac:dyDescent="0.25">
      <c r="A4" t="s">
        <v>19</v>
      </c>
      <c r="B4" t="s">
        <v>6</v>
      </c>
      <c r="C4" t="s">
        <v>24</v>
      </c>
      <c r="D4">
        <v>2</v>
      </c>
      <c r="E4">
        <v>0</v>
      </c>
      <c r="F4">
        <v>0</v>
      </c>
      <c r="G4">
        <v>0</v>
      </c>
      <c r="H4">
        <v>14</v>
      </c>
      <c r="I4">
        <v>14</v>
      </c>
      <c r="J4">
        <v>0</v>
      </c>
    </row>
    <row r="5" spans="1:10" x14ac:dyDescent="0.25">
      <c r="A5" t="s">
        <v>19</v>
      </c>
      <c r="B5" t="s">
        <v>6</v>
      </c>
      <c r="C5" t="s">
        <v>26</v>
      </c>
      <c r="D5">
        <v>3</v>
      </c>
      <c r="E5">
        <v>0</v>
      </c>
      <c r="F5">
        <v>0</v>
      </c>
      <c r="G5">
        <v>0</v>
      </c>
      <c r="H5">
        <v>10</v>
      </c>
      <c r="I5">
        <v>10</v>
      </c>
      <c r="J5">
        <v>0</v>
      </c>
    </row>
    <row r="6" spans="1:10" x14ac:dyDescent="0.25">
      <c r="A6" t="s">
        <v>19</v>
      </c>
      <c r="B6" t="s">
        <v>6</v>
      </c>
      <c r="C6" t="s">
        <v>27</v>
      </c>
      <c r="D6">
        <v>4</v>
      </c>
      <c r="E6">
        <v>0</v>
      </c>
      <c r="F6">
        <v>0</v>
      </c>
      <c r="G6">
        <v>0</v>
      </c>
      <c r="H6">
        <v>13</v>
      </c>
      <c r="I6">
        <v>13</v>
      </c>
      <c r="J6">
        <v>0</v>
      </c>
    </row>
    <row r="7" spans="1:10" x14ac:dyDescent="0.25">
      <c r="A7" t="s">
        <v>19</v>
      </c>
      <c r="B7" t="s">
        <v>6</v>
      </c>
      <c r="C7" t="s">
        <v>29</v>
      </c>
      <c r="D7">
        <v>5</v>
      </c>
      <c r="E7">
        <v>0</v>
      </c>
      <c r="F7">
        <v>0</v>
      </c>
      <c r="G7">
        <v>0</v>
      </c>
      <c r="H7">
        <v>28</v>
      </c>
      <c r="I7">
        <v>28</v>
      </c>
      <c r="J7">
        <v>0</v>
      </c>
    </row>
    <row r="8" spans="1:10" x14ac:dyDescent="0.25">
      <c r="A8" t="s">
        <v>19</v>
      </c>
      <c r="B8" t="s">
        <v>6</v>
      </c>
      <c r="C8" t="s">
        <v>31</v>
      </c>
      <c r="D8">
        <v>6</v>
      </c>
      <c r="E8">
        <v>0</v>
      </c>
      <c r="F8">
        <v>1</v>
      </c>
      <c r="G8">
        <v>0</v>
      </c>
      <c r="H8">
        <v>9</v>
      </c>
      <c r="I8">
        <v>9</v>
      </c>
      <c r="J8">
        <v>1</v>
      </c>
    </row>
    <row r="9" spans="1:10" x14ac:dyDescent="0.25">
      <c r="A9" t="s">
        <v>19</v>
      </c>
      <c r="B9" t="s">
        <v>6</v>
      </c>
      <c r="C9" t="s">
        <v>33</v>
      </c>
      <c r="D9">
        <v>7</v>
      </c>
      <c r="E9">
        <v>1</v>
      </c>
      <c r="F9">
        <v>1</v>
      </c>
      <c r="G9">
        <v>1</v>
      </c>
      <c r="H9">
        <v>13</v>
      </c>
      <c r="I9">
        <v>13</v>
      </c>
      <c r="J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8426-4C51-439B-AA3D-EAA5B8343144}">
  <sheetPr codeName="Sheet18">
    <tabColor theme="0" tint="-0.14999847407452621"/>
  </sheetPr>
  <dimension ref="A1:C209"/>
  <sheetViews>
    <sheetView zoomScale="80" zoomScaleNormal="80" workbookViewId="0">
      <selection activeCell="A2" sqref="A2:C209"/>
    </sheetView>
  </sheetViews>
  <sheetFormatPr defaultRowHeight="15" x14ac:dyDescent="0.25"/>
  <sheetData>
    <row r="1" spans="1:3" x14ac:dyDescent="0.25">
      <c r="A1" t="s">
        <v>10</v>
      </c>
      <c r="B1" t="s">
        <v>12</v>
      </c>
      <c r="C1" t="s">
        <v>272</v>
      </c>
    </row>
    <row r="2" spans="1:3" x14ac:dyDescent="0.25">
      <c r="A2" t="s">
        <v>6</v>
      </c>
      <c r="B2" t="s">
        <v>21</v>
      </c>
      <c r="C2">
        <v>1.466</v>
      </c>
    </row>
    <row r="3" spans="1:3" x14ac:dyDescent="0.25">
      <c r="A3" t="s">
        <v>6</v>
      </c>
      <c r="B3" t="s">
        <v>23</v>
      </c>
      <c r="C3">
        <v>1.484</v>
      </c>
    </row>
    <row r="4" spans="1:3" x14ac:dyDescent="0.25">
      <c r="A4" t="s">
        <v>6</v>
      </c>
      <c r="B4" t="s">
        <v>25</v>
      </c>
      <c r="C4">
        <v>1.042</v>
      </c>
    </row>
    <row r="5" spans="1:3" x14ac:dyDescent="0.25">
      <c r="A5" t="s">
        <v>6</v>
      </c>
      <c r="B5" t="s">
        <v>42</v>
      </c>
      <c r="C5">
        <v>1.36</v>
      </c>
    </row>
    <row r="6" spans="1:3" x14ac:dyDescent="0.25">
      <c r="A6" t="s">
        <v>6</v>
      </c>
      <c r="B6" t="s">
        <v>28</v>
      </c>
      <c r="C6">
        <v>2.6880000000000002</v>
      </c>
    </row>
    <row r="7" spans="1:3" x14ac:dyDescent="0.25">
      <c r="A7" t="s">
        <v>6</v>
      </c>
      <c r="B7" t="s">
        <v>273</v>
      </c>
      <c r="C7">
        <v>3.5230000000000001</v>
      </c>
    </row>
    <row r="8" spans="1:3" x14ac:dyDescent="0.25">
      <c r="A8" t="s">
        <v>6</v>
      </c>
      <c r="B8" t="s">
        <v>32</v>
      </c>
      <c r="C8">
        <v>3.3769999999999998</v>
      </c>
    </row>
    <row r="9" spans="1:3" x14ac:dyDescent="0.25">
      <c r="A9" t="s">
        <v>6</v>
      </c>
      <c r="B9" t="s">
        <v>34</v>
      </c>
      <c r="C9">
        <v>4.8600000000000003</v>
      </c>
    </row>
    <row r="10" spans="1:3" x14ac:dyDescent="0.25">
      <c r="A10" t="s">
        <v>6</v>
      </c>
      <c r="B10" t="s">
        <v>43</v>
      </c>
      <c r="C10">
        <v>3</v>
      </c>
    </row>
    <row r="11" spans="1:3" x14ac:dyDescent="0.25">
      <c r="A11" t="s">
        <v>6</v>
      </c>
      <c r="B11" t="s">
        <v>44</v>
      </c>
      <c r="C11">
        <v>0.55000000000000004</v>
      </c>
    </row>
    <row r="12" spans="1:3" x14ac:dyDescent="0.25">
      <c r="A12" t="s">
        <v>6</v>
      </c>
      <c r="B12" t="s">
        <v>38</v>
      </c>
      <c r="C12">
        <v>1.65</v>
      </c>
    </row>
    <row r="13" spans="1:3" x14ac:dyDescent="0.25">
      <c r="A13" t="s">
        <v>6</v>
      </c>
      <c r="B13" t="s">
        <v>38</v>
      </c>
      <c r="C13">
        <v>1.65</v>
      </c>
    </row>
    <row r="14" spans="1:3" x14ac:dyDescent="0.25">
      <c r="A14" t="s">
        <v>88</v>
      </c>
      <c r="B14" t="s">
        <v>114</v>
      </c>
      <c r="C14">
        <v>10.428000000000001</v>
      </c>
    </row>
    <row r="15" spans="1:3" x14ac:dyDescent="0.25">
      <c r="A15" t="s">
        <v>88</v>
      </c>
      <c r="B15" t="s">
        <v>89</v>
      </c>
      <c r="C15">
        <v>16.832000000000001</v>
      </c>
    </row>
    <row r="16" spans="1:3" x14ac:dyDescent="0.25">
      <c r="A16" t="s">
        <v>88</v>
      </c>
      <c r="B16" t="s">
        <v>117</v>
      </c>
      <c r="C16">
        <v>8.92</v>
      </c>
    </row>
    <row r="17" spans="1:3" x14ac:dyDescent="0.25">
      <c r="A17" t="s">
        <v>88</v>
      </c>
      <c r="B17" t="s">
        <v>156</v>
      </c>
      <c r="C17">
        <v>5.47</v>
      </c>
    </row>
    <row r="18" spans="1:3" x14ac:dyDescent="0.25">
      <c r="A18" t="s">
        <v>88</v>
      </c>
      <c r="B18" t="s">
        <v>134</v>
      </c>
      <c r="C18">
        <v>2.7</v>
      </c>
    </row>
    <row r="19" spans="1:3" x14ac:dyDescent="0.25">
      <c r="A19" t="s">
        <v>88</v>
      </c>
      <c r="B19" t="s">
        <v>160</v>
      </c>
      <c r="C19">
        <v>2.78</v>
      </c>
    </row>
    <row r="20" spans="1:3" x14ac:dyDescent="0.25">
      <c r="A20" t="s">
        <v>88</v>
      </c>
      <c r="B20" t="s">
        <v>201</v>
      </c>
      <c r="C20">
        <v>1.804</v>
      </c>
    </row>
    <row r="21" spans="1:3" x14ac:dyDescent="0.25">
      <c r="A21" t="s">
        <v>88</v>
      </c>
      <c r="B21" t="s">
        <v>201</v>
      </c>
      <c r="C21">
        <v>1.804</v>
      </c>
    </row>
    <row r="22" spans="1:3" x14ac:dyDescent="0.25">
      <c r="A22" t="s">
        <v>90</v>
      </c>
      <c r="B22" t="s">
        <v>164</v>
      </c>
      <c r="C22">
        <v>8.3030000000000008</v>
      </c>
    </row>
    <row r="23" spans="1:3" x14ac:dyDescent="0.25">
      <c r="A23" t="s">
        <v>90</v>
      </c>
      <c r="B23" t="s">
        <v>120</v>
      </c>
      <c r="C23">
        <v>11.707000000000001</v>
      </c>
    </row>
    <row r="24" spans="1:3" x14ac:dyDescent="0.25">
      <c r="A24" t="s">
        <v>90</v>
      </c>
      <c r="B24" t="s">
        <v>91</v>
      </c>
      <c r="C24">
        <v>23.632999999999999</v>
      </c>
    </row>
    <row r="25" spans="1:3" x14ac:dyDescent="0.25">
      <c r="A25" t="s">
        <v>90</v>
      </c>
      <c r="B25" t="s">
        <v>109</v>
      </c>
      <c r="C25">
        <v>14.78</v>
      </c>
    </row>
    <row r="26" spans="1:3" x14ac:dyDescent="0.25">
      <c r="A26" t="s">
        <v>90</v>
      </c>
      <c r="B26" t="s">
        <v>109</v>
      </c>
      <c r="C26">
        <v>14.78</v>
      </c>
    </row>
    <row r="27" spans="1:3" x14ac:dyDescent="0.25">
      <c r="A27" t="s">
        <v>103</v>
      </c>
      <c r="B27" t="s">
        <v>274</v>
      </c>
      <c r="C27">
        <v>0.77</v>
      </c>
    </row>
    <row r="28" spans="1:3" x14ac:dyDescent="0.25">
      <c r="A28" t="s">
        <v>103</v>
      </c>
      <c r="B28" t="s">
        <v>167</v>
      </c>
      <c r="C28">
        <v>3.43</v>
      </c>
    </row>
    <row r="29" spans="1:3" x14ac:dyDescent="0.25">
      <c r="A29" t="s">
        <v>103</v>
      </c>
      <c r="B29" t="s">
        <v>158</v>
      </c>
      <c r="C29">
        <v>2.72</v>
      </c>
    </row>
    <row r="30" spans="1:3" x14ac:dyDescent="0.25">
      <c r="A30" t="s">
        <v>103</v>
      </c>
      <c r="B30" t="s">
        <v>139</v>
      </c>
      <c r="C30">
        <v>3.28</v>
      </c>
    </row>
    <row r="31" spans="1:3" x14ac:dyDescent="0.25">
      <c r="A31" t="s">
        <v>103</v>
      </c>
      <c r="B31" t="s">
        <v>104</v>
      </c>
      <c r="C31">
        <v>6.82</v>
      </c>
    </row>
    <row r="32" spans="1:3" x14ac:dyDescent="0.25">
      <c r="A32" t="s">
        <v>103</v>
      </c>
      <c r="B32" t="s">
        <v>141</v>
      </c>
      <c r="C32">
        <v>3.55</v>
      </c>
    </row>
    <row r="33" spans="1:3" x14ac:dyDescent="0.25">
      <c r="A33" t="s">
        <v>103</v>
      </c>
      <c r="B33" t="s">
        <v>45</v>
      </c>
      <c r="C33">
        <v>3.44</v>
      </c>
    </row>
    <row r="34" spans="1:3" x14ac:dyDescent="0.25">
      <c r="A34" t="s">
        <v>103</v>
      </c>
      <c r="B34" t="s">
        <v>137</v>
      </c>
      <c r="C34">
        <v>8.41</v>
      </c>
    </row>
    <row r="35" spans="1:3" x14ac:dyDescent="0.25">
      <c r="A35" t="s">
        <v>103</v>
      </c>
      <c r="B35" t="s">
        <v>194</v>
      </c>
      <c r="C35">
        <v>3.08</v>
      </c>
    </row>
    <row r="36" spans="1:3" x14ac:dyDescent="0.25">
      <c r="A36" t="s">
        <v>103</v>
      </c>
      <c r="B36" t="s">
        <v>194</v>
      </c>
      <c r="C36">
        <v>3.08</v>
      </c>
    </row>
    <row r="37" spans="1:3" x14ac:dyDescent="0.25">
      <c r="A37" t="s">
        <v>74</v>
      </c>
      <c r="B37" t="s">
        <v>221</v>
      </c>
      <c r="C37">
        <v>1.89</v>
      </c>
    </row>
    <row r="38" spans="1:3" x14ac:dyDescent="0.25">
      <c r="A38" t="s">
        <v>74</v>
      </c>
      <c r="B38" t="s">
        <v>75</v>
      </c>
      <c r="C38">
        <v>25.32</v>
      </c>
    </row>
    <row r="39" spans="1:3" x14ac:dyDescent="0.25">
      <c r="A39" t="s">
        <v>74</v>
      </c>
      <c r="B39" t="s">
        <v>75</v>
      </c>
      <c r="C39">
        <v>25.32</v>
      </c>
    </row>
    <row r="40" spans="1:3" x14ac:dyDescent="0.25">
      <c r="A40" t="s">
        <v>74</v>
      </c>
      <c r="B40" t="s">
        <v>105</v>
      </c>
      <c r="C40">
        <v>22.53</v>
      </c>
    </row>
    <row r="41" spans="1:3" x14ac:dyDescent="0.25">
      <c r="A41" t="s">
        <v>74</v>
      </c>
      <c r="B41" t="s">
        <v>174</v>
      </c>
      <c r="C41">
        <v>15.5</v>
      </c>
    </row>
    <row r="42" spans="1:3" x14ac:dyDescent="0.25">
      <c r="A42" t="s">
        <v>74</v>
      </c>
      <c r="B42" t="s">
        <v>130</v>
      </c>
      <c r="C42">
        <v>31.4</v>
      </c>
    </row>
    <row r="43" spans="1:3" x14ac:dyDescent="0.25">
      <c r="A43" t="s">
        <v>0</v>
      </c>
      <c r="B43" t="s">
        <v>111</v>
      </c>
      <c r="C43">
        <v>26.8</v>
      </c>
    </row>
    <row r="44" spans="1:3" x14ac:dyDescent="0.25">
      <c r="A44" t="s">
        <v>0</v>
      </c>
      <c r="B44" t="s">
        <v>133</v>
      </c>
      <c r="C44">
        <v>16.8</v>
      </c>
    </row>
    <row r="45" spans="1:3" x14ac:dyDescent="0.25">
      <c r="A45" t="s">
        <v>0</v>
      </c>
      <c r="B45" t="s">
        <v>95</v>
      </c>
      <c r="C45">
        <v>33.1</v>
      </c>
    </row>
    <row r="46" spans="1:3" x14ac:dyDescent="0.25">
      <c r="A46" t="s">
        <v>0</v>
      </c>
      <c r="B46" t="s">
        <v>150</v>
      </c>
      <c r="C46">
        <v>12.1</v>
      </c>
    </row>
    <row r="47" spans="1:3" x14ac:dyDescent="0.25">
      <c r="A47" t="s">
        <v>0</v>
      </c>
      <c r="B47" t="s">
        <v>150</v>
      </c>
      <c r="C47">
        <v>12.1</v>
      </c>
    </row>
    <row r="48" spans="1:3" x14ac:dyDescent="0.25">
      <c r="A48" t="s">
        <v>1</v>
      </c>
      <c r="B48" t="s">
        <v>112</v>
      </c>
      <c r="C48">
        <v>3.8</v>
      </c>
    </row>
    <row r="49" spans="1:3" x14ac:dyDescent="0.25">
      <c r="A49" t="s">
        <v>1</v>
      </c>
      <c r="B49" t="s">
        <v>152</v>
      </c>
      <c r="C49">
        <v>2.95</v>
      </c>
    </row>
    <row r="50" spans="1:3" x14ac:dyDescent="0.25">
      <c r="A50" t="s">
        <v>1</v>
      </c>
      <c r="B50" t="s">
        <v>94</v>
      </c>
      <c r="C50">
        <v>6.24</v>
      </c>
    </row>
    <row r="51" spans="1:3" x14ac:dyDescent="0.25">
      <c r="A51" t="s">
        <v>1</v>
      </c>
      <c r="B51" t="s">
        <v>92</v>
      </c>
      <c r="C51">
        <v>7.46</v>
      </c>
    </row>
    <row r="52" spans="1:3" x14ac:dyDescent="0.25">
      <c r="A52" t="s">
        <v>1</v>
      </c>
      <c r="B52" t="s">
        <v>155</v>
      </c>
      <c r="C52">
        <v>3.4</v>
      </c>
    </row>
    <row r="53" spans="1:3" x14ac:dyDescent="0.25">
      <c r="A53" t="s">
        <v>1</v>
      </c>
      <c r="B53" t="s">
        <v>144</v>
      </c>
      <c r="C53">
        <v>3.9750000000000001</v>
      </c>
    </row>
    <row r="54" spans="1:3" x14ac:dyDescent="0.25">
      <c r="A54" t="s">
        <v>1</v>
      </c>
      <c r="B54" t="s">
        <v>214</v>
      </c>
      <c r="C54">
        <v>1.2250000000000001</v>
      </c>
    </row>
    <row r="55" spans="1:3" x14ac:dyDescent="0.25">
      <c r="A55" t="s">
        <v>1</v>
      </c>
      <c r="B55" t="s">
        <v>217</v>
      </c>
      <c r="C55">
        <v>0.86799999999999999</v>
      </c>
    </row>
    <row r="56" spans="1:3" x14ac:dyDescent="0.25">
      <c r="A56" t="s">
        <v>1</v>
      </c>
      <c r="B56" t="s">
        <v>82</v>
      </c>
      <c r="C56">
        <v>15.516</v>
      </c>
    </row>
    <row r="57" spans="1:3" x14ac:dyDescent="0.25">
      <c r="A57" t="s">
        <v>1</v>
      </c>
      <c r="B57" t="s">
        <v>110</v>
      </c>
      <c r="C57">
        <v>11.286</v>
      </c>
    </row>
    <row r="58" spans="1:3" x14ac:dyDescent="0.25">
      <c r="A58" t="s">
        <v>1</v>
      </c>
      <c r="B58" t="s">
        <v>143</v>
      </c>
      <c r="C58">
        <v>8.08</v>
      </c>
    </row>
    <row r="59" spans="1:3" x14ac:dyDescent="0.25">
      <c r="A59" t="s">
        <v>1</v>
      </c>
      <c r="B59" t="s">
        <v>143</v>
      </c>
      <c r="C59">
        <v>8.08</v>
      </c>
    </row>
    <row r="60" spans="1:3" x14ac:dyDescent="0.25">
      <c r="A60" t="s">
        <v>1</v>
      </c>
      <c r="B60" t="s">
        <v>176</v>
      </c>
      <c r="C60">
        <v>6.9</v>
      </c>
    </row>
    <row r="61" spans="1:3" x14ac:dyDescent="0.25">
      <c r="A61" t="s">
        <v>1</v>
      </c>
      <c r="B61" t="s">
        <v>200</v>
      </c>
      <c r="C61">
        <v>10.64</v>
      </c>
    </row>
    <row r="62" spans="1:3" x14ac:dyDescent="0.25">
      <c r="A62" t="s">
        <v>1</v>
      </c>
      <c r="B62" t="s">
        <v>189</v>
      </c>
      <c r="C62">
        <v>14.86</v>
      </c>
    </row>
    <row r="63" spans="1:3" x14ac:dyDescent="0.25">
      <c r="A63" t="s">
        <v>1</v>
      </c>
      <c r="B63" t="s">
        <v>216</v>
      </c>
      <c r="C63">
        <v>7.4</v>
      </c>
    </row>
    <row r="64" spans="1:3" x14ac:dyDescent="0.25">
      <c r="A64" t="s">
        <v>1</v>
      </c>
      <c r="B64" t="s">
        <v>216</v>
      </c>
      <c r="C64">
        <v>7.4</v>
      </c>
    </row>
    <row r="65" spans="1:3" x14ac:dyDescent="0.25">
      <c r="A65" t="s">
        <v>66</v>
      </c>
      <c r="B65" t="s">
        <v>168</v>
      </c>
      <c r="C65">
        <v>1.03</v>
      </c>
    </row>
    <row r="66" spans="1:3" x14ac:dyDescent="0.25">
      <c r="A66" t="s">
        <v>66</v>
      </c>
      <c r="B66" t="s">
        <v>168</v>
      </c>
      <c r="C66">
        <v>1.03</v>
      </c>
    </row>
    <row r="67" spans="1:3" x14ac:dyDescent="0.25">
      <c r="A67" t="s">
        <v>66</v>
      </c>
      <c r="B67" t="s">
        <v>107</v>
      </c>
      <c r="C67">
        <v>2.0950000000000002</v>
      </c>
    </row>
    <row r="68" spans="1:3" x14ac:dyDescent="0.25">
      <c r="A68" t="s">
        <v>66</v>
      </c>
      <c r="B68" t="s">
        <v>67</v>
      </c>
      <c r="C68">
        <v>5.25</v>
      </c>
    </row>
    <row r="69" spans="1:3" x14ac:dyDescent="0.25">
      <c r="A69" t="s">
        <v>66</v>
      </c>
      <c r="B69" t="s">
        <v>80</v>
      </c>
      <c r="C69">
        <v>12.835000000000001</v>
      </c>
    </row>
    <row r="70" spans="1:3" x14ac:dyDescent="0.25">
      <c r="A70" t="s">
        <v>66</v>
      </c>
      <c r="B70" t="s">
        <v>135</v>
      </c>
      <c r="C70">
        <v>4.5250000000000004</v>
      </c>
    </row>
    <row r="71" spans="1:3" x14ac:dyDescent="0.25">
      <c r="A71" t="s">
        <v>66</v>
      </c>
      <c r="B71" t="s">
        <v>93</v>
      </c>
      <c r="C71">
        <v>9.4550000000000001</v>
      </c>
    </row>
    <row r="72" spans="1:3" x14ac:dyDescent="0.25">
      <c r="A72" t="s">
        <v>66</v>
      </c>
      <c r="B72" t="s">
        <v>151</v>
      </c>
      <c r="C72">
        <v>7.2350000000000003</v>
      </c>
    </row>
    <row r="73" spans="1:3" x14ac:dyDescent="0.25">
      <c r="A73" t="s">
        <v>66</v>
      </c>
      <c r="B73" t="s">
        <v>211</v>
      </c>
      <c r="C73">
        <v>4.5149999999999997</v>
      </c>
    </row>
    <row r="74" spans="1:3" x14ac:dyDescent="0.25">
      <c r="A74" t="s">
        <v>66</v>
      </c>
      <c r="B74" t="s">
        <v>122</v>
      </c>
      <c r="C74">
        <v>19.899999999999999</v>
      </c>
    </row>
    <row r="75" spans="1:3" x14ac:dyDescent="0.25">
      <c r="A75" t="s">
        <v>66</v>
      </c>
      <c r="B75" t="s">
        <v>182</v>
      </c>
      <c r="C75">
        <v>10</v>
      </c>
    </row>
    <row r="76" spans="1:3" x14ac:dyDescent="0.25">
      <c r="A76" t="s">
        <v>66</v>
      </c>
      <c r="B76" t="s">
        <v>235</v>
      </c>
      <c r="C76">
        <v>0.83</v>
      </c>
    </row>
    <row r="77" spans="1:3" x14ac:dyDescent="0.25">
      <c r="A77" t="s">
        <v>66</v>
      </c>
      <c r="B77" t="s">
        <v>129</v>
      </c>
      <c r="C77">
        <v>20.78</v>
      </c>
    </row>
    <row r="78" spans="1:3" x14ac:dyDescent="0.25">
      <c r="A78" t="s">
        <v>66</v>
      </c>
      <c r="B78" t="s">
        <v>202</v>
      </c>
      <c r="C78">
        <v>8</v>
      </c>
    </row>
    <row r="79" spans="1:3" x14ac:dyDescent="0.25">
      <c r="A79" t="s">
        <v>66</v>
      </c>
      <c r="B79" t="s">
        <v>245</v>
      </c>
      <c r="C79">
        <v>0.6</v>
      </c>
    </row>
    <row r="80" spans="1:3" x14ac:dyDescent="0.25">
      <c r="A80" t="s">
        <v>66</v>
      </c>
      <c r="B80" t="s">
        <v>245</v>
      </c>
      <c r="C80">
        <v>0.6</v>
      </c>
    </row>
    <row r="81" spans="1:3" x14ac:dyDescent="0.25">
      <c r="A81" t="s">
        <v>66</v>
      </c>
      <c r="B81" t="s">
        <v>227</v>
      </c>
      <c r="C81">
        <v>1.23</v>
      </c>
    </row>
    <row r="82" spans="1:3" x14ac:dyDescent="0.25">
      <c r="A82" t="s">
        <v>66</v>
      </c>
      <c r="B82" t="s">
        <v>238</v>
      </c>
      <c r="C82">
        <v>1.06</v>
      </c>
    </row>
    <row r="83" spans="1:3" x14ac:dyDescent="0.25">
      <c r="A83" t="s">
        <v>66</v>
      </c>
      <c r="B83" t="s">
        <v>239</v>
      </c>
      <c r="C83">
        <v>0.66500000000000004</v>
      </c>
    </row>
    <row r="84" spans="1:3" x14ac:dyDescent="0.25">
      <c r="A84" t="s">
        <v>66</v>
      </c>
      <c r="B84" t="s">
        <v>219</v>
      </c>
      <c r="C84">
        <v>1.32</v>
      </c>
    </row>
    <row r="85" spans="1:3" x14ac:dyDescent="0.25">
      <c r="A85" t="s">
        <v>66</v>
      </c>
      <c r="B85" t="s">
        <v>219</v>
      </c>
      <c r="C85">
        <v>1.32</v>
      </c>
    </row>
    <row r="86" spans="1:3" x14ac:dyDescent="0.25">
      <c r="A86" t="s">
        <v>66</v>
      </c>
      <c r="B86" t="s">
        <v>212</v>
      </c>
      <c r="C86">
        <v>1.01</v>
      </c>
    </row>
    <row r="87" spans="1:3" x14ac:dyDescent="0.25">
      <c r="A87" t="s">
        <v>64</v>
      </c>
      <c r="B87" t="s">
        <v>65</v>
      </c>
      <c r="C87">
        <v>3</v>
      </c>
    </row>
    <row r="88" spans="1:3" x14ac:dyDescent="0.25">
      <c r="A88" t="s">
        <v>64</v>
      </c>
      <c r="B88" t="s">
        <v>121</v>
      </c>
      <c r="C88">
        <v>4.25</v>
      </c>
    </row>
    <row r="89" spans="1:3" x14ac:dyDescent="0.25">
      <c r="A89" t="s">
        <v>64</v>
      </c>
      <c r="B89" t="s">
        <v>116</v>
      </c>
      <c r="C89">
        <v>5.0599999999999996</v>
      </c>
    </row>
    <row r="90" spans="1:3" x14ac:dyDescent="0.25">
      <c r="A90" t="s">
        <v>64</v>
      </c>
      <c r="B90" t="s">
        <v>165</v>
      </c>
      <c r="C90">
        <v>3.4</v>
      </c>
    </row>
    <row r="91" spans="1:3" x14ac:dyDescent="0.25">
      <c r="A91" t="s">
        <v>64</v>
      </c>
      <c r="B91" t="s">
        <v>115</v>
      </c>
      <c r="C91">
        <v>3.4</v>
      </c>
    </row>
    <row r="92" spans="1:3" x14ac:dyDescent="0.25">
      <c r="A92" t="s">
        <v>64</v>
      </c>
      <c r="B92" t="s">
        <v>99</v>
      </c>
      <c r="C92">
        <v>5.72</v>
      </c>
    </row>
    <row r="93" spans="1:3" x14ac:dyDescent="0.25">
      <c r="A93" t="s">
        <v>64</v>
      </c>
      <c r="B93" t="s">
        <v>179</v>
      </c>
      <c r="C93">
        <v>2.61</v>
      </c>
    </row>
    <row r="94" spans="1:3" x14ac:dyDescent="0.25">
      <c r="A94" t="s">
        <v>64</v>
      </c>
      <c r="B94" t="s">
        <v>175</v>
      </c>
      <c r="C94">
        <v>2.2000000000000002</v>
      </c>
    </row>
    <row r="95" spans="1:3" x14ac:dyDescent="0.25">
      <c r="A95" t="s">
        <v>64</v>
      </c>
      <c r="B95" t="s">
        <v>71</v>
      </c>
      <c r="C95">
        <v>7.7</v>
      </c>
    </row>
    <row r="96" spans="1:3" x14ac:dyDescent="0.25">
      <c r="A96" t="s">
        <v>64</v>
      </c>
      <c r="B96" t="s">
        <v>68</v>
      </c>
      <c r="C96">
        <v>12.3</v>
      </c>
    </row>
    <row r="97" spans="1:3" x14ac:dyDescent="0.25">
      <c r="A97" t="s">
        <v>64</v>
      </c>
      <c r="B97" t="s">
        <v>213</v>
      </c>
      <c r="C97">
        <v>0.75</v>
      </c>
    </row>
    <row r="98" spans="1:3" x14ac:dyDescent="0.25">
      <c r="A98" t="s">
        <v>64</v>
      </c>
      <c r="B98" t="s">
        <v>222</v>
      </c>
      <c r="C98">
        <v>1.25</v>
      </c>
    </row>
    <row r="99" spans="1:3" x14ac:dyDescent="0.25">
      <c r="A99" t="s">
        <v>77</v>
      </c>
      <c r="B99" t="s">
        <v>224</v>
      </c>
      <c r="C99">
        <v>2.0430000000000001</v>
      </c>
    </row>
    <row r="100" spans="1:3" x14ac:dyDescent="0.25">
      <c r="A100" t="s">
        <v>77</v>
      </c>
      <c r="B100" t="s">
        <v>97</v>
      </c>
      <c r="C100">
        <v>8.6150000000000002</v>
      </c>
    </row>
    <row r="101" spans="1:3" x14ac:dyDescent="0.25">
      <c r="A101" t="s">
        <v>77</v>
      </c>
      <c r="B101" t="s">
        <v>101</v>
      </c>
      <c r="C101">
        <v>5.3949999999999996</v>
      </c>
    </row>
    <row r="102" spans="1:3" x14ac:dyDescent="0.25">
      <c r="A102" t="s">
        <v>77</v>
      </c>
      <c r="B102" t="s">
        <v>142</v>
      </c>
      <c r="C102">
        <v>3.7429999999999999</v>
      </c>
    </row>
    <row r="103" spans="1:3" x14ac:dyDescent="0.25">
      <c r="A103" t="s">
        <v>77</v>
      </c>
      <c r="B103" t="s">
        <v>145</v>
      </c>
      <c r="C103">
        <v>3.2280000000000002</v>
      </c>
    </row>
    <row r="104" spans="1:3" x14ac:dyDescent="0.25">
      <c r="A104" t="s">
        <v>77</v>
      </c>
      <c r="B104" t="s">
        <v>136</v>
      </c>
      <c r="C104">
        <v>3.8319999999999999</v>
      </c>
    </row>
    <row r="105" spans="1:3" x14ac:dyDescent="0.25">
      <c r="A105" t="s">
        <v>77</v>
      </c>
      <c r="B105" t="s">
        <v>123</v>
      </c>
      <c r="C105">
        <v>6.1639999999999997</v>
      </c>
    </row>
    <row r="106" spans="1:3" x14ac:dyDescent="0.25">
      <c r="A106" t="s">
        <v>77</v>
      </c>
      <c r="B106" t="s">
        <v>123</v>
      </c>
      <c r="C106">
        <v>6.1639999999999997</v>
      </c>
    </row>
    <row r="107" spans="1:3" x14ac:dyDescent="0.25">
      <c r="A107" t="s">
        <v>77</v>
      </c>
      <c r="B107" t="s">
        <v>98</v>
      </c>
      <c r="C107">
        <v>6.0250000000000004</v>
      </c>
    </row>
    <row r="108" spans="1:3" x14ac:dyDescent="0.25">
      <c r="A108" t="s">
        <v>77</v>
      </c>
      <c r="B108" t="s">
        <v>85</v>
      </c>
      <c r="C108">
        <v>9.5890000000000004</v>
      </c>
    </row>
    <row r="109" spans="1:3" x14ac:dyDescent="0.25">
      <c r="A109" t="s">
        <v>77</v>
      </c>
      <c r="B109" t="s">
        <v>204</v>
      </c>
      <c r="C109">
        <v>3.3580000000000001</v>
      </c>
    </row>
    <row r="110" spans="1:3" x14ac:dyDescent="0.25">
      <c r="A110" t="s">
        <v>77</v>
      </c>
      <c r="B110" t="s">
        <v>196</v>
      </c>
      <c r="C110">
        <v>3.0009999999999999</v>
      </c>
    </row>
    <row r="111" spans="1:3" x14ac:dyDescent="0.25">
      <c r="A111" t="s">
        <v>77</v>
      </c>
      <c r="B111" t="s">
        <v>205</v>
      </c>
      <c r="C111">
        <v>1.5780000000000001</v>
      </c>
    </row>
    <row r="112" spans="1:3" x14ac:dyDescent="0.25">
      <c r="A112" t="s">
        <v>77</v>
      </c>
      <c r="B112" t="s">
        <v>146</v>
      </c>
      <c r="C112">
        <v>3.4340000000000002</v>
      </c>
    </row>
    <row r="113" spans="1:3" x14ac:dyDescent="0.25">
      <c r="A113" t="s">
        <v>77</v>
      </c>
      <c r="B113" t="s">
        <v>78</v>
      </c>
      <c r="C113">
        <v>6.2030000000000003</v>
      </c>
    </row>
    <row r="114" spans="1:3" x14ac:dyDescent="0.25">
      <c r="A114" t="s">
        <v>77</v>
      </c>
      <c r="B114" t="s">
        <v>162</v>
      </c>
      <c r="C114">
        <v>3.0419999999999998</v>
      </c>
    </row>
    <row r="115" spans="1:3" x14ac:dyDescent="0.25">
      <c r="A115" t="s">
        <v>77</v>
      </c>
      <c r="B115" t="s">
        <v>87</v>
      </c>
      <c r="C115">
        <v>4.9930000000000003</v>
      </c>
    </row>
    <row r="116" spans="1:3" x14ac:dyDescent="0.25">
      <c r="A116" t="s">
        <v>77</v>
      </c>
      <c r="B116" t="s">
        <v>225</v>
      </c>
      <c r="C116">
        <v>1.3149999999999999</v>
      </c>
    </row>
    <row r="117" spans="1:3" x14ac:dyDescent="0.25">
      <c r="A117" t="s">
        <v>77</v>
      </c>
      <c r="B117" t="s">
        <v>83</v>
      </c>
      <c r="C117">
        <v>6.2060000000000004</v>
      </c>
    </row>
    <row r="118" spans="1:3" x14ac:dyDescent="0.25">
      <c r="A118" t="s">
        <v>77</v>
      </c>
      <c r="B118" t="s">
        <v>193</v>
      </c>
      <c r="C118">
        <v>1.4</v>
      </c>
    </row>
    <row r="119" spans="1:3" x14ac:dyDescent="0.25">
      <c r="A119" t="s">
        <v>77</v>
      </c>
      <c r="B119" t="s">
        <v>192</v>
      </c>
      <c r="C119">
        <v>1</v>
      </c>
    </row>
    <row r="120" spans="1:3" x14ac:dyDescent="0.25">
      <c r="A120" t="s">
        <v>77</v>
      </c>
      <c r="B120" t="s">
        <v>210</v>
      </c>
      <c r="C120">
        <v>1.1000000000000001</v>
      </c>
    </row>
    <row r="121" spans="1:3" x14ac:dyDescent="0.25">
      <c r="A121" t="s">
        <v>77</v>
      </c>
      <c r="B121" t="s">
        <v>177</v>
      </c>
      <c r="C121">
        <v>4</v>
      </c>
    </row>
    <row r="122" spans="1:3" x14ac:dyDescent="0.25">
      <c r="A122" t="s">
        <v>3</v>
      </c>
      <c r="B122" t="s">
        <v>161</v>
      </c>
      <c r="C122">
        <v>3.27</v>
      </c>
    </row>
    <row r="123" spans="1:3" x14ac:dyDescent="0.25">
      <c r="A123" t="s">
        <v>3</v>
      </c>
      <c r="B123" t="s">
        <v>229</v>
      </c>
      <c r="C123">
        <v>1.1100000000000001</v>
      </c>
    </row>
    <row r="124" spans="1:3" x14ac:dyDescent="0.25">
      <c r="A124" t="s">
        <v>3</v>
      </c>
      <c r="B124" t="s">
        <v>108</v>
      </c>
      <c r="C124">
        <v>2E-3</v>
      </c>
    </row>
    <row r="125" spans="1:3" x14ac:dyDescent="0.25">
      <c r="A125" t="s">
        <v>3</v>
      </c>
      <c r="B125" t="s">
        <v>203</v>
      </c>
      <c r="C125">
        <v>1E-3</v>
      </c>
    </row>
    <row r="126" spans="1:3" x14ac:dyDescent="0.25">
      <c r="A126" t="s">
        <v>3</v>
      </c>
      <c r="B126" t="s">
        <v>180</v>
      </c>
      <c r="C126">
        <v>1E-3</v>
      </c>
    </row>
    <row r="127" spans="1:3" x14ac:dyDescent="0.25">
      <c r="A127" t="s">
        <v>3</v>
      </c>
      <c r="B127" t="s">
        <v>173</v>
      </c>
      <c r="C127">
        <v>1E-3</v>
      </c>
    </row>
    <row r="128" spans="1:3" x14ac:dyDescent="0.25">
      <c r="A128" t="s">
        <v>3</v>
      </c>
      <c r="B128" t="s">
        <v>207</v>
      </c>
      <c r="C128">
        <v>2E-3</v>
      </c>
    </row>
    <row r="129" spans="1:3" x14ac:dyDescent="0.25">
      <c r="A129" t="s">
        <v>3</v>
      </c>
      <c r="B129" t="s">
        <v>226</v>
      </c>
      <c r="C129">
        <v>1E-3</v>
      </c>
    </row>
    <row r="130" spans="1:3" x14ac:dyDescent="0.25">
      <c r="A130" t="s">
        <v>3</v>
      </c>
      <c r="B130" t="s">
        <v>226</v>
      </c>
      <c r="C130">
        <v>1E-3</v>
      </c>
    </row>
    <row r="131" spans="1:3" x14ac:dyDescent="0.25">
      <c r="A131" t="s">
        <v>3</v>
      </c>
      <c r="B131" t="s">
        <v>138</v>
      </c>
      <c r="C131">
        <v>10.307</v>
      </c>
    </row>
    <row r="132" spans="1:3" x14ac:dyDescent="0.25">
      <c r="A132" t="s">
        <v>3</v>
      </c>
      <c r="B132" t="s">
        <v>186</v>
      </c>
      <c r="C132">
        <v>4.3689999999999998</v>
      </c>
    </row>
    <row r="133" spans="1:3" x14ac:dyDescent="0.25">
      <c r="A133" t="s">
        <v>3</v>
      </c>
      <c r="B133" t="s">
        <v>188</v>
      </c>
      <c r="C133">
        <v>5.2809999999999997</v>
      </c>
    </row>
    <row r="134" spans="1:3" x14ac:dyDescent="0.25">
      <c r="A134" t="s">
        <v>3</v>
      </c>
      <c r="B134" t="s">
        <v>157</v>
      </c>
      <c r="C134">
        <v>6.6120000000000001</v>
      </c>
    </row>
    <row r="135" spans="1:3" x14ac:dyDescent="0.25">
      <c r="A135" t="s">
        <v>3</v>
      </c>
      <c r="B135" t="s">
        <v>208</v>
      </c>
      <c r="C135">
        <v>5.6210000000000004</v>
      </c>
    </row>
    <row r="136" spans="1:3" x14ac:dyDescent="0.25">
      <c r="A136" t="s">
        <v>3</v>
      </c>
      <c r="B136" t="s">
        <v>191</v>
      </c>
      <c r="C136">
        <v>6.4649999999999999</v>
      </c>
    </row>
    <row r="137" spans="1:3" x14ac:dyDescent="0.25">
      <c r="A137" t="s">
        <v>3</v>
      </c>
      <c r="B137" t="s">
        <v>79</v>
      </c>
      <c r="C137">
        <v>16.257999999999999</v>
      </c>
    </row>
    <row r="138" spans="1:3" x14ac:dyDescent="0.25">
      <c r="A138" t="s">
        <v>3</v>
      </c>
      <c r="B138" t="s">
        <v>100</v>
      </c>
      <c r="C138">
        <v>8.673</v>
      </c>
    </row>
    <row r="139" spans="1:3" x14ac:dyDescent="0.25">
      <c r="A139" t="s">
        <v>3</v>
      </c>
      <c r="B139" t="s">
        <v>84</v>
      </c>
      <c r="C139">
        <v>14.273</v>
      </c>
    </row>
    <row r="140" spans="1:3" x14ac:dyDescent="0.25">
      <c r="A140" t="s">
        <v>3</v>
      </c>
      <c r="B140" t="s">
        <v>119</v>
      </c>
      <c r="C140">
        <v>10.109</v>
      </c>
    </row>
    <row r="141" spans="1:3" x14ac:dyDescent="0.25">
      <c r="A141" t="s">
        <v>3</v>
      </c>
      <c r="B141" t="s">
        <v>195</v>
      </c>
      <c r="C141">
        <v>3.1320000000000001</v>
      </c>
    </row>
    <row r="142" spans="1:3" x14ac:dyDescent="0.25">
      <c r="A142" t="s">
        <v>72</v>
      </c>
      <c r="B142" t="s">
        <v>73</v>
      </c>
      <c r="C142">
        <v>8.98</v>
      </c>
    </row>
    <row r="143" spans="1:3" x14ac:dyDescent="0.25">
      <c r="A143" t="s">
        <v>72</v>
      </c>
      <c r="B143" t="s">
        <v>76</v>
      </c>
      <c r="C143">
        <v>8.8699999999999992</v>
      </c>
    </row>
    <row r="144" spans="1:3" x14ac:dyDescent="0.25">
      <c r="A144" t="s">
        <v>72</v>
      </c>
      <c r="B144" t="s">
        <v>81</v>
      </c>
      <c r="C144">
        <v>11.5</v>
      </c>
    </row>
    <row r="145" spans="1:3" x14ac:dyDescent="0.25">
      <c r="A145" t="s">
        <v>72</v>
      </c>
      <c r="B145" t="s">
        <v>209</v>
      </c>
      <c r="C145">
        <v>2.0299999999999998</v>
      </c>
    </row>
    <row r="146" spans="1:3" x14ac:dyDescent="0.25">
      <c r="A146" t="s">
        <v>72</v>
      </c>
      <c r="B146" t="s">
        <v>125</v>
      </c>
      <c r="C146">
        <v>17.29</v>
      </c>
    </row>
    <row r="147" spans="1:3" x14ac:dyDescent="0.25">
      <c r="A147" t="s">
        <v>72</v>
      </c>
      <c r="B147" t="s">
        <v>125</v>
      </c>
      <c r="C147">
        <v>17.29</v>
      </c>
    </row>
    <row r="148" spans="1:3" x14ac:dyDescent="0.25">
      <c r="A148" t="s">
        <v>72</v>
      </c>
      <c r="B148" t="s">
        <v>149</v>
      </c>
      <c r="C148">
        <v>9.5820000000000007</v>
      </c>
    </row>
    <row r="149" spans="1:3" x14ac:dyDescent="0.25">
      <c r="A149" t="s">
        <v>72</v>
      </c>
      <c r="B149" t="s">
        <v>163</v>
      </c>
      <c r="C149">
        <v>9.4179999999999993</v>
      </c>
    </row>
    <row r="150" spans="1:3" x14ac:dyDescent="0.25">
      <c r="A150" t="s">
        <v>72</v>
      </c>
      <c r="B150" t="s">
        <v>187</v>
      </c>
      <c r="C150">
        <v>5.21</v>
      </c>
    </row>
    <row r="151" spans="1:3" x14ac:dyDescent="0.25">
      <c r="A151" t="s">
        <v>72</v>
      </c>
      <c r="B151" t="s">
        <v>187</v>
      </c>
      <c r="C151">
        <v>5.21</v>
      </c>
    </row>
    <row r="152" spans="1:3" x14ac:dyDescent="0.25">
      <c r="A152" t="s">
        <v>72</v>
      </c>
      <c r="B152" t="s">
        <v>240</v>
      </c>
      <c r="C152">
        <v>3.2</v>
      </c>
    </row>
    <row r="153" spans="1:3" x14ac:dyDescent="0.25">
      <c r="A153" t="s">
        <v>72</v>
      </c>
      <c r="B153" t="s">
        <v>240</v>
      </c>
      <c r="C153">
        <v>3.2</v>
      </c>
    </row>
    <row r="154" spans="1:3" x14ac:dyDescent="0.25">
      <c r="A154" t="s">
        <v>69</v>
      </c>
      <c r="B154" t="s">
        <v>241</v>
      </c>
      <c r="C154">
        <v>0.246</v>
      </c>
    </row>
    <row r="155" spans="1:3" x14ac:dyDescent="0.25">
      <c r="A155" t="s">
        <v>69</v>
      </c>
      <c r="B155" t="s">
        <v>197</v>
      </c>
      <c r="C155">
        <v>0.84599999999999997</v>
      </c>
    </row>
    <row r="156" spans="1:3" x14ac:dyDescent="0.25">
      <c r="A156" t="s">
        <v>69</v>
      </c>
      <c r="B156" t="s">
        <v>154</v>
      </c>
      <c r="C156">
        <v>2.008</v>
      </c>
    </row>
    <row r="157" spans="1:3" x14ac:dyDescent="0.25">
      <c r="A157" t="s">
        <v>69</v>
      </c>
      <c r="B157" t="s">
        <v>231</v>
      </c>
      <c r="C157">
        <v>0.89500000000000002</v>
      </c>
    </row>
    <row r="158" spans="1:3" x14ac:dyDescent="0.25">
      <c r="A158" t="s">
        <v>69</v>
      </c>
      <c r="B158" t="s">
        <v>218</v>
      </c>
      <c r="C158">
        <v>1.6479999999999999</v>
      </c>
    </row>
    <row r="159" spans="1:3" x14ac:dyDescent="0.25">
      <c r="A159" t="s">
        <v>69</v>
      </c>
      <c r="B159" t="s">
        <v>148</v>
      </c>
      <c r="C159">
        <v>4.431</v>
      </c>
    </row>
    <row r="160" spans="1:3" x14ac:dyDescent="0.25">
      <c r="A160" t="s">
        <v>69</v>
      </c>
      <c r="B160" t="s">
        <v>206</v>
      </c>
      <c r="C160">
        <v>1.508</v>
      </c>
    </row>
    <row r="161" spans="1:3" x14ac:dyDescent="0.25">
      <c r="A161" t="s">
        <v>69</v>
      </c>
      <c r="B161" t="s">
        <v>128</v>
      </c>
      <c r="C161">
        <v>6.3540000000000001</v>
      </c>
    </row>
    <row r="162" spans="1:3" x14ac:dyDescent="0.25">
      <c r="A162" t="s">
        <v>69</v>
      </c>
      <c r="B162" t="s">
        <v>199</v>
      </c>
      <c r="C162">
        <v>3.3969999999999998</v>
      </c>
    </row>
    <row r="163" spans="1:3" x14ac:dyDescent="0.25">
      <c r="A163" t="s">
        <v>69</v>
      </c>
      <c r="B163" t="s">
        <v>86</v>
      </c>
      <c r="C163">
        <v>6.4359999999999999</v>
      </c>
    </row>
    <row r="164" spans="1:3" x14ac:dyDescent="0.25">
      <c r="A164" t="s">
        <v>69</v>
      </c>
      <c r="B164" t="s">
        <v>113</v>
      </c>
      <c r="C164">
        <v>4.6500000000000004</v>
      </c>
    </row>
    <row r="165" spans="1:3" x14ac:dyDescent="0.25">
      <c r="A165" t="s">
        <v>69</v>
      </c>
      <c r="B165" t="s">
        <v>70</v>
      </c>
      <c r="C165">
        <v>2.7</v>
      </c>
    </row>
    <row r="166" spans="1:3" x14ac:dyDescent="0.25">
      <c r="A166" t="s">
        <v>69</v>
      </c>
      <c r="B166" t="s">
        <v>140</v>
      </c>
      <c r="C166">
        <v>1.77</v>
      </c>
    </row>
    <row r="167" spans="1:3" x14ac:dyDescent="0.25">
      <c r="A167" t="s">
        <v>69</v>
      </c>
      <c r="B167" t="s">
        <v>183</v>
      </c>
      <c r="C167">
        <v>2.95</v>
      </c>
    </row>
    <row r="168" spans="1:3" x14ac:dyDescent="0.25">
      <c r="A168" t="s">
        <v>69</v>
      </c>
      <c r="B168" t="s">
        <v>233</v>
      </c>
      <c r="C168">
        <v>0.35</v>
      </c>
    </row>
    <row r="169" spans="1:3" x14ac:dyDescent="0.25">
      <c r="A169" t="s">
        <v>69</v>
      </c>
      <c r="B169" t="s">
        <v>233</v>
      </c>
      <c r="C169">
        <v>0.4</v>
      </c>
    </row>
    <row r="170" spans="1:3" x14ac:dyDescent="0.25">
      <c r="A170" t="s">
        <v>69</v>
      </c>
      <c r="B170" t="s">
        <v>230</v>
      </c>
      <c r="C170">
        <v>0.4</v>
      </c>
    </row>
    <row r="171" spans="1:3" x14ac:dyDescent="0.25">
      <c r="A171" t="s">
        <v>69</v>
      </c>
      <c r="B171" t="s">
        <v>132</v>
      </c>
      <c r="C171">
        <v>1.65</v>
      </c>
    </row>
    <row r="172" spans="1:3" x14ac:dyDescent="0.25">
      <c r="A172" t="s">
        <v>69</v>
      </c>
      <c r="B172" t="s">
        <v>184</v>
      </c>
      <c r="C172">
        <v>1.07</v>
      </c>
    </row>
    <row r="173" spans="1:3" x14ac:dyDescent="0.25">
      <c r="A173" t="s">
        <v>69</v>
      </c>
      <c r="B173" t="s">
        <v>215</v>
      </c>
      <c r="C173">
        <v>1.26</v>
      </c>
    </row>
    <row r="174" spans="1:3" x14ac:dyDescent="0.25">
      <c r="A174" t="s">
        <v>69</v>
      </c>
      <c r="B174" t="s">
        <v>223</v>
      </c>
      <c r="C174">
        <v>1.05</v>
      </c>
    </row>
    <row r="175" spans="1:3" x14ac:dyDescent="0.25">
      <c r="A175" t="s">
        <v>69</v>
      </c>
      <c r="B175" t="s">
        <v>234</v>
      </c>
      <c r="C175">
        <v>6.8</v>
      </c>
    </row>
    <row r="176" spans="1:3" x14ac:dyDescent="0.25">
      <c r="A176" t="s">
        <v>69</v>
      </c>
      <c r="B176" t="s">
        <v>234</v>
      </c>
      <c r="C176">
        <v>6.8</v>
      </c>
    </row>
    <row r="177" spans="1:3" x14ac:dyDescent="0.25">
      <c r="A177" t="s">
        <v>69</v>
      </c>
      <c r="B177" t="s">
        <v>190</v>
      </c>
      <c r="C177">
        <v>2.1</v>
      </c>
    </row>
    <row r="178" spans="1:3" x14ac:dyDescent="0.25">
      <c r="A178" t="s">
        <v>69</v>
      </c>
      <c r="B178" t="s">
        <v>159</v>
      </c>
      <c r="C178">
        <v>2.5</v>
      </c>
    </row>
    <row r="179" spans="1:3" x14ac:dyDescent="0.25">
      <c r="A179" t="s">
        <v>69</v>
      </c>
      <c r="B179" t="s">
        <v>124</v>
      </c>
      <c r="C179">
        <v>2.6</v>
      </c>
    </row>
    <row r="180" spans="1:3" x14ac:dyDescent="0.25">
      <c r="A180" t="s">
        <v>69</v>
      </c>
      <c r="B180" t="s">
        <v>181</v>
      </c>
      <c r="C180">
        <v>1.65</v>
      </c>
    </row>
    <row r="181" spans="1:3" x14ac:dyDescent="0.25">
      <c r="A181" t="s">
        <v>69</v>
      </c>
      <c r="B181" t="s">
        <v>220</v>
      </c>
      <c r="C181">
        <v>0.65</v>
      </c>
    </row>
    <row r="182" spans="1:3" x14ac:dyDescent="0.25">
      <c r="A182" t="s">
        <v>69</v>
      </c>
      <c r="B182" t="s">
        <v>220</v>
      </c>
      <c r="C182">
        <v>0.65</v>
      </c>
    </row>
    <row r="183" spans="1:3" x14ac:dyDescent="0.25">
      <c r="A183" t="s">
        <v>69</v>
      </c>
      <c r="B183" t="s">
        <v>244</v>
      </c>
      <c r="C183">
        <v>0.45</v>
      </c>
    </row>
    <row r="184" spans="1:3" x14ac:dyDescent="0.25">
      <c r="A184" t="s">
        <v>69</v>
      </c>
      <c r="B184" t="s">
        <v>228</v>
      </c>
      <c r="C184">
        <v>1.75</v>
      </c>
    </row>
    <row r="185" spans="1:3" x14ac:dyDescent="0.25">
      <c r="A185" t="s">
        <v>69</v>
      </c>
      <c r="B185" t="s">
        <v>243</v>
      </c>
      <c r="C185">
        <v>0.63</v>
      </c>
    </row>
    <row r="186" spans="1:3" x14ac:dyDescent="0.25">
      <c r="A186" t="s">
        <v>69</v>
      </c>
      <c r="B186" t="s">
        <v>246</v>
      </c>
      <c r="C186">
        <v>0.1</v>
      </c>
    </row>
    <row r="187" spans="1:3" x14ac:dyDescent="0.25">
      <c r="A187" t="s">
        <v>69</v>
      </c>
      <c r="B187" t="s">
        <v>237</v>
      </c>
      <c r="C187">
        <v>0.65</v>
      </c>
    </row>
    <row r="188" spans="1:3" x14ac:dyDescent="0.25">
      <c r="A188" t="s">
        <v>69</v>
      </c>
      <c r="B188" t="s">
        <v>236</v>
      </c>
      <c r="C188">
        <v>0.65</v>
      </c>
    </row>
    <row r="189" spans="1:3" x14ac:dyDescent="0.25">
      <c r="A189" t="s">
        <v>69</v>
      </c>
      <c r="B189" t="s">
        <v>236</v>
      </c>
      <c r="C189">
        <v>0.65</v>
      </c>
    </row>
    <row r="190" spans="1:3" x14ac:dyDescent="0.25">
      <c r="A190" t="s">
        <v>4</v>
      </c>
      <c r="B190" t="s">
        <v>106</v>
      </c>
      <c r="C190">
        <v>19.728999999999999</v>
      </c>
    </row>
    <row r="191" spans="1:3" x14ac:dyDescent="0.25">
      <c r="A191" t="s">
        <v>4</v>
      </c>
      <c r="B191" t="s">
        <v>275</v>
      </c>
      <c r="C191">
        <v>18.696000000000002</v>
      </c>
    </row>
    <row r="192" spans="1:3" x14ac:dyDescent="0.25">
      <c r="A192" t="s">
        <v>4</v>
      </c>
      <c r="B192" t="s">
        <v>276</v>
      </c>
      <c r="C192">
        <v>5.4530000000000003</v>
      </c>
    </row>
    <row r="193" spans="1:3" x14ac:dyDescent="0.25">
      <c r="A193" t="s">
        <v>4</v>
      </c>
      <c r="B193" t="s">
        <v>277</v>
      </c>
      <c r="C193">
        <v>15.247</v>
      </c>
    </row>
    <row r="194" spans="1:3" x14ac:dyDescent="0.25">
      <c r="A194" t="s">
        <v>4</v>
      </c>
      <c r="B194" t="s">
        <v>170</v>
      </c>
      <c r="C194">
        <v>15.975</v>
      </c>
    </row>
    <row r="195" spans="1:3" x14ac:dyDescent="0.25">
      <c r="A195" t="s">
        <v>2</v>
      </c>
      <c r="B195" t="s">
        <v>96</v>
      </c>
      <c r="C195">
        <v>30</v>
      </c>
    </row>
    <row r="196" spans="1:3" x14ac:dyDescent="0.25">
      <c r="A196" t="s">
        <v>2</v>
      </c>
      <c r="B196" t="s">
        <v>172</v>
      </c>
      <c r="C196">
        <v>12</v>
      </c>
    </row>
    <row r="197" spans="1:3" x14ac:dyDescent="0.25">
      <c r="A197" t="s">
        <v>2</v>
      </c>
      <c r="B197" t="s">
        <v>102</v>
      </c>
      <c r="C197">
        <v>20.45</v>
      </c>
    </row>
    <row r="198" spans="1:3" x14ac:dyDescent="0.25">
      <c r="A198" t="s">
        <v>2</v>
      </c>
      <c r="B198" t="s">
        <v>198</v>
      </c>
      <c r="C198">
        <v>5.25</v>
      </c>
    </row>
    <row r="199" spans="1:3" x14ac:dyDescent="0.25">
      <c r="A199" t="s">
        <v>2</v>
      </c>
      <c r="B199" t="s">
        <v>232</v>
      </c>
      <c r="C199">
        <v>2.8</v>
      </c>
    </row>
    <row r="200" spans="1:3" x14ac:dyDescent="0.25">
      <c r="A200" t="s">
        <v>2</v>
      </c>
      <c r="B200" t="s">
        <v>118</v>
      </c>
      <c r="C200">
        <v>3.75</v>
      </c>
    </row>
    <row r="201" spans="1:3" x14ac:dyDescent="0.25">
      <c r="A201" t="s">
        <v>2</v>
      </c>
      <c r="B201" t="s">
        <v>185</v>
      </c>
      <c r="C201">
        <v>5.65</v>
      </c>
    </row>
    <row r="202" spans="1:3" x14ac:dyDescent="0.25">
      <c r="A202" t="s">
        <v>2</v>
      </c>
      <c r="B202" t="s">
        <v>242</v>
      </c>
      <c r="C202">
        <v>1.0900000000000001</v>
      </c>
    </row>
    <row r="203" spans="1:3" x14ac:dyDescent="0.25">
      <c r="A203" t="s">
        <v>2</v>
      </c>
      <c r="B203" t="s">
        <v>242</v>
      </c>
      <c r="C203">
        <v>1.0900000000000001</v>
      </c>
    </row>
    <row r="204" spans="1:3" x14ac:dyDescent="0.25">
      <c r="A204" t="s">
        <v>126</v>
      </c>
      <c r="B204" t="s">
        <v>171</v>
      </c>
      <c r="C204">
        <v>10.725</v>
      </c>
    </row>
    <row r="205" spans="1:3" x14ac:dyDescent="0.25">
      <c r="A205" t="s">
        <v>126</v>
      </c>
      <c r="B205" t="s">
        <v>127</v>
      </c>
      <c r="C205">
        <v>19.375</v>
      </c>
    </row>
    <row r="206" spans="1:3" x14ac:dyDescent="0.25">
      <c r="A206" t="s">
        <v>126</v>
      </c>
      <c r="B206" t="s">
        <v>147</v>
      </c>
      <c r="C206">
        <v>10.9</v>
      </c>
    </row>
    <row r="207" spans="1:3" x14ac:dyDescent="0.25">
      <c r="A207" t="s">
        <v>126</v>
      </c>
      <c r="B207" t="s">
        <v>169</v>
      </c>
      <c r="C207">
        <v>12.4</v>
      </c>
    </row>
    <row r="208" spans="1:3" x14ac:dyDescent="0.25">
      <c r="A208" t="s">
        <v>126</v>
      </c>
      <c r="B208" t="s">
        <v>131</v>
      </c>
      <c r="C208">
        <v>25.48</v>
      </c>
    </row>
    <row r="209" spans="1:3" x14ac:dyDescent="0.25">
      <c r="A209" t="s">
        <v>126</v>
      </c>
      <c r="B209" t="s">
        <v>131</v>
      </c>
      <c r="C209">
        <v>25.48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962E2-5F24-4ED7-97D8-21C137C6CD65}">
  <sheetPr codeName="Sheet10">
    <tabColor theme="0" tint="-0.14999847407452621"/>
  </sheetPr>
  <dimension ref="A1:E4"/>
  <sheetViews>
    <sheetView workbookViewId="0">
      <selection activeCell="B2" sqref="B2:E4"/>
    </sheetView>
  </sheetViews>
  <sheetFormatPr defaultRowHeight="15" x14ac:dyDescent="0.25"/>
  <sheetData>
    <row r="1" spans="1:5" x14ac:dyDescent="0.25">
      <c r="A1" t="s">
        <v>61</v>
      </c>
      <c r="B1" t="s">
        <v>40</v>
      </c>
      <c r="C1" t="s">
        <v>15</v>
      </c>
      <c r="D1" t="s">
        <v>16</v>
      </c>
      <c r="E1" t="s">
        <v>41</v>
      </c>
    </row>
    <row r="2" spans="1:5" x14ac:dyDescent="0.25">
      <c r="A2">
        <v>0</v>
      </c>
      <c r="B2">
        <v>0</v>
      </c>
      <c r="E2">
        <v>480</v>
      </c>
    </row>
    <row r="3" spans="1:5" x14ac:dyDescent="0.25">
      <c r="A3">
        <v>1</v>
      </c>
      <c r="B3">
        <v>480</v>
      </c>
      <c r="E3">
        <v>959.99999999999977</v>
      </c>
    </row>
    <row r="4" spans="1:5" x14ac:dyDescent="0.25">
      <c r="A4">
        <v>2</v>
      </c>
      <c r="B4">
        <v>959.99999999999977</v>
      </c>
      <c r="E4">
        <v>1440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E3AEB-4ACC-4785-9598-20E089E2B734}">
  <sheetPr codeName="Sheet12">
    <tabColor theme="0" tint="-0.14999847407452621"/>
  </sheetPr>
  <dimension ref="A1:E7"/>
  <sheetViews>
    <sheetView workbookViewId="0">
      <selection activeCell="B2" sqref="B2:E7"/>
    </sheetView>
  </sheetViews>
  <sheetFormatPr defaultRowHeight="15" x14ac:dyDescent="0.25"/>
  <sheetData>
    <row r="1" spans="1:5" x14ac:dyDescent="0.25">
      <c r="A1" t="s">
        <v>7</v>
      </c>
      <c r="B1" t="s">
        <v>47</v>
      </c>
      <c r="C1" t="s">
        <v>48</v>
      </c>
      <c r="D1" t="s">
        <v>58</v>
      </c>
      <c r="E1" t="s">
        <v>59</v>
      </c>
    </row>
    <row r="2" spans="1:5" x14ac:dyDescent="0.25">
      <c r="A2" t="s">
        <v>54</v>
      </c>
      <c r="B2">
        <v>119.99999999999997</v>
      </c>
      <c r="C2">
        <v>150.00000000000003</v>
      </c>
    </row>
    <row r="3" spans="1:5" x14ac:dyDescent="0.25">
      <c r="A3" t="s">
        <v>55</v>
      </c>
      <c r="B3">
        <v>360.00000000000011</v>
      </c>
      <c r="C3">
        <v>420</v>
      </c>
    </row>
    <row r="4" spans="1:5" x14ac:dyDescent="0.25">
      <c r="A4" t="s">
        <v>54</v>
      </c>
      <c r="B4">
        <v>600</v>
      </c>
      <c r="C4">
        <v>630.00000000000011</v>
      </c>
    </row>
    <row r="5" spans="1:5" x14ac:dyDescent="0.25">
      <c r="A5" t="s">
        <v>55</v>
      </c>
      <c r="B5">
        <v>779.99999999999977</v>
      </c>
      <c r="C5">
        <v>839.99999999999989</v>
      </c>
    </row>
    <row r="6" spans="1:5" x14ac:dyDescent="0.25">
      <c r="A6" t="s">
        <v>54</v>
      </c>
      <c r="B6">
        <v>1080</v>
      </c>
      <c r="C6">
        <v>1110</v>
      </c>
    </row>
    <row r="7" spans="1:5" x14ac:dyDescent="0.25">
      <c r="A7" t="s">
        <v>55</v>
      </c>
      <c r="B7">
        <v>1260</v>
      </c>
      <c r="C7">
        <v>1319.9999999999998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20013-E231-4AC1-876A-F9FF9D581050}">
  <sheetPr codeName="Sheet21">
    <tabColor theme="0" tint="-0.14999847407452621"/>
  </sheetPr>
  <dimension ref="A1:J2"/>
  <sheetViews>
    <sheetView workbookViewId="0">
      <selection activeCell="A2" sqref="A2:J2"/>
    </sheetView>
  </sheetViews>
  <sheetFormatPr defaultRowHeight="15" x14ac:dyDescent="0.25"/>
  <sheetData>
    <row r="1" spans="1:10" x14ac:dyDescent="0.25">
      <c r="A1" t="s">
        <v>9</v>
      </c>
      <c r="B1" t="s">
        <v>7</v>
      </c>
      <c r="C1" t="s">
        <v>279</v>
      </c>
      <c r="D1" t="s">
        <v>58</v>
      </c>
      <c r="E1" t="s">
        <v>59</v>
      </c>
      <c r="F1" t="s">
        <v>15</v>
      </c>
      <c r="G1" t="s">
        <v>16</v>
      </c>
      <c r="H1" t="s">
        <v>17</v>
      </c>
      <c r="I1" t="s">
        <v>18</v>
      </c>
      <c r="J1" t="s">
        <v>60</v>
      </c>
    </row>
    <row r="2" spans="1:10" x14ac:dyDescent="0.25">
      <c r="A2" t="s">
        <v>19</v>
      </c>
      <c r="B2" t="s">
        <v>279</v>
      </c>
      <c r="C2" t="s">
        <v>280</v>
      </c>
      <c r="D2" t="s">
        <v>29</v>
      </c>
      <c r="E2" t="s">
        <v>31</v>
      </c>
      <c r="F2">
        <v>0</v>
      </c>
      <c r="G2">
        <v>0</v>
      </c>
      <c r="H2">
        <v>10</v>
      </c>
      <c r="I2">
        <v>10</v>
      </c>
      <c r="J2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48129-2A70-4011-A5AD-2215A762FA6B}">
  <sheetPr codeName="Sheet14">
    <tabColor theme="0" tint="-0.14999847407452621"/>
  </sheetPr>
  <dimension ref="A1:C3895"/>
  <sheetViews>
    <sheetView workbookViewId="0">
      <selection activeCell="A2" sqref="A2:C3895"/>
    </sheetView>
  </sheetViews>
  <sheetFormatPr defaultRowHeight="15" x14ac:dyDescent="0.25"/>
  <cols>
    <col min="1" max="1" width="37.5703125" bestFit="1" customWidth="1"/>
    <col min="2" max="2" width="4.85546875" bestFit="1" customWidth="1"/>
    <col min="3" max="3" width="12.42578125" bestFit="1" customWidth="1"/>
  </cols>
  <sheetData>
    <row r="1" spans="1:3" x14ac:dyDescent="0.25">
      <c r="A1" t="s">
        <v>12</v>
      </c>
      <c r="B1" t="s">
        <v>5</v>
      </c>
      <c r="C1" t="s">
        <v>265</v>
      </c>
    </row>
    <row r="2" spans="1:3" x14ac:dyDescent="0.25">
      <c r="A2" t="s">
        <v>65</v>
      </c>
      <c r="B2">
        <v>7</v>
      </c>
      <c r="C2">
        <v>0.10410958904109589</v>
      </c>
    </row>
    <row r="3" spans="1:3" x14ac:dyDescent="0.25">
      <c r="A3" t="s">
        <v>67</v>
      </c>
      <c r="B3">
        <v>7</v>
      </c>
      <c r="C3">
        <v>0.15616438356164383</v>
      </c>
    </row>
    <row r="4" spans="1:3" x14ac:dyDescent="0.25">
      <c r="A4" t="s">
        <v>68</v>
      </c>
      <c r="B4">
        <v>7</v>
      </c>
      <c r="C4">
        <v>8.7671232876712329E-2</v>
      </c>
    </row>
    <row r="5" spans="1:3" x14ac:dyDescent="0.25">
      <c r="A5" t="s">
        <v>70</v>
      </c>
      <c r="B5">
        <v>7</v>
      </c>
      <c r="C5">
        <v>5.2054794520547946E-2</v>
      </c>
    </row>
    <row r="6" spans="1:3" x14ac:dyDescent="0.25">
      <c r="A6" t="s">
        <v>71</v>
      </c>
      <c r="B6">
        <v>7</v>
      </c>
      <c r="C6">
        <v>8.2191780821917804E-2</v>
      </c>
    </row>
    <row r="7" spans="1:3" x14ac:dyDescent="0.25">
      <c r="A7" t="s">
        <v>73</v>
      </c>
      <c r="B7">
        <v>7</v>
      </c>
      <c r="C7">
        <v>0.30684931506849317</v>
      </c>
    </row>
    <row r="8" spans="1:3" x14ac:dyDescent="0.25">
      <c r="A8" t="s">
        <v>75</v>
      </c>
      <c r="B8">
        <v>0</v>
      </c>
      <c r="C8">
        <v>7.3972602739726029E-2</v>
      </c>
    </row>
    <row r="9" spans="1:3" x14ac:dyDescent="0.25">
      <c r="A9" t="s">
        <v>30</v>
      </c>
      <c r="B9">
        <v>9</v>
      </c>
      <c r="C9">
        <v>0.26027397260273971</v>
      </c>
    </row>
    <row r="10" spans="1:3" x14ac:dyDescent="0.25">
      <c r="A10" t="s">
        <v>76</v>
      </c>
      <c r="B10">
        <v>7</v>
      </c>
      <c r="C10">
        <v>0.14246575342465753</v>
      </c>
    </row>
    <row r="11" spans="1:3" x14ac:dyDescent="0.25">
      <c r="A11" t="s">
        <v>78</v>
      </c>
      <c r="B11">
        <v>7</v>
      </c>
      <c r="C11">
        <v>5.7534246575342465E-2</v>
      </c>
    </row>
    <row r="12" spans="1:3" x14ac:dyDescent="0.25">
      <c r="A12" t="s">
        <v>79</v>
      </c>
      <c r="B12">
        <v>7</v>
      </c>
      <c r="C12">
        <v>6.575342465753424E-2</v>
      </c>
    </row>
    <row r="13" spans="1:3" x14ac:dyDescent="0.25">
      <c r="A13" t="s">
        <v>80</v>
      </c>
      <c r="B13">
        <v>0</v>
      </c>
      <c r="C13">
        <v>0.12328767123287671</v>
      </c>
    </row>
    <row r="14" spans="1:3" x14ac:dyDescent="0.25">
      <c r="A14" t="s">
        <v>81</v>
      </c>
      <c r="B14">
        <v>7</v>
      </c>
      <c r="C14">
        <v>0.12328767123287671</v>
      </c>
    </row>
    <row r="15" spans="1:3" x14ac:dyDescent="0.25">
      <c r="A15" t="s">
        <v>82</v>
      </c>
      <c r="B15">
        <v>7</v>
      </c>
      <c r="C15">
        <v>0.16438356164383561</v>
      </c>
    </row>
    <row r="16" spans="1:3" x14ac:dyDescent="0.25">
      <c r="A16" t="s">
        <v>83</v>
      </c>
      <c r="B16">
        <v>7</v>
      </c>
      <c r="C16">
        <v>3.8356164383561646E-2</v>
      </c>
    </row>
    <row r="17" spans="1:3" x14ac:dyDescent="0.25">
      <c r="A17" t="s">
        <v>84</v>
      </c>
      <c r="B17">
        <v>7</v>
      </c>
      <c r="C17">
        <v>4.3835616438356165E-2</v>
      </c>
    </row>
    <row r="18" spans="1:3" x14ac:dyDescent="0.25">
      <c r="A18" t="s">
        <v>84</v>
      </c>
      <c r="B18">
        <v>0</v>
      </c>
      <c r="C18">
        <v>3.287671232876712E-2</v>
      </c>
    </row>
    <row r="19" spans="1:3" x14ac:dyDescent="0.25">
      <c r="A19" t="s">
        <v>85</v>
      </c>
      <c r="B19">
        <v>7</v>
      </c>
      <c r="C19">
        <v>2.7397260273972601E-2</v>
      </c>
    </row>
    <row r="20" spans="1:3" x14ac:dyDescent="0.25">
      <c r="A20" t="s">
        <v>86</v>
      </c>
      <c r="B20">
        <v>7</v>
      </c>
      <c r="C20">
        <v>3.8356164383561646E-2</v>
      </c>
    </row>
    <row r="21" spans="1:3" x14ac:dyDescent="0.25">
      <c r="A21" t="s">
        <v>79</v>
      </c>
      <c r="B21">
        <v>1</v>
      </c>
      <c r="C21">
        <v>3.0136986301369864E-2</v>
      </c>
    </row>
    <row r="22" spans="1:3" x14ac:dyDescent="0.25">
      <c r="A22" t="s">
        <v>80</v>
      </c>
      <c r="B22">
        <v>7</v>
      </c>
      <c r="C22">
        <v>0.11780821917808219</v>
      </c>
    </row>
    <row r="23" spans="1:3" x14ac:dyDescent="0.25">
      <c r="A23" t="s">
        <v>87</v>
      </c>
      <c r="B23">
        <v>7</v>
      </c>
      <c r="C23">
        <v>2.7397260273972601E-2</v>
      </c>
    </row>
    <row r="24" spans="1:3" x14ac:dyDescent="0.25">
      <c r="A24" t="s">
        <v>89</v>
      </c>
      <c r="B24">
        <v>7</v>
      </c>
      <c r="C24">
        <v>0.16164383561643836</v>
      </c>
    </row>
    <row r="25" spans="1:3" x14ac:dyDescent="0.25">
      <c r="A25" t="s">
        <v>91</v>
      </c>
      <c r="B25">
        <v>7</v>
      </c>
      <c r="C25">
        <v>0.12602739726027398</v>
      </c>
    </row>
    <row r="26" spans="1:3" x14ac:dyDescent="0.25">
      <c r="A26" t="s">
        <v>92</v>
      </c>
      <c r="B26">
        <v>7</v>
      </c>
      <c r="C26">
        <v>0.12602739726027398</v>
      </c>
    </row>
    <row r="27" spans="1:3" x14ac:dyDescent="0.25">
      <c r="A27" t="s">
        <v>93</v>
      </c>
      <c r="B27">
        <v>7</v>
      </c>
      <c r="C27">
        <v>0.11506849315068493</v>
      </c>
    </row>
    <row r="28" spans="1:3" x14ac:dyDescent="0.25">
      <c r="A28" t="s">
        <v>94</v>
      </c>
      <c r="B28">
        <v>7</v>
      </c>
      <c r="C28">
        <v>0.10136986301369863</v>
      </c>
    </row>
    <row r="29" spans="1:3" x14ac:dyDescent="0.25">
      <c r="A29" t="s">
        <v>95</v>
      </c>
      <c r="B29">
        <v>11</v>
      </c>
      <c r="C29">
        <v>0.24657534246575341</v>
      </c>
    </row>
    <row r="30" spans="1:3" x14ac:dyDescent="0.25">
      <c r="A30" t="s">
        <v>73</v>
      </c>
      <c r="B30">
        <v>15</v>
      </c>
      <c r="C30">
        <v>0.38356164383561642</v>
      </c>
    </row>
    <row r="31" spans="1:3" x14ac:dyDescent="0.25">
      <c r="A31" t="s">
        <v>73</v>
      </c>
      <c r="B31">
        <v>10</v>
      </c>
      <c r="C31">
        <v>0.34794520547945207</v>
      </c>
    </row>
    <row r="32" spans="1:3" x14ac:dyDescent="0.25">
      <c r="A32" t="s">
        <v>96</v>
      </c>
      <c r="B32">
        <v>12</v>
      </c>
      <c r="C32">
        <v>8.7671232876712329E-2</v>
      </c>
    </row>
    <row r="33" spans="1:3" x14ac:dyDescent="0.25">
      <c r="A33" t="s">
        <v>97</v>
      </c>
      <c r="B33">
        <v>9</v>
      </c>
      <c r="C33">
        <v>0.10410958904109589</v>
      </c>
    </row>
    <row r="34" spans="1:3" x14ac:dyDescent="0.25">
      <c r="A34" t="s">
        <v>89</v>
      </c>
      <c r="B34">
        <v>15</v>
      </c>
      <c r="C34">
        <v>0.30684931506849317</v>
      </c>
    </row>
    <row r="35" spans="1:3" x14ac:dyDescent="0.25">
      <c r="A35" t="s">
        <v>73</v>
      </c>
      <c r="B35">
        <v>13</v>
      </c>
      <c r="C35">
        <v>0.32054794520547947</v>
      </c>
    </row>
    <row r="36" spans="1:3" x14ac:dyDescent="0.25">
      <c r="A36" t="s">
        <v>98</v>
      </c>
      <c r="B36">
        <v>9</v>
      </c>
      <c r="C36">
        <v>9.8630136986301367E-2</v>
      </c>
    </row>
    <row r="37" spans="1:3" x14ac:dyDescent="0.25">
      <c r="A37" t="s">
        <v>99</v>
      </c>
      <c r="B37">
        <v>11</v>
      </c>
      <c r="C37">
        <v>0.16712328767123288</v>
      </c>
    </row>
    <row r="38" spans="1:3" x14ac:dyDescent="0.25">
      <c r="A38" t="s">
        <v>80</v>
      </c>
      <c r="B38">
        <v>11</v>
      </c>
      <c r="C38">
        <v>0.31780821917808222</v>
      </c>
    </row>
    <row r="39" spans="1:3" x14ac:dyDescent="0.25">
      <c r="A39" t="s">
        <v>79</v>
      </c>
      <c r="B39">
        <v>9</v>
      </c>
      <c r="C39">
        <v>0.10684931506849316</v>
      </c>
    </row>
    <row r="40" spans="1:3" x14ac:dyDescent="0.25">
      <c r="A40" t="s">
        <v>100</v>
      </c>
      <c r="B40">
        <v>9</v>
      </c>
      <c r="C40">
        <v>8.4931506849315067E-2</v>
      </c>
    </row>
    <row r="41" spans="1:3" x14ac:dyDescent="0.25">
      <c r="A41" t="s">
        <v>78</v>
      </c>
      <c r="B41">
        <v>8</v>
      </c>
      <c r="C41">
        <v>7.6712328767123292E-2</v>
      </c>
    </row>
    <row r="42" spans="1:3" x14ac:dyDescent="0.25">
      <c r="A42" t="s">
        <v>96</v>
      </c>
      <c r="B42">
        <v>15</v>
      </c>
      <c r="C42">
        <v>6.8493150684931503E-2</v>
      </c>
    </row>
    <row r="43" spans="1:3" x14ac:dyDescent="0.25">
      <c r="A43" t="s">
        <v>80</v>
      </c>
      <c r="B43">
        <v>8</v>
      </c>
      <c r="C43">
        <v>0.29589041095890412</v>
      </c>
    </row>
    <row r="44" spans="1:3" x14ac:dyDescent="0.25">
      <c r="A44" t="s">
        <v>82</v>
      </c>
      <c r="B44">
        <v>15</v>
      </c>
      <c r="C44">
        <v>0.26849315068493151</v>
      </c>
    </row>
    <row r="45" spans="1:3" x14ac:dyDescent="0.25">
      <c r="A45" t="s">
        <v>80</v>
      </c>
      <c r="B45">
        <v>14</v>
      </c>
      <c r="C45">
        <v>0.28767123287671231</v>
      </c>
    </row>
    <row r="46" spans="1:3" x14ac:dyDescent="0.25">
      <c r="A46" t="s">
        <v>75</v>
      </c>
      <c r="B46">
        <v>14</v>
      </c>
      <c r="C46">
        <v>0.24931506849315069</v>
      </c>
    </row>
    <row r="47" spans="1:3" x14ac:dyDescent="0.25">
      <c r="A47" t="s">
        <v>76</v>
      </c>
      <c r="B47">
        <v>15</v>
      </c>
      <c r="C47">
        <v>0.21369863013698631</v>
      </c>
    </row>
    <row r="48" spans="1:3" x14ac:dyDescent="0.25">
      <c r="A48" t="s">
        <v>86</v>
      </c>
      <c r="B48">
        <v>11</v>
      </c>
      <c r="C48">
        <v>0.12602739726027398</v>
      </c>
    </row>
    <row r="49" spans="1:3" x14ac:dyDescent="0.25">
      <c r="A49" t="s">
        <v>80</v>
      </c>
      <c r="B49">
        <v>9</v>
      </c>
      <c r="C49">
        <v>0.25479452054794521</v>
      </c>
    </row>
    <row r="50" spans="1:3" x14ac:dyDescent="0.25">
      <c r="A50" t="s">
        <v>82</v>
      </c>
      <c r="B50">
        <v>11</v>
      </c>
      <c r="C50">
        <v>0.26575342465753427</v>
      </c>
    </row>
    <row r="51" spans="1:3" x14ac:dyDescent="0.25">
      <c r="A51" t="s">
        <v>82</v>
      </c>
      <c r="B51">
        <v>14</v>
      </c>
      <c r="C51">
        <v>0.21369863013698631</v>
      </c>
    </row>
    <row r="52" spans="1:3" x14ac:dyDescent="0.25">
      <c r="A52" t="s">
        <v>75</v>
      </c>
      <c r="B52">
        <v>11</v>
      </c>
      <c r="C52">
        <v>0.22739726027397261</v>
      </c>
    </row>
    <row r="53" spans="1:3" x14ac:dyDescent="0.25">
      <c r="A53" t="s">
        <v>82</v>
      </c>
      <c r="B53">
        <v>10</v>
      </c>
      <c r="C53">
        <v>0.20547945205479451</v>
      </c>
    </row>
    <row r="54" spans="1:3" x14ac:dyDescent="0.25">
      <c r="A54" t="s">
        <v>86</v>
      </c>
      <c r="B54">
        <v>15</v>
      </c>
      <c r="C54">
        <v>8.4931506849315067E-2</v>
      </c>
    </row>
    <row r="55" spans="1:3" x14ac:dyDescent="0.25">
      <c r="A55" t="s">
        <v>81</v>
      </c>
      <c r="B55">
        <v>14</v>
      </c>
      <c r="C55">
        <v>0.20547945205479451</v>
      </c>
    </row>
    <row r="56" spans="1:3" x14ac:dyDescent="0.25">
      <c r="A56" t="s">
        <v>95</v>
      </c>
      <c r="B56">
        <v>14</v>
      </c>
      <c r="C56">
        <v>0.24109589041095891</v>
      </c>
    </row>
    <row r="57" spans="1:3" x14ac:dyDescent="0.25">
      <c r="A57" t="s">
        <v>101</v>
      </c>
      <c r="B57">
        <v>9</v>
      </c>
      <c r="C57">
        <v>7.3972602739726029E-2</v>
      </c>
    </row>
    <row r="58" spans="1:3" x14ac:dyDescent="0.25">
      <c r="A58" t="s">
        <v>80</v>
      </c>
      <c r="B58">
        <v>15</v>
      </c>
      <c r="C58">
        <v>0.20821917808219179</v>
      </c>
    </row>
    <row r="59" spans="1:3" x14ac:dyDescent="0.25">
      <c r="A59" t="s">
        <v>102</v>
      </c>
      <c r="B59">
        <v>11</v>
      </c>
      <c r="C59">
        <v>6.3013698630136991E-2</v>
      </c>
    </row>
    <row r="60" spans="1:3" x14ac:dyDescent="0.25">
      <c r="A60" t="s">
        <v>76</v>
      </c>
      <c r="B60">
        <v>13</v>
      </c>
      <c r="C60">
        <v>0.19726027397260273</v>
      </c>
    </row>
    <row r="61" spans="1:3" x14ac:dyDescent="0.25">
      <c r="A61" t="s">
        <v>82</v>
      </c>
      <c r="B61">
        <v>12</v>
      </c>
      <c r="C61">
        <v>0.20547945205479451</v>
      </c>
    </row>
    <row r="62" spans="1:3" x14ac:dyDescent="0.25">
      <c r="A62" t="s">
        <v>68</v>
      </c>
      <c r="B62">
        <v>8</v>
      </c>
      <c r="C62">
        <v>0.13424657534246576</v>
      </c>
    </row>
    <row r="63" spans="1:3" x14ac:dyDescent="0.25">
      <c r="A63" t="s">
        <v>81</v>
      </c>
      <c r="B63">
        <v>8</v>
      </c>
      <c r="C63">
        <v>0.19178082191780821</v>
      </c>
    </row>
    <row r="64" spans="1:3" x14ac:dyDescent="0.25">
      <c r="A64" t="s">
        <v>91</v>
      </c>
      <c r="B64">
        <v>12</v>
      </c>
      <c r="C64">
        <v>0.27123287671232876</v>
      </c>
    </row>
    <row r="65" spans="1:3" x14ac:dyDescent="0.25">
      <c r="A65" t="s">
        <v>28</v>
      </c>
      <c r="B65">
        <v>17</v>
      </c>
      <c r="C65">
        <v>0.22465753424657534</v>
      </c>
    </row>
    <row r="66" spans="1:3" x14ac:dyDescent="0.25">
      <c r="A66" t="s">
        <v>80</v>
      </c>
      <c r="B66">
        <v>10</v>
      </c>
      <c r="C66">
        <v>0.2</v>
      </c>
    </row>
    <row r="67" spans="1:3" x14ac:dyDescent="0.25">
      <c r="A67" t="s">
        <v>78</v>
      </c>
      <c r="B67">
        <v>10</v>
      </c>
      <c r="C67">
        <v>7.1232876712328766E-2</v>
      </c>
    </row>
    <row r="68" spans="1:3" x14ac:dyDescent="0.25">
      <c r="A68" t="s">
        <v>80</v>
      </c>
      <c r="B68">
        <v>12</v>
      </c>
      <c r="C68">
        <v>0.19178082191780821</v>
      </c>
    </row>
    <row r="69" spans="1:3" x14ac:dyDescent="0.25">
      <c r="A69" t="s">
        <v>89</v>
      </c>
      <c r="B69">
        <v>16</v>
      </c>
      <c r="C69">
        <v>0.31232876712328766</v>
      </c>
    </row>
    <row r="70" spans="1:3" x14ac:dyDescent="0.25">
      <c r="A70" t="s">
        <v>104</v>
      </c>
      <c r="B70">
        <v>19</v>
      </c>
      <c r="C70">
        <v>0.16986301369863013</v>
      </c>
    </row>
    <row r="71" spans="1:3" x14ac:dyDescent="0.25">
      <c r="A71" t="s">
        <v>80</v>
      </c>
      <c r="B71">
        <v>19</v>
      </c>
      <c r="C71">
        <v>0.36438356164383562</v>
      </c>
    </row>
    <row r="72" spans="1:3" x14ac:dyDescent="0.25">
      <c r="A72" t="s">
        <v>80</v>
      </c>
      <c r="B72">
        <v>18</v>
      </c>
      <c r="C72">
        <v>0.26849315068493151</v>
      </c>
    </row>
    <row r="73" spans="1:3" x14ac:dyDescent="0.25">
      <c r="A73" t="s">
        <v>21</v>
      </c>
      <c r="B73">
        <v>17</v>
      </c>
      <c r="C73">
        <v>0.21369863013698631</v>
      </c>
    </row>
    <row r="74" spans="1:3" x14ac:dyDescent="0.25">
      <c r="A74" t="s">
        <v>78</v>
      </c>
      <c r="B74">
        <v>18</v>
      </c>
      <c r="C74">
        <v>8.4931506849315067E-2</v>
      </c>
    </row>
    <row r="75" spans="1:3" x14ac:dyDescent="0.25">
      <c r="A75" t="s">
        <v>89</v>
      </c>
      <c r="B75">
        <v>17</v>
      </c>
      <c r="C75">
        <v>0.28493150684931506</v>
      </c>
    </row>
    <row r="76" spans="1:3" x14ac:dyDescent="0.25">
      <c r="A76" t="s">
        <v>95</v>
      </c>
      <c r="B76">
        <v>16</v>
      </c>
      <c r="C76">
        <v>0.20273972602739726</v>
      </c>
    </row>
    <row r="77" spans="1:3" x14ac:dyDescent="0.25">
      <c r="A77" t="s">
        <v>75</v>
      </c>
      <c r="B77">
        <v>19</v>
      </c>
      <c r="C77">
        <v>0.25753424657534246</v>
      </c>
    </row>
    <row r="78" spans="1:3" x14ac:dyDescent="0.25">
      <c r="A78" t="s">
        <v>102</v>
      </c>
      <c r="B78">
        <v>19</v>
      </c>
      <c r="C78">
        <v>7.9452054794520555E-2</v>
      </c>
    </row>
    <row r="79" spans="1:3" x14ac:dyDescent="0.25">
      <c r="A79" t="s">
        <v>91</v>
      </c>
      <c r="B79">
        <v>18</v>
      </c>
      <c r="C79">
        <v>0.29863013698630136</v>
      </c>
    </row>
    <row r="80" spans="1:3" x14ac:dyDescent="0.25">
      <c r="A80" t="s">
        <v>95</v>
      </c>
      <c r="B80">
        <v>17</v>
      </c>
      <c r="C80">
        <v>0.25205479452054796</v>
      </c>
    </row>
    <row r="81" spans="1:3" x14ac:dyDescent="0.25">
      <c r="A81" t="s">
        <v>80</v>
      </c>
      <c r="B81">
        <v>16</v>
      </c>
      <c r="C81">
        <v>0.26027397260273971</v>
      </c>
    </row>
    <row r="82" spans="1:3" x14ac:dyDescent="0.25">
      <c r="A82" t="s">
        <v>105</v>
      </c>
      <c r="B82">
        <v>16</v>
      </c>
      <c r="C82">
        <v>0.23835616438356164</v>
      </c>
    </row>
    <row r="83" spans="1:3" x14ac:dyDescent="0.25">
      <c r="A83" t="s">
        <v>89</v>
      </c>
      <c r="B83">
        <v>19</v>
      </c>
      <c r="C83">
        <v>0.24931506849315069</v>
      </c>
    </row>
    <row r="84" spans="1:3" x14ac:dyDescent="0.25">
      <c r="A84" t="s">
        <v>75</v>
      </c>
      <c r="B84">
        <v>17</v>
      </c>
      <c r="C84">
        <v>0.23561643835616439</v>
      </c>
    </row>
    <row r="85" spans="1:3" x14ac:dyDescent="0.25">
      <c r="A85" t="s">
        <v>79</v>
      </c>
      <c r="B85">
        <v>17</v>
      </c>
      <c r="C85">
        <v>0.12328767123287671</v>
      </c>
    </row>
    <row r="86" spans="1:3" x14ac:dyDescent="0.25">
      <c r="A86" t="s">
        <v>106</v>
      </c>
      <c r="B86">
        <v>17</v>
      </c>
      <c r="C86">
        <v>0.12876712328767123</v>
      </c>
    </row>
    <row r="87" spans="1:3" x14ac:dyDescent="0.25">
      <c r="A87" t="s">
        <v>75</v>
      </c>
      <c r="B87">
        <v>16</v>
      </c>
      <c r="C87">
        <v>0.21095890410958903</v>
      </c>
    </row>
    <row r="88" spans="1:3" x14ac:dyDescent="0.25">
      <c r="A88" t="s">
        <v>28</v>
      </c>
      <c r="B88">
        <v>9</v>
      </c>
      <c r="C88">
        <v>0.20821917808219179</v>
      </c>
    </row>
    <row r="89" spans="1:3" x14ac:dyDescent="0.25">
      <c r="A89" t="s">
        <v>107</v>
      </c>
      <c r="B89">
        <v>18</v>
      </c>
      <c r="C89">
        <v>0.22191780821917809</v>
      </c>
    </row>
    <row r="90" spans="1:3" x14ac:dyDescent="0.25">
      <c r="A90" t="s">
        <v>82</v>
      </c>
      <c r="B90">
        <v>16</v>
      </c>
      <c r="C90">
        <v>0.24383561643835616</v>
      </c>
    </row>
    <row r="91" spans="1:3" x14ac:dyDescent="0.25">
      <c r="A91" t="s">
        <v>73</v>
      </c>
      <c r="B91">
        <v>18</v>
      </c>
      <c r="C91">
        <v>0.42465753424657532</v>
      </c>
    </row>
    <row r="92" spans="1:3" x14ac:dyDescent="0.25">
      <c r="A92" t="s">
        <v>108</v>
      </c>
      <c r="B92">
        <v>17</v>
      </c>
      <c r="C92">
        <v>0.1095890410958904</v>
      </c>
    </row>
    <row r="93" spans="1:3" x14ac:dyDescent="0.25">
      <c r="A93" t="s">
        <v>93</v>
      </c>
      <c r="B93">
        <v>18</v>
      </c>
      <c r="C93">
        <v>0.21643835616438356</v>
      </c>
    </row>
    <row r="94" spans="1:3" x14ac:dyDescent="0.25">
      <c r="A94" t="s">
        <v>109</v>
      </c>
      <c r="B94">
        <v>17</v>
      </c>
      <c r="C94">
        <v>0.25753424657534246</v>
      </c>
    </row>
    <row r="95" spans="1:3" x14ac:dyDescent="0.25">
      <c r="A95" t="s">
        <v>82</v>
      </c>
      <c r="B95">
        <v>18</v>
      </c>
      <c r="C95">
        <v>0.24109589041095891</v>
      </c>
    </row>
    <row r="96" spans="1:3" x14ac:dyDescent="0.25">
      <c r="A96" t="s">
        <v>82</v>
      </c>
      <c r="B96">
        <v>17</v>
      </c>
      <c r="C96">
        <v>0.23287671232876711</v>
      </c>
    </row>
    <row r="97" spans="1:3" x14ac:dyDescent="0.25">
      <c r="A97" t="s">
        <v>104</v>
      </c>
      <c r="B97">
        <v>17</v>
      </c>
      <c r="C97">
        <v>0.16164383561643836</v>
      </c>
    </row>
    <row r="98" spans="1:3" x14ac:dyDescent="0.25">
      <c r="A98" t="s">
        <v>110</v>
      </c>
      <c r="B98">
        <v>18</v>
      </c>
      <c r="C98">
        <v>0.22465753424657534</v>
      </c>
    </row>
    <row r="99" spans="1:3" x14ac:dyDescent="0.25">
      <c r="A99" t="s">
        <v>89</v>
      </c>
      <c r="B99">
        <v>18</v>
      </c>
      <c r="C99">
        <v>0.23561643835616439</v>
      </c>
    </row>
    <row r="100" spans="1:3" x14ac:dyDescent="0.25">
      <c r="A100" t="s">
        <v>111</v>
      </c>
      <c r="B100">
        <v>19</v>
      </c>
      <c r="C100">
        <v>0.11506849315068493</v>
      </c>
    </row>
    <row r="101" spans="1:3" x14ac:dyDescent="0.25">
      <c r="A101" t="s">
        <v>112</v>
      </c>
      <c r="B101">
        <v>16</v>
      </c>
      <c r="C101">
        <v>0.22191780821917809</v>
      </c>
    </row>
    <row r="102" spans="1:3" x14ac:dyDescent="0.25">
      <c r="A102" t="s">
        <v>84</v>
      </c>
      <c r="B102">
        <v>16</v>
      </c>
      <c r="C102">
        <v>8.2191780821917804E-2</v>
      </c>
    </row>
    <row r="103" spans="1:3" x14ac:dyDescent="0.25">
      <c r="A103" t="s">
        <v>107</v>
      </c>
      <c r="B103">
        <v>19</v>
      </c>
      <c r="C103">
        <v>0.20821917808219179</v>
      </c>
    </row>
    <row r="104" spans="1:3" x14ac:dyDescent="0.25">
      <c r="A104" t="s">
        <v>113</v>
      </c>
      <c r="B104">
        <v>19</v>
      </c>
      <c r="C104">
        <v>9.3150684931506855E-2</v>
      </c>
    </row>
    <row r="105" spans="1:3" x14ac:dyDescent="0.25">
      <c r="A105" t="s">
        <v>114</v>
      </c>
      <c r="B105">
        <v>18</v>
      </c>
      <c r="C105">
        <v>0.23287671232876711</v>
      </c>
    </row>
    <row r="106" spans="1:3" x14ac:dyDescent="0.25">
      <c r="A106" t="s">
        <v>115</v>
      </c>
      <c r="B106">
        <v>20</v>
      </c>
      <c r="C106">
        <v>8.2191780821917804E-2</v>
      </c>
    </row>
    <row r="107" spans="1:3" x14ac:dyDescent="0.25">
      <c r="A107" t="s">
        <v>91</v>
      </c>
      <c r="B107">
        <v>16</v>
      </c>
      <c r="C107">
        <v>0.25479452054794521</v>
      </c>
    </row>
    <row r="108" spans="1:3" x14ac:dyDescent="0.25">
      <c r="A108" t="s">
        <v>104</v>
      </c>
      <c r="B108">
        <v>16</v>
      </c>
      <c r="C108">
        <v>0.15342465753424658</v>
      </c>
    </row>
    <row r="109" spans="1:3" x14ac:dyDescent="0.25">
      <c r="A109" t="s">
        <v>116</v>
      </c>
      <c r="B109">
        <v>20</v>
      </c>
      <c r="C109">
        <v>4.9315068493150684E-2</v>
      </c>
    </row>
    <row r="110" spans="1:3" x14ac:dyDescent="0.25">
      <c r="A110" t="s">
        <v>79</v>
      </c>
      <c r="B110">
        <v>19</v>
      </c>
      <c r="C110">
        <v>7.9452054794520555E-2</v>
      </c>
    </row>
    <row r="111" spans="1:3" x14ac:dyDescent="0.25">
      <c r="A111" t="s">
        <v>82</v>
      </c>
      <c r="B111">
        <v>19</v>
      </c>
      <c r="C111">
        <v>0.21369863013698631</v>
      </c>
    </row>
    <row r="112" spans="1:3" x14ac:dyDescent="0.25">
      <c r="A112" t="s">
        <v>94</v>
      </c>
      <c r="B112">
        <v>19</v>
      </c>
      <c r="C112">
        <v>0.21095890410958903</v>
      </c>
    </row>
    <row r="113" spans="1:3" x14ac:dyDescent="0.25">
      <c r="A113" t="s">
        <v>101</v>
      </c>
      <c r="B113">
        <v>16</v>
      </c>
      <c r="C113">
        <v>7.3972602739726029E-2</v>
      </c>
    </row>
    <row r="114" spans="1:3" x14ac:dyDescent="0.25">
      <c r="A114" t="s">
        <v>96</v>
      </c>
      <c r="B114">
        <v>16</v>
      </c>
      <c r="C114">
        <v>7.1232876712328766E-2</v>
      </c>
    </row>
    <row r="115" spans="1:3" x14ac:dyDescent="0.25">
      <c r="A115" t="s">
        <v>84</v>
      </c>
      <c r="B115">
        <v>18</v>
      </c>
      <c r="C115">
        <v>7.9452054794520555E-2</v>
      </c>
    </row>
    <row r="116" spans="1:3" x14ac:dyDescent="0.25">
      <c r="A116" t="s">
        <v>94</v>
      </c>
      <c r="B116">
        <v>18</v>
      </c>
      <c r="C116">
        <v>0.20821917808219179</v>
      </c>
    </row>
    <row r="117" spans="1:3" x14ac:dyDescent="0.25">
      <c r="A117" t="s">
        <v>104</v>
      </c>
      <c r="B117">
        <v>18</v>
      </c>
      <c r="C117">
        <v>0.10684931506849316</v>
      </c>
    </row>
    <row r="118" spans="1:3" x14ac:dyDescent="0.25">
      <c r="A118" t="s">
        <v>114</v>
      </c>
      <c r="B118">
        <v>16</v>
      </c>
      <c r="C118">
        <v>0.20821917808219179</v>
      </c>
    </row>
    <row r="119" spans="1:3" x14ac:dyDescent="0.25">
      <c r="A119" t="s">
        <v>65</v>
      </c>
      <c r="B119">
        <v>22</v>
      </c>
      <c r="C119">
        <v>4.9315068493150684E-2</v>
      </c>
    </row>
    <row r="120" spans="1:3" x14ac:dyDescent="0.25">
      <c r="A120" t="s">
        <v>92</v>
      </c>
      <c r="B120">
        <v>17</v>
      </c>
      <c r="C120">
        <v>0.20547945205479451</v>
      </c>
    </row>
    <row r="121" spans="1:3" x14ac:dyDescent="0.25">
      <c r="A121" t="s">
        <v>73</v>
      </c>
      <c r="B121">
        <v>21</v>
      </c>
      <c r="C121">
        <v>0.24657534246575341</v>
      </c>
    </row>
    <row r="122" spans="1:3" x14ac:dyDescent="0.25">
      <c r="A122" t="s">
        <v>67</v>
      </c>
      <c r="B122">
        <v>17</v>
      </c>
      <c r="C122">
        <v>0.18904109589041096</v>
      </c>
    </row>
    <row r="123" spans="1:3" x14ac:dyDescent="0.25">
      <c r="A123" t="s">
        <v>94</v>
      </c>
      <c r="B123">
        <v>16</v>
      </c>
      <c r="C123">
        <v>0.19452054794520549</v>
      </c>
    </row>
    <row r="124" spans="1:3" x14ac:dyDescent="0.25">
      <c r="A124" t="s">
        <v>23</v>
      </c>
      <c r="B124">
        <v>19</v>
      </c>
      <c r="C124">
        <v>0.2</v>
      </c>
    </row>
    <row r="125" spans="1:3" x14ac:dyDescent="0.25">
      <c r="A125" t="s">
        <v>86</v>
      </c>
      <c r="B125">
        <v>16</v>
      </c>
      <c r="C125">
        <v>9.0410958904109592E-2</v>
      </c>
    </row>
    <row r="126" spans="1:3" x14ac:dyDescent="0.25">
      <c r="A126" t="s">
        <v>68</v>
      </c>
      <c r="B126">
        <v>23</v>
      </c>
      <c r="C126">
        <v>6.3013698630136991E-2</v>
      </c>
    </row>
    <row r="127" spans="1:3" x14ac:dyDescent="0.25">
      <c r="A127" t="s">
        <v>102</v>
      </c>
      <c r="B127">
        <v>0</v>
      </c>
      <c r="C127">
        <v>2.1917808219178082E-2</v>
      </c>
    </row>
    <row r="128" spans="1:3" x14ac:dyDescent="0.25">
      <c r="A128" t="s">
        <v>117</v>
      </c>
      <c r="B128">
        <v>7</v>
      </c>
      <c r="C128">
        <v>9.3150684931506855E-2</v>
      </c>
    </row>
    <row r="129" spans="1:3" x14ac:dyDescent="0.25">
      <c r="A129" t="s">
        <v>118</v>
      </c>
      <c r="B129">
        <v>1</v>
      </c>
      <c r="C129">
        <v>2.7397260273972603E-3</v>
      </c>
    </row>
    <row r="130" spans="1:3" x14ac:dyDescent="0.25">
      <c r="A130" t="s">
        <v>80</v>
      </c>
      <c r="B130">
        <v>6</v>
      </c>
      <c r="C130">
        <v>0.1095890410958904</v>
      </c>
    </row>
    <row r="131" spans="1:3" x14ac:dyDescent="0.25">
      <c r="A131" t="s">
        <v>119</v>
      </c>
      <c r="B131">
        <v>0</v>
      </c>
      <c r="C131">
        <v>3.0136986301369864E-2</v>
      </c>
    </row>
    <row r="132" spans="1:3" x14ac:dyDescent="0.25">
      <c r="A132" t="s">
        <v>86</v>
      </c>
      <c r="B132">
        <v>4</v>
      </c>
      <c r="C132">
        <v>3.287671232876712E-2</v>
      </c>
    </row>
    <row r="133" spans="1:3" x14ac:dyDescent="0.25">
      <c r="A133" t="s">
        <v>120</v>
      </c>
      <c r="B133">
        <v>7</v>
      </c>
      <c r="C133">
        <v>8.4931506849315067E-2</v>
      </c>
    </row>
    <row r="134" spans="1:3" x14ac:dyDescent="0.25">
      <c r="A134" t="s">
        <v>94</v>
      </c>
      <c r="B134">
        <v>0</v>
      </c>
      <c r="C134">
        <v>9.8630136986301367E-2</v>
      </c>
    </row>
    <row r="135" spans="1:3" x14ac:dyDescent="0.25">
      <c r="A135" t="s">
        <v>75</v>
      </c>
      <c r="B135">
        <v>7</v>
      </c>
      <c r="C135">
        <v>6.575342465753424E-2</v>
      </c>
    </row>
    <row r="136" spans="1:3" x14ac:dyDescent="0.25">
      <c r="A136" t="s">
        <v>109</v>
      </c>
      <c r="B136">
        <v>7</v>
      </c>
      <c r="C136">
        <v>7.3972602739726029E-2</v>
      </c>
    </row>
    <row r="137" spans="1:3" x14ac:dyDescent="0.25">
      <c r="A137" t="s">
        <v>91</v>
      </c>
      <c r="B137">
        <v>1</v>
      </c>
      <c r="C137">
        <v>6.3013698630136991E-2</v>
      </c>
    </row>
    <row r="138" spans="1:3" x14ac:dyDescent="0.25">
      <c r="A138" t="s">
        <v>121</v>
      </c>
      <c r="B138">
        <v>7</v>
      </c>
      <c r="C138">
        <v>7.3972602739726029E-2</v>
      </c>
    </row>
    <row r="139" spans="1:3" x14ac:dyDescent="0.25">
      <c r="A139" t="s">
        <v>122</v>
      </c>
      <c r="B139">
        <v>7</v>
      </c>
      <c r="C139">
        <v>0.10410958904109589</v>
      </c>
    </row>
    <row r="140" spans="1:3" x14ac:dyDescent="0.25">
      <c r="A140" t="s">
        <v>112</v>
      </c>
      <c r="B140">
        <v>7</v>
      </c>
      <c r="C140">
        <v>9.3150684931506855E-2</v>
      </c>
    </row>
    <row r="141" spans="1:3" x14ac:dyDescent="0.25">
      <c r="A141" t="s">
        <v>109</v>
      </c>
      <c r="B141">
        <v>6</v>
      </c>
      <c r="C141">
        <v>6.3013698630136991E-2</v>
      </c>
    </row>
    <row r="142" spans="1:3" x14ac:dyDescent="0.25">
      <c r="A142" t="s">
        <v>107</v>
      </c>
      <c r="B142">
        <v>7</v>
      </c>
      <c r="C142">
        <v>0.10136986301369863</v>
      </c>
    </row>
    <row r="143" spans="1:3" x14ac:dyDescent="0.25">
      <c r="A143" t="s">
        <v>21</v>
      </c>
      <c r="B143">
        <v>9</v>
      </c>
      <c r="C143">
        <v>0.19726027397260273</v>
      </c>
    </row>
    <row r="144" spans="1:3" x14ac:dyDescent="0.25">
      <c r="A144" t="s">
        <v>82</v>
      </c>
      <c r="B144">
        <v>13</v>
      </c>
      <c r="C144">
        <v>0.2</v>
      </c>
    </row>
    <row r="145" spans="1:3" x14ac:dyDescent="0.25">
      <c r="A145" t="s">
        <v>71</v>
      </c>
      <c r="B145">
        <v>15</v>
      </c>
      <c r="C145">
        <v>0.13150684931506848</v>
      </c>
    </row>
    <row r="146" spans="1:3" x14ac:dyDescent="0.25">
      <c r="A146" t="s">
        <v>32</v>
      </c>
      <c r="B146">
        <v>18</v>
      </c>
      <c r="C146">
        <v>0.18904109589041096</v>
      </c>
    </row>
    <row r="147" spans="1:3" x14ac:dyDescent="0.25">
      <c r="A147" t="s">
        <v>67</v>
      </c>
      <c r="B147">
        <v>9</v>
      </c>
      <c r="C147">
        <v>0.18630136986301371</v>
      </c>
    </row>
    <row r="148" spans="1:3" x14ac:dyDescent="0.25">
      <c r="A148" t="s">
        <v>67</v>
      </c>
      <c r="B148">
        <v>13</v>
      </c>
      <c r="C148">
        <v>0.18356164383561643</v>
      </c>
    </row>
    <row r="149" spans="1:3" x14ac:dyDescent="0.25">
      <c r="A149" t="s">
        <v>75</v>
      </c>
      <c r="B149">
        <v>9</v>
      </c>
      <c r="C149">
        <v>0.19452054794520549</v>
      </c>
    </row>
    <row r="150" spans="1:3" x14ac:dyDescent="0.25">
      <c r="A150" t="s">
        <v>28</v>
      </c>
      <c r="B150">
        <v>10</v>
      </c>
      <c r="C150">
        <v>0.18904109589041096</v>
      </c>
    </row>
    <row r="151" spans="1:3" x14ac:dyDescent="0.25">
      <c r="A151" t="s">
        <v>123</v>
      </c>
      <c r="B151">
        <v>11</v>
      </c>
      <c r="C151">
        <v>6.8493150684931503E-2</v>
      </c>
    </row>
    <row r="152" spans="1:3" x14ac:dyDescent="0.25">
      <c r="A152" t="s">
        <v>67</v>
      </c>
      <c r="B152">
        <v>15</v>
      </c>
      <c r="C152">
        <v>0.18082191780821918</v>
      </c>
    </row>
    <row r="153" spans="1:3" x14ac:dyDescent="0.25">
      <c r="A153" t="s">
        <v>124</v>
      </c>
      <c r="B153">
        <v>8</v>
      </c>
      <c r="C153">
        <v>7.1232876712328766E-2</v>
      </c>
    </row>
    <row r="154" spans="1:3" x14ac:dyDescent="0.25">
      <c r="A154" t="s">
        <v>110</v>
      </c>
      <c r="B154">
        <v>10</v>
      </c>
      <c r="C154">
        <v>0.18904109589041096</v>
      </c>
    </row>
    <row r="155" spans="1:3" x14ac:dyDescent="0.25">
      <c r="A155" t="s">
        <v>113</v>
      </c>
      <c r="B155">
        <v>11</v>
      </c>
      <c r="C155">
        <v>6.8493150684931503E-2</v>
      </c>
    </row>
    <row r="156" spans="1:3" x14ac:dyDescent="0.25">
      <c r="A156" t="s">
        <v>110</v>
      </c>
      <c r="B156">
        <v>13</v>
      </c>
      <c r="C156">
        <v>0.18630136986301371</v>
      </c>
    </row>
    <row r="157" spans="1:3" x14ac:dyDescent="0.25">
      <c r="A157" t="s">
        <v>104</v>
      </c>
      <c r="B157">
        <v>8</v>
      </c>
      <c r="C157">
        <v>0.16438356164383561</v>
      </c>
    </row>
    <row r="158" spans="1:3" x14ac:dyDescent="0.25">
      <c r="A158" t="s">
        <v>81</v>
      </c>
      <c r="B158">
        <v>13</v>
      </c>
      <c r="C158">
        <v>0.18082191780821918</v>
      </c>
    </row>
    <row r="159" spans="1:3" x14ac:dyDescent="0.25">
      <c r="A159" t="s">
        <v>91</v>
      </c>
      <c r="B159">
        <v>10</v>
      </c>
      <c r="C159">
        <v>0.26301369863013696</v>
      </c>
    </row>
    <row r="160" spans="1:3" x14ac:dyDescent="0.25">
      <c r="A160" t="s">
        <v>89</v>
      </c>
      <c r="B160">
        <v>11</v>
      </c>
      <c r="C160">
        <v>0.27123287671232876</v>
      </c>
    </row>
    <row r="161" spans="1:3" x14ac:dyDescent="0.25">
      <c r="A161" t="s">
        <v>104</v>
      </c>
      <c r="B161">
        <v>9</v>
      </c>
      <c r="C161">
        <v>0.16164383561643836</v>
      </c>
    </row>
    <row r="162" spans="1:3" x14ac:dyDescent="0.25">
      <c r="A162" t="s">
        <v>99</v>
      </c>
      <c r="B162">
        <v>9</v>
      </c>
      <c r="C162">
        <v>0.12876712328767123</v>
      </c>
    </row>
    <row r="163" spans="1:3" x14ac:dyDescent="0.25">
      <c r="A163" t="s">
        <v>21</v>
      </c>
      <c r="B163">
        <v>19</v>
      </c>
      <c r="C163">
        <v>0.18904109589041096</v>
      </c>
    </row>
    <row r="164" spans="1:3" x14ac:dyDescent="0.25">
      <c r="A164" t="s">
        <v>91</v>
      </c>
      <c r="B164">
        <v>8</v>
      </c>
      <c r="C164">
        <v>0.24657534246575341</v>
      </c>
    </row>
    <row r="165" spans="1:3" x14ac:dyDescent="0.25">
      <c r="A165" t="s">
        <v>83</v>
      </c>
      <c r="B165">
        <v>15</v>
      </c>
      <c r="C165">
        <v>6.8493150684931503E-2</v>
      </c>
    </row>
    <row r="166" spans="1:3" x14ac:dyDescent="0.25">
      <c r="A166" t="s">
        <v>114</v>
      </c>
      <c r="B166">
        <v>10</v>
      </c>
      <c r="C166">
        <v>0.25205479452054796</v>
      </c>
    </row>
    <row r="167" spans="1:3" x14ac:dyDescent="0.25">
      <c r="A167" t="s">
        <v>125</v>
      </c>
      <c r="B167">
        <v>15</v>
      </c>
      <c r="C167">
        <v>0.17260273972602741</v>
      </c>
    </row>
    <row r="168" spans="1:3" x14ac:dyDescent="0.25">
      <c r="A168" t="s">
        <v>21</v>
      </c>
      <c r="B168">
        <v>18</v>
      </c>
      <c r="C168">
        <v>0.18630136986301371</v>
      </c>
    </row>
    <row r="169" spans="1:3" x14ac:dyDescent="0.25">
      <c r="A169" t="s">
        <v>123</v>
      </c>
      <c r="B169">
        <v>10</v>
      </c>
      <c r="C169">
        <v>6.8493150684931503E-2</v>
      </c>
    </row>
    <row r="170" spans="1:3" x14ac:dyDescent="0.25">
      <c r="A170" t="s">
        <v>127</v>
      </c>
      <c r="B170">
        <v>10</v>
      </c>
      <c r="C170">
        <v>6.575342465753424E-2</v>
      </c>
    </row>
    <row r="171" spans="1:3" x14ac:dyDescent="0.25">
      <c r="A171" t="s">
        <v>95</v>
      </c>
      <c r="B171">
        <v>12</v>
      </c>
      <c r="C171">
        <v>0.18630136986301371</v>
      </c>
    </row>
    <row r="172" spans="1:3" x14ac:dyDescent="0.25">
      <c r="A172" t="s">
        <v>91</v>
      </c>
      <c r="B172">
        <v>15</v>
      </c>
      <c r="C172">
        <v>0.24109589041095891</v>
      </c>
    </row>
    <row r="173" spans="1:3" x14ac:dyDescent="0.25">
      <c r="A173" t="s">
        <v>93</v>
      </c>
      <c r="B173">
        <v>15</v>
      </c>
      <c r="C173">
        <v>0.17808219178082191</v>
      </c>
    </row>
    <row r="174" spans="1:3" x14ac:dyDescent="0.25">
      <c r="A174" t="s">
        <v>32</v>
      </c>
      <c r="B174">
        <v>15</v>
      </c>
      <c r="C174">
        <v>0.17534246575342466</v>
      </c>
    </row>
    <row r="175" spans="1:3" x14ac:dyDescent="0.25">
      <c r="A175" t="s">
        <v>128</v>
      </c>
      <c r="B175">
        <v>9</v>
      </c>
      <c r="C175">
        <v>6.3013698630136991E-2</v>
      </c>
    </row>
    <row r="176" spans="1:3" x14ac:dyDescent="0.25">
      <c r="A176" t="s">
        <v>89</v>
      </c>
      <c r="B176">
        <v>12</v>
      </c>
      <c r="C176">
        <v>0.23013698630136986</v>
      </c>
    </row>
    <row r="177" spans="1:3" x14ac:dyDescent="0.25">
      <c r="A177" t="s">
        <v>107</v>
      </c>
      <c r="B177">
        <v>10</v>
      </c>
      <c r="C177">
        <v>0.17534246575342466</v>
      </c>
    </row>
    <row r="178" spans="1:3" x14ac:dyDescent="0.25">
      <c r="A178" t="s">
        <v>89</v>
      </c>
      <c r="B178">
        <v>9</v>
      </c>
      <c r="C178">
        <v>0.21369863013698631</v>
      </c>
    </row>
    <row r="179" spans="1:3" x14ac:dyDescent="0.25">
      <c r="A179" t="s">
        <v>75</v>
      </c>
      <c r="B179">
        <v>12</v>
      </c>
      <c r="C179">
        <v>0.19178082191780821</v>
      </c>
    </row>
    <row r="180" spans="1:3" x14ac:dyDescent="0.25">
      <c r="A180" t="s">
        <v>109</v>
      </c>
      <c r="B180">
        <v>9</v>
      </c>
      <c r="C180">
        <v>0.24109589041095891</v>
      </c>
    </row>
    <row r="181" spans="1:3" x14ac:dyDescent="0.25">
      <c r="A181" t="s">
        <v>123</v>
      </c>
      <c r="B181">
        <v>14</v>
      </c>
      <c r="C181">
        <v>6.8493150684931503E-2</v>
      </c>
    </row>
    <row r="182" spans="1:3" x14ac:dyDescent="0.25">
      <c r="A182" t="s">
        <v>84</v>
      </c>
      <c r="B182">
        <v>11</v>
      </c>
      <c r="C182">
        <v>7.6712328767123292E-2</v>
      </c>
    </row>
    <row r="183" spans="1:3" x14ac:dyDescent="0.25">
      <c r="A183" t="s">
        <v>129</v>
      </c>
      <c r="B183">
        <v>11</v>
      </c>
      <c r="C183">
        <v>0.17260273972602741</v>
      </c>
    </row>
    <row r="184" spans="1:3" x14ac:dyDescent="0.25">
      <c r="A184" t="s">
        <v>91</v>
      </c>
      <c r="B184">
        <v>11</v>
      </c>
      <c r="C184">
        <v>0.23835616438356164</v>
      </c>
    </row>
    <row r="185" spans="1:3" x14ac:dyDescent="0.25">
      <c r="A185" t="s">
        <v>80</v>
      </c>
      <c r="B185">
        <v>13</v>
      </c>
      <c r="C185">
        <v>0.16438356164383561</v>
      </c>
    </row>
    <row r="186" spans="1:3" x14ac:dyDescent="0.25">
      <c r="A186" t="s">
        <v>125</v>
      </c>
      <c r="B186">
        <v>11</v>
      </c>
      <c r="C186">
        <v>0.16712328767123288</v>
      </c>
    </row>
    <row r="187" spans="1:3" x14ac:dyDescent="0.25">
      <c r="A187" t="s">
        <v>96</v>
      </c>
      <c r="B187">
        <v>14</v>
      </c>
      <c r="C187">
        <v>5.7534246575342465E-2</v>
      </c>
    </row>
    <row r="188" spans="1:3" x14ac:dyDescent="0.25">
      <c r="A188" t="s">
        <v>89</v>
      </c>
      <c r="B188">
        <v>14</v>
      </c>
      <c r="C188">
        <v>0.20821917808219179</v>
      </c>
    </row>
    <row r="189" spans="1:3" x14ac:dyDescent="0.25">
      <c r="A189" t="s">
        <v>91</v>
      </c>
      <c r="B189">
        <v>14</v>
      </c>
      <c r="C189">
        <v>0.18630136986301371</v>
      </c>
    </row>
    <row r="190" spans="1:3" x14ac:dyDescent="0.25">
      <c r="A190" t="s">
        <v>93</v>
      </c>
      <c r="B190">
        <v>10</v>
      </c>
      <c r="C190">
        <v>0.15616438356164383</v>
      </c>
    </row>
    <row r="191" spans="1:3" x14ac:dyDescent="0.25">
      <c r="A191" t="s">
        <v>112</v>
      </c>
      <c r="B191">
        <v>13</v>
      </c>
      <c r="C191">
        <v>0.17808219178082191</v>
      </c>
    </row>
    <row r="192" spans="1:3" x14ac:dyDescent="0.25">
      <c r="A192" t="s">
        <v>23</v>
      </c>
      <c r="B192">
        <v>17</v>
      </c>
      <c r="C192">
        <v>0.17260273972602741</v>
      </c>
    </row>
    <row r="193" spans="1:3" x14ac:dyDescent="0.25">
      <c r="A193" t="s">
        <v>91</v>
      </c>
      <c r="B193">
        <v>9</v>
      </c>
      <c r="C193">
        <v>0.17534246575342466</v>
      </c>
    </row>
    <row r="194" spans="1:3" x14ac:dyDescent="0.25">
      <c r="A194" t="s">
        <v>106</v>
      </c>
      <c r="B194">
        <v>11</v>
      </c>
      <c r="C194">
        <v>0.1095890410958904</v>
      </c>
    </row>
    <row r="195" spans="1:3" x14ac:dyDescent="0.25">
      <c r="A195" t="s">
        <v>130</v>
      </c>
      <c r="B195">
        <v>14</v>
      </c>
      <c r="C195">
        <v>0.17808219178082191</v>
      </c>
    </row>
    <row r="196" spans="1:3" x14ac:dyDescent="0.25">
      <c r="A196" t="s">
        <v>99</v>
      </c>
      <c r="B196">
        <v>13</v>
      </c>
      <c r="C196">
        <v>0.12876712328767123</v>
      </c>
    </row>
    <row r="197" spans="1:3" x14ac:dyDescent="0.25">
      <c r="A197" t="s">
        <v>34</v>
      </c>
      <c r="B197">
        <v>13</v>
      </c>
      <c r="C197">
        <v>0.17260273972602741</v>
      </c>
    </row>
    <row r="198" spans="1:3" x14ac:dyDescent="0.25">
      <c r="A198" t="s">
        <v>81</v>
      </c>
      <c r="B198">
        <v>10</v>
      </c>
      <c r="C198">
        <v>0.16438356164383561</v>
      </c>
    </row>
    <row r="199" spans="1:3" x14ac:dyDescent="0.25">
      <c r="A199" t="s">
        <v>70</v>
      </c>
      <c r="B199">
        <v>11</v>
      </c>
      <c r="C199">
        <v>6.0273972602739728E-2</v>
      </c>
    </row>
    <row r="200" spans="1:3" x14ac:dyDescent="0.25">
      <c r="A200" t="s">
        <v>94</v>
      </c>
      <c r="B200">
        <v>8</v>
      </c>
      <c r="C200">
        <v>0.17534246575342466</v>
      </c>
    </row>
    <row r="201" spans="1:3" x14ac:dyDescent="0.25">
      <c r="A201" t="s">
        <v>117</v>
      </c>
      <c r="B201">
        <v>11</v>
      </c>
      <c r="C201">
        <v>0.20547945205479451</v>
      </c>
    </row>
    <row r="202" spans="1:3" x14ac:dyDescent="0.25">
      <c r="A202" t="s">
        <v>75</v>
      </c>
      <c r="B202">
        <v>15</v>
      </c>
      <c r="C202">
        <v>0.16986301369863013</v>
      </c>
    </row>
    <row r="203" spans="1:3" x14ac:dyDescent="0.25">
      <c r="A203" t="s">
        <v>99</v>
      </c>
      <c r="B203">
        <v>16</v>
      </c>
      <c r="C203">
        <v>0.10410958904109589</v>
      </c>
    </row>
    <row r="204" spans="1:3" x14ac:dyDescent="0.25">
      <c r="A204" t="s">
        <v>87</v>
      </c>
      <c r="B204">
        <v>18</v>
      </c>
      <c r="C204">
        <v>7.1232876712328766E-2</v>
      </c>
    </row>
    <row r="205" spans="1:3" x14ac:dyDescent="0.25">
      <c r="A205" t="s">
        <v>129</v>
      </c>
      <c r="B205">
        <v>16</v>
      </c>
      <c r="C205">
        <v>0.18356164383561643</v>
      </c>
    </row>
    <row r="206" spans="1:3" x14ac:dyDescent="0.25">
      <c r="A206" t="s">
        <v>89</v>
      </c>
      <c r="B206">
        <v>20</v>
      </c>
      <c r="C206">
        <v>0.18082191780821918</v>
      </c>
    </row>
    <row r="207" spans="1:3" x14ac:dyDescent="0.25">
      <c r="A207" t="s">
        <v>117</v>
      </c>
      <c r="B207">
        <v>17</v>
      </c>
      <c r="C207">
        <v>0.18082191780821918</v>
      </c>
    </row>
    <row r="208" spans="1:3" x14ac:dyDescent="0.25">
      <c r="A208" t="s">
        <v>105</v>
      </c>
      <c r="B208">
        <v>18</v>
      </c>
      <c r="C208">
        <v>0.18630136986301371</v>
      </c>
    </row>
    <row r="209" spans="1:3" x14ac:dyDescent="0.25">
      <c r="A209" t="s">
        <v>92</v>
      </c>
      <c r="B209">
        <v>16</v>
      </c>
      <c r="C209">
        <v>0.18356164383561643</v>
      </c>
    </row>
    <row r="210" spans="1:3" x14ac:dyDescent="0.25">
      <c r="A210" t="s">
        <v>32</v>
      </c>
      <c r="B210">
        <v>16</v>
      </c>
      <c r="C210">
        <v>0.16986301369863013</v>
      </c>
    </row>
    <row r="211" spans="1:3" x14ac:dyDescent="0.25">
      <c r="A211" t="s">
        <v>131</v>
      </c>
      <c r="B211">
        <v>16</v>
      </c>
      <c r="C211">
        <v>7.3972602739726029E-2</v>
      </c>
    </row>
    <row r="212" spans="1:3" x14ac:dyDescent="0.25">
      <c r="A212" t="s">
        <v>21</v>
      </c>
      <c r="B212">
        <v>10</v>
      </c>
      <c r="C212">
        <v>0.16712328767123288</v>
      </c>
    </row>
    <row r="213" spans="1:3" x14ac:dyDescent="0.25">
      <c r="A213" t="s">
        <v>78</v>
      </c>
      <c r="B213">
        <v>19</v>
      </c>
      <c r="C213">
        <v>6.575342465753424E-2</v>
      </c>
    </row>
    <row r="214" spans="1:3" x14ac:dyDescent="0.25">
      <c r="A214" t="s">
        <v>65</v>
      </c>
      <c r="B214">
        <v>16</v>
      </c>
      <c r="C214">
        <v>0.15342465753424658</v>
      </c>
    </row>
    <row r="215" spans="1:3" x14ac:dyDescent="0.25">
      <c r="A215" t="s">
        <v>82</v>
      </c>
      <c r="B215">
        <v>20</v>
      </c>
      <c r="C215">
        <v>0.18356164383561643</v>
      </c>
    </row>
    <row r="216" spans="1:3" x14ac:dyDescent="0.25">
      <c r="A216" t="s">
        <v>100</v>
      </c>
      <c r="B216">
        <v>17</v>
      </c>
      <c r="C216">
        <v>7.6712328767123292E-2</v>
      </c>
    </row>
    <row r="217" spans="1:3" x14ac:dyDescent="0.25">
      <c r="A217" t="s">
        <v>80</v>
      </c>
      <c r="B217">
        <v>22</v>
      </c>
      <c r="C217">
        <v>0.16986301369863013</v>
      </c>
    </row>
    <row r="218" spans="1:3" x14ac:dyDescent="0.25">
      <c r="A218" t="s">
        <v>132</v>
      </c>
      <c r="B218">
        <v>17</v>
      </c>
      <c r="C218">
        <v>8.4931506849315067E-2</v>
      </c>
    </row>
    <row r="219" spans="1:3" x14ac:dyDescent="0.25">
      <c r="A219" t="s">
        <v>99</v>
      </c>
      <c r="B219">
        <v>17</v>
      </c>
      <c r="C219">
        <v>0.10136986301369863</v>
      </c>
    </row>
    <row r="220" spans="1:3" x14ac:dyDescent="0.25">
      <c r="A220" t="s">
        <v>112</v>
      </c>
      <c r="B220">
        <v>18</v>
      </c>
      <c r="C220">
        <v>0.17808219178082191</v>
      </c>
    </row>
    <row r="221" spans="1:3" x14ac:dyDescent="0.25">
      <c r="A221" t="s">
        <v>133</v>
      </c>
      <c r="B221">
        <v>17</v>
      </c>
      <c r="C221">
        <v>0.11780821917808219</v>
      </c>
    </row>
    <row r="222" spans="1:3" x14ac:dyDescent="0.25">
      <c r="A222" t="s">
        <v>65</v>
      </c>
      <c r="B222">
        <v>17</v>
      </c>
      <c r="C222">
        <v>0.13698630136986301</v>
      </c>
    </row>
    <row r="223" spans="1:3" x14ac:dyDescent="0.25">
      <c r="A223" t="s">
        <v>113</v>
      </c>
      <c r="B223">
        <v>16</v>
      </c>
      <c r="C223">
        <v>7.3972602739726029E-2</v>
      </c>
    </row>
    <row r="224" spans="1:3" x14ac:dyDescent="0.25">
      <c r="A224" t="s">
        <v>117</v>
      </c>
      <c r="B224">
        <v>16</v>
      </c>
      <c r="C224">
        <v>0.17260273972602741</v>
      </c>
    </row>
    <row r="225" spans="1:3" x14ac:dyDescent="0.25">
      <c r="A225" t="s">
        <v>92</v>
      </c>
      <c r="B225">
        <v>18</v>
      </c>
      <c r="C225">
        <v>0.17808219178082191</v>
      </c>
    </row>
    <row r="226" spans="1:3" x14ac:dyDescent="0.25">
      <c r="A226" t="s">
        <v>81</v>
      </c>
      <c r="B226">
        <v>16</v>
      </c>
      <c r="C226">
        <v>0.21369863013698631</v>
      </c>
    </row>
    <row r="227" spans="1:3" x14ac:dyDescent="0.25">
      <c r="A227" t="s">
        <v>73</v>
      </c>
      <c r="B227">
        <v>16</v>
      </c>
      <c r="C227">
        <v>0.21095890410958903</v>
      </c>
    </row>
    <row r="228" spans="1:3" x14ac:dyDescent="0.25">
      <c r="A228" t="s">
        <v>30</v>
      </c>
      <c r="B228">
        <v>8</v>
      </c>
      <c r="C228">
        <v>0.16438356164383561</v>
      </c>
    </row>
    <row r="229" spans="1:3" x14ac:dyDescent="0.25">
      <c r="A229" t="s">
        <v>28</v>
      </c>
      <c r="B229">
        <v>19</v>
      </c>
      <c r="C229">
        <v>0.16438356164383561</v>
      </c>
    </row>
    <row r="230" spans="1:3" x14ac:dyDescent="0.25">
      <c r="A230" t="s">
        <v>134</v>
      </c>
      <c r="B230">
        <v>19</v>
      </c>
      <c r="C230">
        <v>0.16986301369863013</v>
      </c>
    </row>
    <row r="231" spans="1:3" x14ac:dyDescent="0.25">
      <c r="A231" t="s">
        <v>115</v>
      </c>
      <c r="B231">
        <v>18</v>
      </c>
      <c r="C231">
        <v>0.17260273972602741</v>
      </c>
    </row>
    <row r="232" spans="1:3" x14ac:dyDescent="0.25">
      <c r="A232" t="s">
        <v>135</v>
      </c>
      <c r="B232">
        <v>18</v>
      </c>
      <c r="C232">
        <v>0.16712328767123288</v>
      </c>
    </row>
    <row r="233" spans="1:3" x14ac:dyDescent="0.25">
      <c r="A233" t="s">
        <v>130</v>
      </c>
      <c r="B233">
        <v>17</v>
      </c>
      <c r="C233">
        <v>0.18356164383561643</v>
      </c>
    </row>
    <row r="234" spans="1:3" x14ac:dyDescent="0.25">
      <c r="A234" t="s">
        <v>80</v>
      </c>
      <c r="B234">
        <v>20</v>
      </c>
      <c r="C234">
        <v>0.16164383561643836</v>
      </c>
    </row>
    <row r="235" spans="1:3" x14ac:dyDescent="0.25">
      <c r="A235" t="s">
        <v>112</v>
      </c>
      <c r="B235">
        <v>19</v>
      </c>
      <c r="C235">
        <v>0.15616438356164383</v>
      </c>
    </row>
    <row r="236" spans="1:3" x14ac:dyDescent="0.25">
      <c r="A236" t="s">
        <v>95</v>
      </c>
      <c r="B236">
        <v>18</v>
      </c>
      <c r="C236">
        <v>0.18082191780821918</v>
      </c>
    </row>
    <row r="237" spans="1:3" x14ac:dyDescent="0.25">
      <c r="A237" t="s">
        <v>136</v>
      </c>
      <c r="B237">
        <v>19</v>
      </c>
      <c r="C237">
        <v>6.0273972602739728E-2</v>
      </c>
    </row>
    <row r="238" spans="1:3" x14ac:dyDescent="0.25">
      <c r="A238" t="s">
        <v>110</v>
      </c>
      <c r="B238">
        <v>19</v>
      </c>
      <c r="C238">
        <v>0.15068493150684931</v>
      </c>
    </row>
    <row r="239" spans="1:3" x14ac:dyDescent="0.25">
      <c r="A239" t="s">
        <v>111</v>
      </c>
      <c r="B239">
        <v>18</v>
      </c>
      <c r="C239">
        <v>0.14794520547945206</v>
      </c>
    </row>
    <row r="240" spans="1:3" x14ac:dyDescent="0.25">
      <c r="A240" t="s">
        <v>23</v>
      </c>
      <c r="B240">
        <v>18</v>
      </c>
      <c r="C240">
        <v>0.16164383561643836</v>
      </c>
    </row>
    <row r="241" spans="1:3" x14ac:dyDescent="0.25">
      <c r="A241" t="s">
        <v>137</v>
      </c>
      <c r="B241">
        <v>18</v>
      </c>
      <c r="C241">
        <v>9.8630136986301367E-2</v>
      </c>
    </row>
    <row r="242" spans="1:3" x14ac:dyDescent="0.25">
      <c r="A242" t="s">
        <v>91</v>
      </c>
      <c r="B242">
        <v>19</v>
      </c>
      <c r="C242">
        <v>0.24383561643835616</v>
      </c>
    </row>
    <row r="243" spans="1:3" x14ac:dyDescent="0.25">
      <c r="A243" t="s">
        <v>32</v>
      </c>
      <c r="B243">
        <v>19</v>
      </c>
      <c r="C243">
        <v>0.15342465753424658</v>
      </c>
    </row>
    <row r="244" spans="1:3" x14ac:dyDescent="0.25">
      <c r="A244" t="s">
        <v>81</v>
      </c>
      <c r="B244">
        <v>18</v>
      </c>
      <c r="C244">
        <v>0.2</v>
      </c>
    </row>
    <row r="245" spans="1:3" x14ac:dyDescent="0.25">
      <c r="A245" t="s">
        <v>73</v>
      </c>
      <c r="B245">
        <v>23</v>
      </c>
      <c r="C245">
        <v>0.19452054794520549</v>
      </c>
    </row>
    <row r="246" spans="1:3" x14ac:dyDescent="0.25">
      <c r="A246" t="s">
        <v>91</v>
      </c>
      <c r="B246">
        <v>20</v>
      </c>
      <c r="C246">
        <v>0.19726027397260273</v>
      </c>
    </row>
    <row r="247" spans="1:3" x14ac:dyDescent="0.25">
      <c r="A247" t="s">
        <v>138</v>
      </c>
      <c r="B247">
        <v>18</v>
      </c>
      <c r="C247">
        <v>7.1232876712328766E-2</v>
      </c>
    </row>
    <row r="248" spans="1:3" x14ac:dyDescent="0.25">
      <c r="A248" t="s">
        <v>83</v>
      </c>
      <c r="B248">
        <v>19</v>
      </c>
      <c r="C248">
        <v>6.0273972602739728E-2</v>
      </c>
    </row>
    <row r="249" spans="1:3" x14ac:dyDescent="0.25">
      <c r="A249" t="s">
        <v>110</v>
      </c>
      <c r="B249">
        <v>16</v>
      </c>
      <c r="C249">
        <v>0.15068493150684931</v>
      </c>
    </row>
    <row r="250" spans="1:3" x14ac:dyDescent="0.25">
      <c r="A250" t="s">
        <v>109</v>
      </c>
      <c r="B250">
        <v>19</v>
      </c>
      <c r="C250">
        <v>0.18630136986301371</v>
      </c>
    </row>
    <row r="251" spans="1:3" x14ac:dyDescent="0.25">
      <c r="A251" t="s">
        <v>67</v>
      </c>
      <c r="B251">
        <v>18</v>
      </c>
      <c r="C251">
        <v>0.16164383561643836</v>
      </c>
    </row>
    <row r="252" spans="1:3" x14ac:dyDescent="0.25">
      <c r="A252" t="s">
        <v>124</v>
      </c>
      <c r="B252">
        <v>16</v>
      </c>
      <c r="C252">
        <v>7.3972602739726029E-2</v>
      </c>
    </row>
    <row r="253" spans="1:3" x14ac:dyDescent="0.25">
      <c r="A253" t="s">
        <v>114</v>
      </c>
      <c r="B253">
        <v>17</v>
      </c>
      <c r="C253">
        <v>0.15342465753424658</v>
      </c>
    </row>
    <row r="254" spans="1:3" x14ac:dyDescent="0.25">
      <c r="A254" t="s">
        <v>139</v>
      </c>
      <c r="B254">
        <v>19</v>
      </c>
      <c r="C254">
        <v>8.2191780821917804E-2</v>
      </c>
    </row>
    <row r="255" spans="1:3" x14ac:dyDescent="0.25">
      <c r="A255" t="s">
        <v>108</v>
      </c>
      <c r="B255">
        <v>19</v>
      </c>
      <c r="C255">
        <v>6.8493150684931503E-2</v>
      </c>
    </row>
    <row r="256" spans="1:3" x14ac:dyDescent="0.25">
      <c r="A256" t="s">
        <v>28</v>
      </c>
      <c r="B256">
        <v>11</v>
      </c>
      <c r="C256">
        <v>0.15342465753424658</v>
      </c>
    </row>
    <row r="257" spans="1:3" x14ac:dyDescent="0.25">
      <c r="A257" t="s">
        <v>117</v>
      </c>
      <c r="B257">
        <v>19</v>
      </c>
      <c r="C257">
        <v>0.15068493150684931</v>
      </c>
    </row>
    <row r="258" spans="1:3" x14ac:dyDescent="0.25">
      <c r="A258" t="s">
        <v>129</v>
      </c>
      <c r="B258">
        <v>19</v>
      </c>
      <c r="C258">
        <v>0.15068493150684931</v>
      </c>
    </row>
    <row r="259" spans="1:3" x14ac:dyDescent="0.25">
      <c r="A259" t="s">
        <v>134</v>
      </c>
      <c r="B259">
        <v>16</v>
      </c>
      <c r="C259">
        <v>0.14794520547945206</v>
      </c>
    </row>
    <row r="260" spans="1:3" x14ac:dyDescent="0.25">
      <c r="A260" t="s">
        <v>140</v>
      </c>
      <c r="B260">
        <v>19</v>
      </c>
      <c r="C260">
        <v>7.1232876712328766E-2</v>
      </c>
    </row>
    <row r="261" spans="1:3" x14ac:dyDescent="0.25">
      <c r="A261" t="s">
        <v>117</v>
      </c>
      <c r="B261">
        <v>20</v>
      </c>
      <c r="C261">
        <v>0.14794520547945206</v>
      </c>
    </row>
    <row r="262" spans="1:3" x14ac:dyDescent="0.25">
      <c r="A262" t="s">
        <v>92</v>
      </c>
      <c r="B262">
        <v>19</v>
      </c>
      <c r="C262">
        <v>0.14794520547945206</v>
      </c>
    </row>
    <row r="263" spans="1:3" x14ac:dyDescent="0.25">
      <c r="A263" t="s">
        <v>125</v>
      </c>
      <c r="B263">
        <v>17</v>
      </c>
      <c r="C263">
        <v>0.18630136986301371</v>
      </c>
    </row>
    <row r="264" spans="1:3" x14ac:dyDescent="0.25">
      <c r="A264" t="s">
        <v>96</v>
      </c>
      <c r="B264">
        <v>18</v>
      </c>
      <c r="C264">
        <v>6.8493150684931503E-2</v>
      </c>
    </row>
    <row r="265" spans="1:3" x14ac:dyDescent="0.25">
      <c r="A265" t="s">
        <v>105</v>
      </c>
      <c r="B265">
        <v>19</v>
      </c>
      <c r="C265">
        <v>0.17808219178082191</v>
      </c>
    </row>
    <row r="266" spans="1:3" x14ac:dyDescent="0.25">
      <c r="A266" t="s">
        <v>130</v>
      </c>
      <c r="B266">
        <v>19</v>
      </c>
      <c r="C266">
        <v>0.16164383561643836</v>
      </c>
    </row>
    <row r="267" spans="1:3" x14ac:dyDescent="0.25">
      <c r="A267" t="s">
        <v>127</v>
      </c>
      <c r="B267">
        <v>18</v>
      </c>
      <c r="C267">
        <v>6.8493150684931503E-2</v>
      </c>
    </row>
    <row r="268" spans="1:3" x14ac:dyDescent="0.25">
      <c r="A268" t="s">
        <v>120</v>
      </c>
      <c r="B268">
        <v>18</v>
      </c>
      <c r="C268">
        <v>0.18082191780821918</v>
      </c>
    </row>
    <row r="269" spans="1:3" x14ac:dyDescent="0.25">
      <c r="A269" t="s">
        <v>141</v>
      </c>
      <c r="B269">
        <v>18</v>
      </c>
      <c r="C269">
        <v>7.1232876712328766E-2</v>
      </c>
    </row>
    <row r="270" spans="1:3" x14ac:dyDescent="0.25">
      <c r="A270" t="s">
        <v>89</v>
      </c>
      <c r="B270">
        <v>1</v>
      </c>
      <c r="C270">
        <v>9.3150684931506855E-2</v>
      </c>
    </row>
    <row r="271" spans="1:3" x14ac:dyDescent="0.25">
      <c r="A271" t="s">
        <v>89</v>
      </c>
      <c r="B271">
        <v>6</v>
      </c>
      <c r="C271">
        <v>8.4931506849315067E-2</v>
      </c>
    </row>
    <row r="272" spans="1:3" x14ac:dyDescent="0.25">
      <c r="A272" t="s">
        <v>89</v>
      </c>
      <c r="B272">
        <v>0</v>
      </c>
      <c r="C272">
        <v>7.9452054794520555E-2</v>
      </c>
    </row>
    <row r="273" spans="1:3" x14ac:dyDescent="0.25">
      <c r="A273" t="s">
        <v>99</v>
      </c>
      <c r="B273">
        <v>7</v>
      </c>
      <c r="C273">
        <v>6.0273972602739728E-2</v>
      </c>
    </row>
    <row r="274" spans="1:3" x14ac:dyDescent="0.25">
      <c r="A274" t="s">
        <v>142</v>
      </c>
      <c r="B274">
        <v>1</v>
      </c>
      <c r="C274">
        <v>2.7397260273972601E-2</v>
      </c>
    </row>
    <row r="275" spans="1:3" x14ac:dyDescent="0.25">
      <c r="A275" t="s">
        <v>110</v>
      </c>
      <c r="B275">
        <v>7</v>
      </c>
      <c r="C275">
        <v>9.0410958904109592E-2</v>
      </c>
    </row>
    <row r="276" spans="1:3" x14ac:dyDescent="0.25">
      <c r="A276" t="s">
        <v>135</v>
      </c>
      <c r="B276">
        <v>7</v>
      </c>
      <c r="C276">
        <v>9.3150684931506855E-2</v>
      </c>
    </row>
    <row r="277" spans="1:3" x14ac:dyDescent="0.25">
      <c r="A277" t="s">
        <v>82</v>
      </c>
      <c r="B277">
        <v>6</v>
      </c>
      <c r="C277">
        <v>8.2191780821917804E-2</v>
      </c>
    </row>
    <row r="278" spans="1:3" x14ac:dyDescent="0.25">
      <c r="A278" t="s">
        <v>23</v>
      </c>
      <c r="B278">
        <v>9</v>
      </c>
      <c r="C278">
        <v>0.15342465753424658</v>
      </c>
    </row>
    <row r="279" spans="1:3" x14ac:dyDescent="0.25">
      <c r="A279" t="s">
        <v>73</v>
      </c>
      <c r="B279">
        <v>1</v>
      </c>
      <c r="C279">
        <v>9.0410958904109592E-2</v>
      </c>
    </row>
    <row r="280" spans="1:3" x14ac:dyDescent="0.25">
      <c r="A280" t="s">
        <v>80</v>
      </c>
      <c r="B280">
        <v>1</v>
      </c>
      <c r="C280">
        <v>6.0273972602739728E-2</v>
      </c>
    </row>
    <row r="281" spans="1:3" x14ac:dyDescent="0.25">
      <c r="A281" t="s">
        <v>143</v>
      </c>
      <c r="B281">
        <v>7</v>
      </c>
      <c r="C281">
        <v>7.6712328767123292E-2</v>
      </c>
    </row>
    <row r="282" spans="1:3" x14ac:dyDescent="0.25">
      <c r="A282" t="s">
        <v>144</v>
      </c>
      <c r="B282">
        <v>7</v>
      </c>
      <c r="C282">
        <v>7.1232876712328766E-2</v>
      </c>
    </row>
    <row r="283" spans="1:3" x14ac:dyDescent="0.25">
      <c r="A283" t="s">
        <v>145</v>
      </c>
      <c r="B283">
        <v>10</v>
      </c>
      <c r="C283">
        <v>6.575342465753424E-2</v>
      </c>
    </row>
    <row r="284" spans="1:3" x14ac:dyDescent="0.25">
      <c r="A284" t="s">
        <v>81</v>
      </c>
      <c r="B284">
        <v>11</v>
      </c>
      <c r="C284">
        <v>0.16164383561643836</v>
      </c>
    </row>
    <row r="285" spans="1:3" x14ac:dyDescent="0.25">
      <c r="A285" t="s">
        <v>104</v>
      </c>
      <c r="B285">
        <v>11</v>
      </c>
      <c r="C285">
        <v>0.13150684931506848</v>
      </c>
    </row>
    <row r="286" spans="1:3" x14ac:dyDescent="0.25">
      <c r="A286" t="s">
        <v>104</v>
      </c>
      <c r="B286">
        <v>14</v>
      </c>
      <c r="C286">
        <v>0.12328767123287671</v>
      </c>
    </row>
    <row r="287" spans="1:3" x14ac:dyDescent="0.25">
      <c r="A287" t="s">
        <v>117</v>
      </c>
      <c r="B287">
        <v>14</v>
      </c>
      <c r="C287">
        <v>0.19726027397260273</v>
      </c>
    </row>
    <row r="288" spans="1:3" x14ac:dyDescent="0.25">
      <c r="A288" t="s">
        <v>109</v>
      </c>
      <c r="B288">
        <v>14</v>
      </c>
      <c r="C288">
        <v>0.17534246575342466</v>
      </c>
    </row>
    <row r="289" spans="1:3" x14ac:dyDescent="0.25">
      <c r="A289" t="s">
        <v>94</v>
      </c>
      <c r="B289">
        <v>13</v>
      </c>
      <c r="C289">
        <v>0.17260273972602741</v>
      </c>
    </row>
    <row r="290" spans="1:3" x14ac:dyDescent="0.25">
      <c r="A290" t="s">
        <v>112</v>
      </c>
      <c r="B290">
        <v>8</v>
      </c>
      <c r="C290">
        <v>0.16986301369863013</v>
      </c>
    </row>
    <row r="291" spans="1:3" x14ac:dyDescent="0.25">
      <c r="A291" t="s">
        <v>129</v>
      </c>
      <c r="B291">
        <v>14</v>
      </c>
      <c r="C291">
        <v>0.15342465753424658</v>
      </c>
    </row>
    <row r="292" spans="1:3" x14ac:dyDescent="0.25">
      <c r="A292" t="s">
        <v>122</v>
      </c>
      <c r="B292">
        <v>13</v>
      </c>
      <c r="C292">
        <v>0.15068493150684931</v>
      </c>
    </row>
    <row r="293" spans="1:3" x14ac:dyDescent="0.25">
      <c r="A293" t="s">
        <v>121</v>
      </c>
      <c r="B293">
        <v>11</v>
      </c>
      <c r="C293">
        <v>0.12876712328767123</v>
      </c>
    </row>
    <row r="294" spans="1:3" x14ac:dyDescent="0.25">
      <c r="A294" t="s">
        <v>107</v>
      </c>
      <c r="B294">
        <v>9</v>
      </c>
      <c r="C294">
        <v>0.14520547945205478</v>
      </c>
    </row>
    <row r="295" spans="1:3" x14ac:dyDescent="0.25">
      <c r="A295" t="s">
        <v>28</v>
      </c>
      <c r="B295">
        <v>18</v>
      </c>
      <c r="C295">
        <v>0.15068493150684931</v>
      </c>
    </row>
    <row r="296" spans="1:3" x14ac:dyDescent="0.25">
      <c r="A296" t="s">
        <v>21</v>
      </c>
      <c r="B296">
        <v>16</v>
      </c>
      <c r="C296">
        <v>0.14794520547945206</v>
      </c>
    </row>
    <row r="297" spans="1:3" x14ac:dyDescent="0.25">
      <c r="A297" t="s">
        <v>89</v>
      </c>
      <c r="B297">
        <v>8</v>
      </c>
      <c r="C297">
        <v>0.18356164383561643</v>
      </c>
    </row>
    <row r="298" spans="1:3" x14ac:dyDescent="0.25">
      <c r="A298" t="s">
        <v>32</v>
      </c>
      <c r="B298">
        <v>12</v>
      </c>
      <c r="C298">
        <v>0.14794520547945206</v>
      </c>
    </row>
    <row r="299" spans="1:3" x14ac:dyDescent="0.25">
      <c r="A299" t="s">
        <v>117</v>
      </c>
      <c r="B299">
        <v>15</v>
      </c>
      <c r="C299">
        <v>0.17260273972602741</v>
      </c>
    </row>
    <row r="300" spans="1:3" x14ac:dyDescent="0.25">
      <c r="A300" t="s">
        <v>68</v>
      </c>
      <c r="B300">
        <v>10</v>
      </c>
      <c r="C300">
        <v>0.12602739726027398</v>
      </c>
    </row>
    <row r="301" spans="1:3" x14ac:dyDescent="0.25">
      <c r="A301" t="s">
        <v>95</v>
      </c>
      <c r="B301">
        <v>15</v>
      </c>
      <c r="C301">
        <v>0.17534246575342466</v>
      </c>
    </row>
    <row r="302" spans="1:3" x14ac:dyDescent="0.25">
      <c r="A302" t="s">
        <v>122</v>
      </c>
      <c r="B302">
        <v>15</v>
      </c>
      <c r="C302">
        <v>0.14520547945205478</v>
      </c>
    </row>
    <row r="303" spans="1:3" x14ac:dyDescent="0.25">
      <c r="A303" t="s">
        <v>82</v>
      </c>
      <c r="B303">
        <v>8</v>
      </c>
      <c r="C303">
        <v>0.16986301369863013</v>
      </c>
    </row>
    <row r="304" spans="1:3" x14ac:dyDescent="0.25">
      <c r="A304" t="s">
        <v>67</v>
      </c>
      <c r="B304">
        <v>10</v>
      </c>
      <c r="C304">
        <v>0.13972602739726028</v>
      </c>
    </row>
    <row r="305" spans="1:3" x14ac:dyDescent="0.25">
      <c r="A305" t="s">
        <v>67</v>
      </c>
      <c r="B305">
        <v>14</v>
      </c>
      <c r="C305">
        <v>0.13150684931506848</v>
      </c>
    </row>
    <row r="306" spans="1:3" x14ac:dyDescent="0.25">
      <c r="A306" t="s">
        <v>73</v>
      </c>
      <c r="B306">
        <v>8</v>
      </c>
      <c r="C306">
        <v>0.15342465753424658</v>
      </c>
    </row>
    <row r="307" spans="1:3" x14ac:dyDescent="0.25">
      <c r="A307" t="s">
        <v>92</v>
      </c>
      <c r="B307">
        <v>15</v>
      </c>
      <c r="C307">
        <v>0.16986301369863013</v>
      </c>
    </row>
    <row r="308" spans="1:3" x14ac:dyDescent="0.25">
      <c r="A308" t="s">
        <v>65</v>
      </c>
      <c r="B308">
        <v>13</v>
      </c>
      <c r="C308">
        <v>0.12602739726027398</v>
      </c>
    </row>
    <row r="309" spans="1:3" x14ac:dyDescent="0.25">
      <c r="A309" t="s">
        <v>23</v>
      </c>
      <c r="B309">
        <v>16</v>
      </c>
      <c r="C309">
        <v>0.14520547945205478</v>
      </c>
    </row>
    <row r="310" spans="1:3" x14ac:dyDescent="0.25">
      <c r="A310" t="s">
        <v>67</v>
      </c>
      <c r="B310">
        <v>12</v>
      </c>
      <c r="C310">
        <v>0.13150684931506848</v>
      </c>
    </row>
    <row r="311" spans="1:3" x14ac:dyDescent="0.25">
      <c r="A311" t="s">
        <v>95</v>
      </c>
      <c r="B311">
        <v>9</v>
      </c>
      <c r="C311">
        <v>0.17260273972602741</v>
      </c>
    </row>
    <row r="312" spans="1:3" x14ac:dyDescent="0.25">
      <c r="A312" t="s">
        <v>108</v>
      </c>
      <c r="B312">
        <v>9</v>
      </c>
      <c r="C312">
        <v>7.6712328767123292E-2</v>
      </c>
    </row>
    <row r="313" spans="1:3" x14ac:dyDescent="0.25">
      <c r="A313" t="s">
        <v>132</v>
      </c>
      <c r="B313">
        <v>9</v>
      </c>
      <c r="C313">
        <v>6.0273972602739728E-2</v>
      </c>
    </row>
    <row r="314" spans="1:3" x14ac:dyDescent="0.25">
      <c r="A314" t="s">
        <v>129</v>
      </c>
      <c r="B314">
        <v>8</v>
      </c>
      <c r="C314">
        <v>0.12876712328767123</v>
      </c>
    </row>
    <row r="315" spans="1:3" x14ac:dyDescent="0.25">
      <c r="A315" t="s">
        <v>92</v>
      </c>
      <c r="B315">
        <v>9</v>
      </c>
      <c r="C315">
        <v>0.16712328767123288</v>
      </c>
    </row>
    <row r="316" spans="1:3" x14ac:dyDescent="0.25">
      <c r="A316" t="s">
        <v>78</v>
      </c>
      <c r="B316">
        <v>15</v>
      </c>
      <c r="C316">
        <v>6.3013698630136991E-2</v>
      </c>
    </row>
    <row r="317" spans="1:3" x14ac:dyDescent="0.25">
      <c r="A317" t="s">
        <v>76</v>
      </c>
      <c r="B317">
        <v>10</v>
      </c>
      <c r="C317">
        <v>0.15068493150684931</v>
      </c>
    </row>
    <row r="318" spans="1:3" x14ac:dyDescent="0.25">
      <c r="A318" t="s">
        <v>115</v>
      </c>
      <c r="B318">
        <v>10</v>
      </c>
      <c r="C318">
        <v>0.12054794520547946</v>
      </c>
    </row>
    <row r="319" spans="1:3" x14ac:dyDescent="0.25">
      <c r="A319" t="s">
        <v>146</v>
      </c>
      <c r="B319">
        <v>8</v>
      </c>
      <c r="C319">
        <v>6.3013698630136991E-2</v>
      </c>
    </row>
    <row r="320" spans="1:3" x14ac:dyDescent="0.25">
      <c r="A320" t="s">
        <v>94</v>
      </c>
      <c r="B320">
        <v>10</v>
      </c>
      <c r="C320">
        <v>0.16164383561643836</v>
      </c>
    </row>
    <row r="321" spans="1:3" x14ac:dyDescent="0.25">
      <c r="A321" t="s">
        <v>92</v>
      </c>
      <c r="B321">
        <v>13</v>
      </c>
      <c r="C321">
        <v>0.15890410958904111</v>
      </c>
    </row>
    <row r="322" spans="1:3" x14ac:dyDescent="0.25">
      <c r="A322" t="s">
        <v>34</v>
      </c>
      <c r="B322">
        <v>10</v>
      </c>
      <c r="C322">
        <v>0.13972602739726028</v>
      </c>
    </row>
    <row r="323" spans="1:3" x14ac:dyDescent="0.25">
      <c r="A323" t="s">
        <v>81</v>
      </c>
      <c r="B323">
        <v>9</v>
      </c>
      <c r="C323">
        <v>0.15068493150684931</v>
      </c>
    </row>
    <row r="324" spans="1:3" x14ac:dyDescent="0.25">
      <c r="A324" t="s">
        <v>92</v>
      </c>
      <c r="B324">
        <v>10</v>
      </c>
      <c r="C324">
        <v>0.15342465753424658</v>
      </c>
    </row>
    <row r="325" spans="1:3" x14ac:dyDescent="0.25">
      <c r="A325" t="s">
        <v>73</v>
      </c>
      <c r="B325">
        <v>9</v>
      </c>
      <c r="C325">
        <v>0.14794520547945206</v>
      </c>
    </row>
    <row r="326" spans="1:3" x14ac:dyDescent="0.25">
      <c r="A326" t="s">
        <v>65</v>
      </c>
      <c r="B326">
        <v>9</v>
      </c>
      <c r="C326">
        <v>0.12054794520547946</v>
      </c>
    </row>
    <row r="327" spans="1:3" x14ac:dyDescent="0.25">
      <c r="A327" t="s">
        <v>32</v>
      </c>
      <c r="B327">
        <v>14</v>
      </c>
      <c r="C327">
        <v>0.13972602739726028</v>
      </c>
    </row>
    <row r="328" spans="1:3" x14ac:dyDescent="0.25">
      <c r="A328" t="s">
        <v>112</v>
      </c>
      <c r="B328">
        <v>11</v>
      </c>
      <c r="C328">
        <v>0.15342465753424658</v>
      </c>
    </row>
    <row r="329" spans="1:3" x14ac:dyDescent="0.25">
      <c r="A329" t="s">
        <v>73</v>
      </c>
      <c r="B329">
        <v>11</v>
      </c>
      <c r="C329">
        <v>0.14246575342465753</v>
      </c>
    </row>
    <row r="330" spans="1:3" x14ac:dyDescent="0.25">
      <c r="A330" t="s">
        <v>113</v>
      </c>
      <c r="B330">
        <v>15</v>
      </c>
      <c r="C330">
        <v>5.7534246575342465E-2</v>
      </c>
    </row>
    <row r="331" spans="1:3" x14ac:dyDescent="0.25">
      <c r="A331" t="s">
        <v>135</v>
      </c>
      <c r="B331">
        <v>15</v>
      </c>
      <c r="C331">
        <v>0.12876712328767123</v>
      </c>
    </row>
    <row r="332" spans="1:3" x14ac:dyDescent="0.25">
      <c r="A332" t="s">
        <v>112</v>
      </c>
      <c r="B332">
        <v>9</v>
      </c>
      <c r="C332">
        <v>0.15068493150684931</v>
      </c>
    </row>
    <row r="333" spans="1:3" x14ac:dyDescent="0.25">
      <c r="A333" t="s">
        <v>122</v>
      </c>
      <c r="B333">
        <v>10</v>
      </c>
      <c r="C333">
        <v>0.12328767123287671</v>
      </c>
    </row>
    <row r="334" spans="1:3" x14ac:dyDescent="0.25">
      <c r="A334" t="s">
        <v>119</v>
      </c>
      <c r="B334">
        <v>8</v>
      </c>
      <c r="C334">
        <v>7.3972602739726029E-2</v>
      </c>
    </row>
    <row r="335" spans="1:3" x14ac:dyDescent="0.25">
      <c r="A335" t="s">
        <v>147</v>
      </c>
      <c r="B335">
        <v>13</v>
      </c>
      <c r="C335">
        <v>1.643835616438356E-2</v>
      </c>
    </row>
    <row r="336" spans="1:3" x14ac:dyDescent="0.25">
      <c r="A336" t="s">
        <v>71</v>
      </c>
      <c r="B336">
        <v>10</v>
      </c>
      <c r="C336">
        <v>0.12054794520547946</v>
      </c>
    </row>
    <row r="337" spans="1:3" x14ac:dyDescent="0.25">
      <c r="A337" t="s">
        <v>114</v>
      </c>
      <c r="B337">
        <v>8</v>
      </c>
      <c r="C337">
        <v>0.17260273972602741</v>
      </c>
    </row>
    <row r="338" spans="1:3" x14ac:dyDescent="0.25">
      <c r="A338" t="s">
        <v>92</v>
      </c>
      <c r="B338">
        <v>11</v>
      </c>
      <c r="C338">
        <v>0.15068493150684931</v>
      </c>
    </row>
    <row r="339" spans="1:3" x14ac:dyDescent="0.25">
      <c r="A339" t="s">
        <v>86</v>
      </c>
      <c r="B339">
        <v>8</v>
      </c>
      <c r="C339">
        <v>5.4794520547945202E-2</v>
      </c>
    </row>
    <row r="340" spans="1:3" x14ac:dyDescent="0.25">
      <c r="A340" t="s">
        <v>21</v>
      </c>
      <c r="B340">
        <v>15</v>
      </c>
      <c r="C340">
        <v>0.13698630136986301</v>
      </c>
    </row>
    <row r="341" spans="1:3" x14ac:dyDescent="0.25">
      <c r="A341" t="s">
        <v>87</v>
      </c>
      <c r="B341">
        <v>10</v>
      </c>
      <c r="C341">
        <v>6.0273972602739728E-2</v>
      </c>
    </row>
    <row r="342" spans="1:3" x14ac:dyDescent="0.25">
      <c r="A342" t="s">
        <v>89</v>
      </c>
      <c r="B342">
        <v>10</v>
      </c>
      <c r="C342">
        <v>0.16438356164383561</v>
      </c>
    </row>
    <row r="343" spans="1:3" x14ac:dyDescent="0.25">
      <c r="A343" t="s">
        <v>148</v>
      </c>
      <c r="B343">
        <v>8</v>
      </c>
      <c r="C343">
        <v>5.2054794520547946E-2</v>
      </c>
    </row>
    <row r="344" spans="1:3" x14ac:dyDescent="0.25">
      <c r="A344" t="s">
        <v>81</v>
      </c>
      <c r="B344">
        <v>15</v>
      </c>
      <c r="C344">
        <v>0.14246575342465753</v>
      </c>
    </row>
    <row r="345" spans="1:3" x14ac:dyDescent="0.25">
      <c r="A345" t="s">
        <v>42</v>
      </c>
      <c r="B345">
        <v>18</v>
      </c>
      <c r="C345">
        <v>0.13424657534246576</v>
      </c>
    </row>
    <row r="346" spans="1:3" x14ac:dyDescent="0.25">
      <c r="A346" t="s">
        <v>131</v>
      </c>
      <c r="B346">
        <v>14</v>
      </c>
      <c r="C346">
        <v>7.9452054794520555E-2</v>
      </c>
    </row>
    <row r="347" spans="1:3" x14ac:dyDescent="0.25">
      <c r="A347" t="s">
        <v>116</v>
      </c>
      <c r="B347">
        <v>10</v>
      </c>
      <c r="C347">
        <v>0.11780821917808219</v>
      </c>
    </row>
    <row r="348" spans="1:3" x14ac:dyDescent="0.25">
      <c r="A348" t="s">
        <v>106</v>
      </c>
      <c r="B348">
        <v>15</v>
      </c>
      <c r="C348">
        <v>0.10410958904109589</v>
      </c>
    </row>
    <row r="349" spans="1:3" x14ac:dyDescent="0.25">
      <c r="A349" t="s">
        <v>34</v>
      </c>
      <c r="B349">
        <v>15</v>
      </c>
      <c r="C349">
        <v>0.13424657534246576</v>
      </c>
    </row>
    <row r="350" spans="1:3" x14ac:dyDescent="0.25">
      <c r="A350" t="s">
        <v>134</v>
      </c>
      <c r="B350">
        <v>18</v>
      </c>
      <c r="C350">
        <v>0.13424657534246576</v>
      </c>
    </row>
    <row r="351" spans="1:3" x14ac:dyDescent="0.25">
      <c r="A351" t="s">
        <v>73</v>
      </c>
      <c r="B351">
        <v>17</v>
      </c>
      <c r="C351">
        <v>0.18082191780821918</v>
      </c>
    </row>
    <row r="352" spans="1:3" x14ac:dyDescent="0.25">
      <c r="A352" t="s">
        <v>67</v>
      </c>
      <c r="B352">
        <v>19</v>
      </c>
      <c r="C352">
        <v>0.15068493150684931</v>
      </c>
    </row>
    <row r="353" spans="1:3" x14ac:dyDescent="0.25">
      <c r="A353" t="s">
        <v>81</v>
      </c>
      <c r="B353">
        <v>19</v>
      </c>
      <c r="C353">
        <v>0.17534246575342466</v>
      </c>
    </row>
    <row r="354" spans="1:3" x14ac:dyDescent="0.25">
      <c r="A354" t="s">
        <v>76</v>
      </c>
      <c r="B354">
        <v>18</v>
      </c>
      <c r="C354">
        <v>0.17260273972602741</v>
      </c>
    </row>
    <row r="355" spans="1:3" x14ac:dyDescent="0.25">
      <c r="A355" t="s">
        <v>94</v>
      </c>
      <c r="B355">
        <v>17</v>
      </c>
      <c r="C355">
        <v>0.14246575342465753</v>
      </c>
    </row>
    <row r="356" spans="1:3" x14ac:dyDescent="0.25">
      <c r="A356" t="s">
        <v>70</v>
      </c>
      <c r="B356">
        <v>19</v>
      </c>
      <c r="C356">
        <v>6.8493150684931503E-2</v>
      </c>
    </row>
    <row r="357" spans="1:3" x14ac:dyDescent="0.25">
      <c r="A357" t="s">
        <v>130</v>
      </c>
      <c r="B357">
        <v>16</v>
      </c>
      <c r="C357">
        <v>0.14246575342465753</v>
      </c>
    </row>
    <row r="358" spans="1:3" x14ac:dyDescent="0.25">
      <c r="A358" t="s">
        <v>89</v>
      </c>
      <c r="B358">
        <v>22</v>
      </c>
      <c r="C358">
        <v>0.12602739726027398</v>
      </c>
    </row>
    <row r="359" spans="1:3" x14ac:dyDescent="0.25">
      <c r="A359" t="s">
        <v>21</v>
      </c>
      <c r="B359">
        <v>14</v>
      </c>
      <c r="C359">
        <v>0.13424657534246576</v>
      </c>
    </row>
    <row r="360" spans="1:3" x14ac:dyDescent="0.25">
      <c r="A360" t="s">
        <v>76</v>
      </c>
      <c r="B360">
        <v>17</v>
      </c>
      <c r="C360">
        <v>0.17260273972602741</v>
      </c>
    </row>
    <row r="361" spans="1:3" x14ac:dyDescent="0.25">
      <c r="A361" t="s">
        <v>141</v>
      </c>
      <c r="B361">
        <v>19</v>
      </c>
      <c r="C361">
        <v>6.8493150684931503E-2</v>
      </c>
    </row>
    <row r="362" spans="1:3" x14ac:dyDescent="0.25">
      <c r="A362" t="s">
        <v>68</v>
      </c>
      <c r="B362">
        <v>18</v>
      </c>
      <c r="C362">
        <v>0.16164383561643836</v>
      </c>
    </row>
    <row r="363" spans="1:3" x14ac:dyDescent="0.25">
      <c r="A363" t="s">
        <v>122</v>
      </c>
      <c r="B363">
        <v>18</v>
      </c>
      <c r="C363">
        <v>0.14520547945205478</v>
      </c>
    </row>
    <row r="364" spans="1:3" x14ac:dyDescent="0.25">
      <c r="A364" t="s">
        <v>96</v>
      </c>
      <c r="B364">
        <v>17</v>
      </c>
      <c r="C364">
        <v>5.7534246575342465E-2</v>
      </c>
    </row>
    <row r="365" spans="1:3" x14ac:dyDescent="0.25">
      <c r="A365" t="s">
        <v>67</v>
      </c>
      <c r="B365">
        <v>16</v>
      </c>
      <c r="C365">
        <v>0.14246575342465753</v>
      </c>
    </row>
    <row r="366" spans="1:3" x14ac:dyDescent="0.25">
      <c r="A366" t="s">
        <v>75</v>
      </c>
      <c r="B366">
        <v>22</v>
      </c>
      <c r="C366">
        <v>0.13972602739726028</v>
      </c>
    </row>
    <row r="367" spans="1:3" x14ac:dyDescent="0.25">
      <c r="A367" t="s">
        <v>139</v>
      </c>
      <c r="B367">
        <v>16</v>
      </c>
      <c r="C367">
        <v>6.575342465753424E-2</v>
      </c>
    </row>
    <row r="368" spans="1:3" x14ac:dyDescent="0.25">
      <c r="A368" t="s">
        <v>97</v>
      </c>
      <c r="B368">
        <v>17</v>
      </c>
      <c r="C368">
        <v>6.0273972602739728E-2</v>
      </c>
    </row>
    <row r="369" spans="1:3" x14ac:dyDescent="0.25">
      <c r="A369" t="s">
        <v>30</v>
      </c>
      <c r="B369">
        <v>14</v>
      </c>
      <c r="C369">
        <v>0.12876712328767123</v>
      </c>
    </row>
    <row r="370" spans="1:3" x14ac:dyDescent="0.25">
      <c r="A370" t="s">
        <v>80</v>
      </c>
      <c r="B370">
        <v>21</v>
      </c>
      <c r="C370">
        <v>0.13150684931506848</v>
      </c>
    </row>
    <row r="371" spans="1:3" x14ac:dyDescent="0.25">
      <c r="A371" t="s">
        <v>149</v>
      </c>
      <c r="B371">
        <v>18</v>
      </c>
      <c r="C371">
        <v>0.15890410958904111</v>
      </c>
    </row>
    <row r="372" spans="1:3" x14ac:dyDescent="0.25">
      <c r="A372" t="s">
        <v>150</v>
      </c>
      <c r="B372">
        <v>19</v>
      </c>
      <c r="C372">
        <v>5.4794520547945202E-2</v>
      </c>
    </row>
    <row r="373" spans="1:3" x14ac:dyDescent="0.25">
      <c r="A373" t="s">
        <v>151</v>
      </c>
      <c r="B373">
        <v>17</v>
      </c>
      <c r="C373">
        <v>0.12054794520547946</v>
      </c>
    </row>
    <row r="374" spans="1:3" x14ac:dyDescent="0.25">
      <c r="A374" t="s">
        <v>143</v>
      </c>
      <c r="B374">
        <v>18</v>
      </c>
      <c r="C374">
        <v>0.14246575342465753</v>
      </c>
    </row>
    <row r="375" spans="1:3" x14ac:dyDescent="0.25">
      <c r="A375" t="s">
        <v>86</v>
      </c>
      <c r="B375">
        <v>19</v>
      </c>
      <c r="C375">
        <v>6.0273972602739728E-2</v>
      </c>
    </row>
    <row r="376" spans="1:3" x14ac:dyDescent="0.25">
      <c r="A376" t="s">
        <v>107</v>
      </c>
      <c r="B376">
        <v>16</v>
      </c>
      <c r="C376">
        <v>0.12054794520547946</v>
      </c>
    </row>
    <row r="377" spans="1:3" x14ac:dyDescent="0.25">
      <c r="A377" t="s">
        <v>32</v>
      </c>
      <c r="B377">
        <v>9</v>
      </c>
      <c r="C377">
        <v>0.12602739726027398</v>
      </c>
    </row>
    <row r="378" spans="1:3" x14ac:dyDescent="0.25">
      <c r="A378" t="s">
        <v>143</v>
      </c>
      <c r="B378">
        <v>17</v>
      </c>
      <c r="C378">
        <v>0.14246575342465753</v>
      </c>
    </row>
    <row r="379" spans="1:3" x14ac:dyDescent="0.25">
      <c r="A379" t="s">
        <v>152</v>
      </c>
      <c r="B379">
        <v>16</v>
      </c>
      <c r="C379">
        <v>0.13150684931506848</v>
      </c>
    </row>
    <row r="380" spans="1:3" x14ac:dyDescent="0.25">
      <c r="A380" t="s">
        <v>82</v>
      </c>
      <c r="B380">
        <v>23</v>
      </c>
      <c r="C380">
        <v>0.12876712328767123</v>
      </c>
    </row>
    <row r="381" spans="1:3" x14ac:dyDescent="0.25">
      <c r="A381" t="s">
        <v>86</v>
      </c>
      <c r="B381">
        <v>20</v>
      </c>
      <c r="C381">
        <v>5.2054794520547946E-2</v>
      </c>
    </row>
    <row r="382" spans="1:3" x14ac:dyDescent="0.25">
      <c r="A382" t="s">
        <v>94</v>
      </c>
      <c r="B382">
        <v>21</v>
      </c>
      <c r="C382">
        <v>0.12328767123287671</v>
      </c>
    </row>
    <row r="383" spans="1:3" x14ac:dyDescent="0.25">
      <c r="A383" t="s">
        <v>75</v>
      </c>
      <c r="B383">
        <v>20</v>
      </c>
      <c r="C383">
        <v>0.13972602739726028</v>
      </c>
    </row>
    <row r="384" spans="1:3" x14ac:dyDescent="0.25">
      <c r="A384" t="s">
        <v>114</v>
      </c>
      <c r="B384">
        <v>19</v>
      </c>
      <c r="C384">
        <v>0.12328767123287671</v>
      </c>
    </row>
    <row r="385" spans="1:3" x14ac:dyDescent="0.25">
      <c r="A385" t="s">
        <v>93</v>
      </c>
      <c r="B385">
        <v>17</v>
      </c>
      <c r="C385">
        <v>0.11506849315068493</v>
      </c>
    </row>
    <row r="386" spans="1:3" x14ac:dyDescent="0.25">
      <c r="A386" t="s">
        <v>112</v>
      </c>
      <c r="B386">
        <v>17</v>
      </c>
      <c r="C386">
        <v>0.12328767123287671</v>
      </c>
    </row>
    <row r="387" spans="1:3" x14ac:dyDescent="0.25">
      <c r="A387" t="s">
        <v>32</v>
      </c>
      <c r="B387">
        <v>11</v>
      </c>
      <c r="C387">
        <v>0.12602739726027398</v>
      </c>
    </row>
    <row r="388" spans="1:3" x14ac:dyDescent="0.25">
      <c r="A388" t="s">
        <v>123</v>
      </c>
      <c r="B388">
        <v>19</v>
      </c>
      <c r="C388">
        <v>5.7534246575342465E-2</v>
      </c>
    </row>
    <row r="389" spans="1:3" x14ac:dyDescent="0.25">
      <c r="A389" t="s">
        <v>30</v>
      </c>
      <c r="B389">
        <v>19</v>
      </c>
      <c r="C389">
        <v>0.12602739726027398</v>
      </c>
    </row>
    <row r="390" spans="1:3" x14ac:dyDescent="0.25">
      <c r="A390" t="s">
        <v>91</v>
      </c>
      <c r="B390">
        <v>17</v>
      </c>
      <c r="C390">
        <v>0.15890410958904111</v>
      </c>
    </row>
    <row r="391" spans="1:3" x14ac:dyDescent="0.25">
      <c r="A391" t="s">
        <v>117</v>
      </c>
      <c r="B391">
        <v>18</v>
      </c>
      <c r="C391">
        <v>0.11506849315068493</v>
      </c>
    </row>
    <row r="392" spans="1:3" x14ac:dyDescent="0.25">
      <c r="A392" t="s">
        <v>152</v>
      </c>
      <c r="B392">
        <v>19</v>
      </c>
      <c r="C392">
        <v>0.12328767123287671</v>
      </c>
    </row>
    <row r="393" spans="1:3" x14ac:dyDescent="0.25">
      <c r="A393" t="s">
        <v>153</v>
      </c>
      <c r="B393">
        <v>19</v>
      </c>
      <c r="C393">
        <v>8.7671232876712329E-2</v>
      </c>
    </row>
    <row r="394" spans="1:3" x14ac:dyDescent="0.25">
      <c r="A394" t="s">
        <v>119</v>
      </c>
      <c r="B394">
        <v>16</v>
      </c>
      <c r="C394">
        <v>6.3013698630136991E-2</v>
      </c>
    </row>
    <row r="395" spans="1:3" x14ac:dyDescent="0.25">
      <c r="A395" t="s">
        <v>91</v>
      </c>
      <c r="B395">
        <v>0</v>
      </c>
      <c r="C395">
        <v>6.3013698630136991E-2</v>
      </c>
    </row>
    <row r="396" spans="1:3" x14ac:dyDescent="0.25">
      <c r="A396" t="s">
        <v>23</v>
      </c>
      <c r="B396">
        <v>10</v>
      </c>
      <c r="C396">
        <v>0.12602739726027398</v>
      </c>
    </row>
    <row r="397" spans="1:3" x14ac:dyDescent="0.25">
      <c r="A397" t="s">
        <v>101</v>
      </c>
      <c r="B397">
        <v>2</v>
      </c>
      <c r="C397">
        <v>2.4657534246575342E-2</v>
      </c>
    </row>
    <row r="398" spans="1:3" x14ac:dyDescent="0.25">
      <c r="A398" t="s">
        <v>116</v>
      </c>
      <c r="B398">
        <v>7</v>
      </c>
      <c r="C398">
        <v>4.9315068493150684E-2</v>
      </c>
    </row>
    <row r="399" spans="1:3" x14ac:dyDescent="0.25">
      <c r="A399" t="s">
        <v>114</v>
      </c>
      <c r="B399">
        <v>0</v>
      </c>
      <c r="C399">
        <v>7.6712328767123292E-2</v>
      </c>
    </row>
    <row r="400" spans="1:3" x14ac:dyDescent="0.25">
      <c r="A400" t="s">
        <v>117</v>
      </c>
      <c r="B400">
        <v>0</v>
      </c>
      <c r="C400">
        <v>7.1232876712328766E-2</v>
      </c>
    </row>
    <row r="401" spans="1:3" x14ac:dyDescent="0.25">
      <c r="A401" t="s">
        <v>78</v>
      </c>
      <c r="B401">
        <v>0</v>
      </c>
      <c r="C401">
        <v>2.4657534246575342E-2</v>
      </c>
    </row>
    <row r="402" spans="1:3" x14ac:dyDescent="0.25">
      <c r="A402" t="s">
        <v>105</v>
      </c>
      <c r="B402">
        <v>0</v>
      </c>
      <c r="C402">
        <v>6.575342465753424E-2</v>
      </c>
    </row>
    <row r="403" spans="1:3" x14ac:dyDescent="0.25">
      <c r="A403" t="s">
        <v>146</v>
      </c>
      <c r="B403">
        <v>7</v>
      </c>
      <c r="C403">
        <v>2.4657534246575342E-2</v>
      </c>
    </row>
    <row r="404" spans="1:3" x14ac:dyDescent="0.25">
      <c r="A404" t="s">
        <v>145</v>
      </c>
      <c r="B404">
        <v>7</v>
      </c>
      <c r="C404">
        <v>2.1917808219178082E-2</v>
      </c>
    </row>
    <row r="405" spans="1:3" x14ac:dyDescent="0.25">
      <c r="A405" t="s">
        <v>95</v>
      </c>
      <c r="B405">
        <v>0</v>
      </c>
      <c r="C405">
        <v>6.8493150684931503E-2</v>
      </c>
    </row>
    <row r="406" spans="1:3" x14ac:dyDescent="0.25">
      <c r="A406" t="s">
        <v>73</v>
      </c>
      <c r="B406">
        <v>2</v>
      </c>
      <c r="C406">
        <v>7.6712328767123292E-2</v>
      </c>
    </row>
    <row r="407" spans="1:3" x14ac:dyDescent="0.25">
      <c r="A407" t="s">
        <v>152</v>
      </c>
      <c r="B407">
        <v>0</v>
      </c>
      <c r="C407">
        <v>6.8493150684931503E-2</v>
      </c>
    </row>
    <row r="408" spans="1:3" x14ac:dyDescent="0.25">
      <c r="A408" t="s">
        <v>67</v>
      </c>
      <c r="B408">
        <v>11</v>
      </c>
      <c r="C408">
        <v>0.12328767123287671</v>
      </c>
    </row>
    <row r="409" spans="1:3" x14ac:dyDescent="0.25">
      <c r="A409" t="s">
        <v>92</v>
      </c>
      <c r="B409">
        <v>14</v>
      </c>
      <c r="C409">
        <v>0.15068493150684931</v>
      </c>
    </row>
    <row r="410" spans="1:3" x14ac:dyDescent="0.25">
      <c r="A410" t="s">
        <v>78</v>
      </c>
      <c r="B410">
        <v>11</v>
      </c>
      <c r="C410">
        <v>6.0273972602739728E-2</v>
      </c>
    </row>
    <row r="411" spans="1:3" x14ac:dyDescent="0.25">
      <c r="A411" t="s">
        <v>154</v>
      </c>
      <c r="B411">
        <v>9</v>
      </c>
      <c r="C411">
        <v>4.9315068493150684E-2</v>
      </c>
    </row>
    <row r="412" spans="1:3" x14ac:dyDescent="0.25">
      <c r="A412" t="s">
        <v>117</v>
      </c>
      <c r="B412">
        <v>9</v>
      </c>
      <c r="C412">
        <v>0.14246575342465753</v>
      </c>
    </row>
    <row r="413" spans="1:3" x14ac:dyDescent="0.25">
      <c r="A413" t="s">
        <v>99</v>
      </c>
      <c r="B413">
        <v>14</v>
      </c>
      <c r="C413">
        <v>0.11780821917808219</v>
      </c>
    </row>
    <row r="414" spans="1:3" x14ac:dyDescent="0.25">
      <c r="A414" t="s">
        <v>109</v>
      </c>
      <c r="B414">
        <v>11</v>
      </c>
      <c r="C414">
        <v>0.17260273972602741</v>
      </c>
    </row>
    <row r="415" spans="1:3" x14ac:dyDescent="0.25">
      <c r="A415" t="s">
        <v>113</v>
      </c>
      <c r="B415">
        <v>8</v>
      </c>
      <c r="C415">
        <v>4.9315068493150684E-2</v>
      </c>
    </row>
    <row r="416" spans="1:3" x14ac:dyDescent="0.25">
      <c r="A416" t="s">
        <v>78</v>
      </c>
      <c r="B416">
        <v>12</v>
      </c>
      <c r="C416">
        <v>5.7534246575342465E-2</v>
      </c>
    </row>
    <row r="417" spans="1:3" x14ac:dyDescent="0.25">
      <c r="A417" t="s">
        <v>117</v>
      </c>
      <c r="B417">
        <v>8</v>
      </c>
      <c r="C417">
        <v>0.12876712328767123</v>
      </c>
    </row>
    <row r="418" spans="1:3" x14ac:dyDescent="0.25">
      <c r="A418" t="s">
        <v>125</v>
      </c>
      <c r="B418">
        <v>12</v>
      </c>
      <c r="C418">
        <v>0.13150684931506848</v>
      </c>
    </row>
    <row r="419" spans="1:3" x14ac:dyDescent="0.25">
      <c r="A419" t="s">
        <v>125</v>
      </c>
      <c r="B419">
        <v>14</v>
      </c>
      <c r="C419">
        <v>0.13150684931506848</v>
      </c>
    </row>
    <row r="420" spans="1:3" x14ac:dyDescent="0.25">
      <c r="A420" t="s">
        <v>107</v>
      </c>
      <c r="B420">
        <v>11</v>
      </c>
      <c r="C420">
        <v>0.12328767123287671</v>
      </c>
    </row>
    <row r="421" spans="1:3" x14ac:dyDescent="0.25">
      <c r="A421" t="s">
        <v>67</v>
      </c>
      <c r="B421">
        <v>8</v>
      </c>
      <c r="C421">
        <v>0.12328767123287671</v>
      </c>
    </row>
    <row r="422" spans="1:3" x14ac:dyDescent="0.25">
      <c r="A422" t="s">
        <v>121</v>
      </c>
      <c r="B422">
        <v>15</v>
      </c>
      <c r="C422">
        <v>0.11780821917808219</v>
      </c>
    </row>
    <row r="423" spans="1:3" x14ac:dyDescent="0.25">
      <c r="A423" t="s">
        <v>96</v>
      </c>
      <c r="B423">
        <v>11</v>
      </c>
      <c r="C423">
        <v>5.7534246575342465E-2</v>
      </c>
    </row>
    <row r="424" spans="1:3" x14ac:dyDescent="0.25">
      <c r="A424" t="s">
        <v>32</v>
      </c>
      <c r="B424">
        <v>13</v>
      </c>
      <c r="C424">
        <v>0.12602739726027398</v>
      </c>
    </row>
    <row r="425" spans="1:3" x14ac:dyDescent="0.25">
      <c r="A425" t="s">
        <v>28</v>
      </c>
      <c r="B425">
        <v>15</v>
      </c>
      <c r="C425">
        <v>0.12328767123287671</v>
      </c>
    </row>
    <row r="426" spans="1:3" x14ac:dyDescent="0.25">
      <c r="A426" t="s">
        <v>117</v>
      </c>
      <c r="B426">
        <v>12</v>
      </c>
      <c r="C426">
        <v>0.12602739726027398</v>
      </c>
    </row>
    <row r="427" spans="1:3" x14ac:dyDescent="0.25">
      <c r="A427" t="s">
        <v>117</v>
      </c>
      <c r="B427">
        <v>13</v>
      </c>
      <c r="C427">
        <v>0.12602739726027398</v>
      </c>
    </row>
    <row r="428" spans="1:3" x14ac:dyDescent="0.25">
      <c r="A428" t="s">
        <v>110</v>
      </c>
      <c r="B428">
        <v>8</v>
      </c>
      <c r="C428">
        <v>0.14520547945205478</v>
      </c>
    </row>
    <row r="429" spans="1:3" x14ac:dyDescent="0.25">
      <c r="A429" t="s">
        <v>125</v>
      </c>
      <c r="B429">
        <v>9</v>
      </c>
      <c r="C429">
        <v>0.13150684931506848</v>
      </c>
    </row>
    <row r="430" spans="1:3" x14ac:dyDescent="0.25">
      <c r="A430" t="s">
        <v>71</v>
      </c>
      <c r="B430">
        <v>8</v>
      </c>
      <c r="C430">
        <v>0.11780821917808219</v>
      </c>
    </row>
    <row r="431" spans="1:3" x14ac:dyDescent="0.25">
      <c r="A431" t="s">
        <v>138</v>
      </c>
      <c r="B431">
        <v>10</v>
      </c>
      <c r="C431">
        <v>7.3972602739726029E-2</v>
      </c>
    </row>
    <row r="432" spans="1:3" x14ac:dyDescent="0.25">
      <c r="A432" t="s">
        <v>107</v>
      </c>
      <c r="B432">
        <v>15</v>
      </c>
      <c r="C432">
        <v>0.12054794520547946</v>
      </c>
    </row>
    <row r="433" spans="1:3" x14ac:dyDescent="0.25">
      <c r="A433" t="s">
        <v>91</v>
      </c>
      <c r="B433">
        <v>13</v>
      </c>
      <c r="C433">
        <v>0.16712328767123288</v>
      </c>
    </row>
    <row r="434" spans="1:3" x14ac:dyDescent="0.25">
      <c r="A434" t="s">
        <v>104</v>
      </c>
      <c r="B434">
        <v>10</v>
      </c>
      <c r="C434">
        <v>0.12054794520547946</v>
      </c>
    </row>
    <row r="435" spans="1:3" x14ac:dyDescent="0.25">
      <c r="A435" t="s">
        <v>114</v>
      </c>
      <c r="B435">
        <v>13</v>
      </c>
      <c r="C435">
        <v>0.12602739726027398</v>
      </c>
    </row>
    <row r="436" spans="1:3" x14ac:dyDescent="0.25">
      <c r="A436" t="s">
        <v>73</v>
      </c>
      <c r="B436">
        <v>12</v>
      </c>
      <c r="C436">
        <v>0.12602739726027398</v>
      </c>
    </row>
    <row r="437" spans="1:3" x14ac:dyDescent="0.25">
      <c r="A437" t="s">
        <v>83</v>
      </c>
      <c r="B437">
        <v>8</v>
      </c>
      <c r="C437">
        <v>5.7534246575342465E-2</v>
      </c>
    </row>
    <row r="438" spans="1:3" x14ac:dyDescent="0.25">
      <c r="A438" t="s">
        <v>81</v>
      </c>
      <c r="B438">
        <v>12</v>
      </c>
      <c r="C438">
        <v>0.12602739726027398</v>
      </c>
    </row>
    <row r="439" spans="1:3" x14ac:dyDescent="0.25">
      <c r="A439" t="s">
        <v>105</v>
      </c>
      <c r="B439">
        <v>15</v>
      </c>
      <c r="C439">
        <v>0.16712328767123288</v>
      </c>
    </row>
    <row r="440" spans="1:3" x14ac:dyDescent="0.25">
      <c r="A440" t="s">
        <v>83</v>
      </c>
      <c r="B440">
        <v>12</v>
      </c>
      <c r="C440">
        <v>5.4794520547945202E-2</v>
      </c>
    </row>
    <row r="441" spans="1:3" x14ac:dyDescent="0.25">
      <c r="A441" t="s">
        <v>21</v>
      </c>
      <c r="B441">
        <v>20</v>
      </c>
      <c r="C441">
        <v>0.12328767123287671</v>
      </c>
    </row>
    <row r="442" spans="1:3" x14ac:dyDescent="0.25">
      <c r="A442" t="s">
        <v>108</v>
      </c>
      <c r="B442">
        <v>14</v>
      </c>
      <c r="C442">
        <v>7.1232876712328766E-2</v>
      </c>
    </row>
    <row r="443" spans="1:3" x14ac:dyDescent="0.25">
      <c r="A443" t="s">
        <v>34</v>
      </c>
      <c r="B443">
        <v>18</v>
      </c>
      <c r="C443">
        <v>0.12054794520547946</v>
      </c>
    </row>
    <row r="444" spans="1:3" x14ac:dyDescent="0.25">
      <c r="A444" t="s">
        <v>82</v>
      </c>
      <c r="B444">
        <v>9</v>
      </c>
      <c r="C444">
        <v>0.13972602739726028</v>
      </c>
    </row>
    <row r="445" spans="1:3" x14ac:dyDescent="0.25">
      <c r="A445" t="s">
        <v>65</v>
      </c>
      <c r="B445">
        <v>10</v>
      </c>
      <c r="C445">
        <v>0.11506849315068493</v>
      </c>
    </row>
    <row r="446" spans="1:3" x14ac:dyDescent="0.25">
      <c r="A446" t="s">
        <v>32</v>
      </c>
      <c r="B446">
        <v>8</v>
      </c>
      <c r="C446">
        <v>0.11780821917808219</v>
      </c>
    </row>
    <row r="447" spans="1:3" x14ac:dyDescent="0.25">
      <c r="A447" t="s">
        <v>87</v>
      </c>
      <c r="B447">
        <v>11</v>
      </c>
      <c r="C447">
        <v>5.4794520547945202E-2</v>
      </c>
    </row>
    <row r="448" spans="1:3" x14ac:dyDescent="0.25">
      <c r="A448" t="s">
        <v>115</v>
      </c>
      <c r="B448">
        <v>11</v>
      </c>
      <c r="C448">
        <v>0.11506849315068493</v>
      </c>
    </row>
    <row r="449" spans="1:3" x14ac:dyDescent="0.25">
      <c r="A449" t="s">
        <v>71</v>
      </c>
      <c r="B449">
        <v>9</v>
      </c>
      <c r="C449">
        <v>0.11232876712328767</v>
      </c>
    </row>
    <row r="450" spans="1:3" x14ac:dyDescent="0.25">
      <c r="A450" t="s">
        <v>30</v>
      </c>
      <c r="B450">
        <v>16</v>
      </c>
      <c r="C450">
        <v>0.11780821917808219</v>
      </c>
    </row>
    <row r="451" spans="1:3" x14ac:dyDescent="0.25">
      <c r="A451" t="s">
        <v>143</v>
      </c>
      <c r="B451">
        <v>15</v>
      </c>
      <c r="C451">
        <v>0.13972602739726028</v>
      </c>
    </row>
    <row r="452" spans="1:3" x14ac:dyDescent="0.25">
      <c r="A452" t="s">
        <v>155</v>
      </c>
      <c r="B452">
        <v>17</v>
      </c>
      <c r="C452">
        <v>0.12054794520547946</v>
      </c>
    </row>
    <row r="453" spans="1:3" x14ac:dyDescent="0.25">
      <c r="A453" t="s">
        <v>106</v>
      </c>
      <c r="B453">
        <v>19</v>
      </c>
      <c r="C453">
        <v>8.4931506849315067E-2</v>
      </c>
    </row>
    <row r="454" spans="1:3" x14ac:dyDescent="0.25">
      <c r="A454" t="s">
        <v>76</v>
      </c>
      <c r="B454">
        <v>16</v>
      </c>
      <c r="C454">
        <v>0.15616438356164383</v>
      </c>
    </row>
    <row r="455" spans="1:3" x14ac:dyDescent="0.25">
      <c r="A455" t="s">
        <v>120</v>
      </c>
      <c r="B455">
        <v>16</v>
      </c>
      <c r="C455">
        <v>0.15890410958904111</v>
      </c>
    </row>
    <row r="456" spans="1:3" x14ac:dyDescent="0.25">
      <c r="A456" t="s">
        <v>132</v>
      </c>
      <c r="B456">
        <v>16</v>
      </c>
      <c r="C456">
        <v>5.2054794520547946E-2</v>
      </c>
    </row>
    <row r="457" spans="1:3" x14ac:dyDescent="0.25">
      <c r="A457" t="s">
        <v>32</v>
      </c>
      <c r="B457">
        <v>10</v>
      </c>
      <c r="C457">
        <v>0.11780821917808219</v>
      </c>
    </row>
    <row r="458" spans="1:3" x14ac:dyDescent="0.25">
      <c r="A458" t="s">
        <v>112</v>
      </c>
      <c r="B458">
        <v>21</v>
      </c>
      <c r="C458">
        <v>0.11780821917808219</v>
      </c>
    </row>
    <row r="459" spans="1:3" x14ac:dyDescent="0.25">
      <c r="A459" t="s">
        <v>125</v>
      </c>
      <c r="B459">
        <v>16</v>
      </c>
      <c r="C459">
        <v>0.15068493150684931</v>
      </c>
    </row>
    <row r="460" spans="1:3" x14ac:dyDescent="0.25">
      <c r="A460" t="s">
        <v>156</v>
      </c>
      <c r="B460">
        <v>18</v>
      </c>
      <c r="C460">
        <v>0.11232876712328767</v>
      </c>
    </row>
    <row r="461" spans="1:3" x14ac:dyDescent="0.25">
      <c r="A461" t="s">
        <v>21</v>
      </c>
      <c r="B461">
        <v>13</v>
      </c>
      <c r="C461">
        <v>0.11780821917808219</v>
      </c>
    </row>
    <row r="462" spans="1:3" x14ac:dyDescent="0.25">
      <c r="A462" t="s">
        <v>144</v>
      </c>
      <c r="B462">
        <v>17</v>
      </c>
      <c r="C462">
        <v>0.10684931506849316</v>
      </c>
    </row>
    <row r="463" spans="1:3" x14ac:dyDescent="0.25">
      <c r="A463" t="s">
        <v>86</v>
      </c>
      <c r="B463">
        <v>18</v>
      </c>
      <c r="C463">
        <v>4.3835616438356165E-2</v>
      </c>
    </row>
    <row r="464" spans="1:3" x14ac:dyDescent="0.25">
      <c r="A464" t="s">
        <v>157</v>
      </c>
      <c r="B464">
        <v>18</v>
      </c>
      <c r="C464">
        <v>6.0273972602739728E-2</v>
      </c>
    </row>
    <row r="465" spans="1:3" x14ac:dyDescent="0.25">
      <c r="A465" t="s">
        <v>121</v>
      </c>
      <c r="B465">
        <v>18</v>
      </c>
      <c r="C465">
        <v>0.11232876712328767</v>
      </c>
    </row>
    <row r="466" spans="1:3" x14ac:dyDescent="0.25">
      <c r="A466" t="s">
        <v>91</v>
      </c>
      <c r="B466">
        <v>21</v>
      </c>
      <c r="C466">
        <v>0.12876712328767123</v>
      </c>
    </row>
    <row r="467" spans="1:3" x14ac:dyDescent="0.25">
      <c r="A467" t="s">
        <v>42</v>
      </c>
      <c r="B467">
        <v>17</v>
      </c>
      <c r="C467">
        <v>0.11780821917808219</v>
      </c>
    </row>
    <row r="468" spans="1:3" x14ac:dyDescent="0.25">
      <c r="A468" t="s">
        <v>121</v>
      </c>
      <c r="B468">
        <v>19</v>
      </c>
      <c r="C468">
        <v>0.11780821917808219</v>
      </c>
    </row>
    <row r="469" spans="1:3" x14ac:dyDescent="0.25">
      <c r="A469" t="s">
        <v>141</v>
      </c>
      <c r="B469">
        <v>16</v>
      </c>
      <c r="C469">
        <v>6.3013698630136991E-2</v>
      </c>
    </row>
    <row r="470" spans="1:3" x14ac:dyDescent="0.25">
      <c r="A470" t="s">
        <v>158</v>
      </c>
      <c r="B470">
        <v>18</v>
      </c>
      <c r="C470">
        <v>6.0273972602739728E-2</v>
      </c>
    </row>
    <row r="471" spans="1:3" x14ac:dyDescent="0.25">
      <c r="A471" t="s">
        <v>156</v>
      </c>
      <c r="B471">
        <v>16</v>
      </c>
      <c r="C471">
        <v>0.1095890410958904</v>
      </c>
    </row>
    <row r="472" spans="1:3" x14ac:dyDescent="0.25">
      <c r="A472" t="s">
        <v>104</v>
      </c>
      <c r="B472">
        <v>20</v>
      </c>
      <c r="C472">
        <v>5.4794520547945202E-2</v>
      </c>
    </row>
    <row r="473" spans="1:3" x14ac:dyDescent="0.25">
      <c r="A473" t="s">
        <v>117</v>
      </c>
      <c r="B473">
        <v>21</v>
      </c>
      <c r="C473">
        <v>0.1095890410958904</v>
      </c>
    </row>
    <row r="474" spans="1:3" x14ac:dyDescent="0.25">
      <c r="A474" t="s">
        <v>30</v>
      </c>
      <c r="B474">
        <v>10</v>
      </c>
      <c r="C474">
        <v>0.11506849315068493</v>
      </c>
    </row>
    <row r="475" spans="1:3" x14ac:dyDescent="0.25">
      <c r="A475" t="s">
        <v>159</v>
      </c>
      <c r="B475">
        <v>16</v>
      </c>
      <c r="C475">
        <v>4.3835616438356165E-2</v>
      </c>
    </row>
    <row r="476" spans="1:3" x14ac:dyDescent="0.25">
      <c r="A476" t="s">
        <v>92</v>
      </c>
      <c r="B476">
        <v>20</v>
      </c>
      <c r="C476">
        <v>0.10410958904109589</v>
      </c>
    </row>
    <row r="477" spans="1:3" x14ac:dyDescent="0.25">
      <c r="A477" t="s">
        <v>81</v>
      </c>
      <c r="B477">
        <v>17</v>
      </c>
      <c r="C477">
        <v>0.13972602739726028</v>
      </c>
    </row>
    <row r="478" spans="1:3" x14ac:dyDescent="0.25">
      <c r="A478" t="s">
        <v>131</v>
      </c>
      <c r="B478">
        <v>19</v>
      </c>
      <c r="C478">
        <v>6.575342465753424E-2</v>
      </c>
    </row>
    <row r="479" spans="1:3" x14ac:dyDescent="0.25">
      <c r="A479" t="s">
        <v>96</v>
      </c>
      <c r="B479">
        <v>20</v>
      </c>
      <c r="C479">
        <v>4.9315068493150684E-2</v>
      </c>
    </row>
    <row r="480" spans="1:3" x14ac:dyDescent="0.25">
      <c r="A480" t="s">
        <v>109</v>
      </c>
      <c r="B480">
        <v>18</v>
      </c>
      <c r="C480">
        <v>0.12054794520547946</v>
      </c>
    </row>
    <row r="481" spans="1:3" x14ac:dyDescent="0.25">
      <c r="A481" t="s">
        <v>75</v>
      </c>
      <c r="B481">
        <v>18</v>
      </c>
      <c r="C481">
        <v>0.13150684931506848</v>
      </c>
    </row>
    <row r="482" spans="1:3" x14ac:dyDescent="0.25">
      <c r="A482" t="s">
        <v>125</v>
      </c>
      <c r="B482">
        <v>19</v>
      </c>
      <c r="C482">
        <v>0.13424657534246576</v>
      </c>
    </row>
    <row r="483" spans="1:3" x14ac:dyDescent="0.25">
      <c r="A483" t="s">
        <v>128</v>
      </c>
      <c r="B483">
        <v>17</v>
      </c>
      <c r="C483">
        <v>4.3835616438356165E-2</v>
      </c>
    </row>
    <row r="484" spans="1:3" x14ac:dyDescent="0.25">
      <c r="A484" t="s">
        <v>129</v>
      </c>
      <c r="B484">
        <v>18</v>
      </c>
      <c r="C484">
        <v>0.10410958904109589</v>
      </c>
    </row>
    <row r="485" spans="1:3" x14ac:dyDescent="0.25">
      <c r="A485" t="s">
        <v>140</v>
      </c>
      <c r="B485">
        <v>18</v>
      </c>
      <c r="C485">
        <v>4.1095890410958902E-2</v>
      </c>
    </row>
    <row r="486" spans="1:3" x14ac:dyDescent="0.25">
      <c r="A486" t="s">
        <v>114</v>
      </c>
      <c r="B486">
        <v>21</v>
      </c>
      <c r="C486">
        <v>0.10684931506849316</v>
      </c>
    </row>
    <row r="487" spans="1:3" x14ac:dyDescent="0.25">
      <c r="A487" t="s">
        <v>124</v>
      </c>
      <c r="B487">
        <v>19</v>
      </c>
      <c r="C487">
        <v>4.1095890410958902E-2</v>
      </c>
    </row>
    <row r="488" spans="1:3" x14ac:dyDescent="0.25">
      <c r="A488" t="s">
        <v>73</v>
      </c>
      <c r="B488">
        <v>19</v>
      </c>
      <c r="C488">
        <v>0.13424657534246576</v>
      </c>
    </row>
    <row r="489" spans="1:3" x14ac:dyDescent="0.25">
      <c r="A489" t="s">
        <v>143</v>
      </c>
      <c r="B489">
        <v>20</v>
      </c>
      <c r="C489">
        <v>0.10136986301369863</v>
      </c>
    </row>
    <row r="490" spans="1:3" x14ac:dyDescent="0.25">
      <c r="A490" t="s">
        <v>160</v>
      </c>
      <c r="B490">
        <v>16</v>
      </c>
      <c r="C490">
        <v>0.10684931506849316</v>
      </c>
    </row>
    <row r="491" spans="1:3" x14ac:dyDescent="0.25">
      <c r="A491" t="s">
        <v>161</v>
      </c>
      <c r="B491">
        <v>17</v>
      </c>
      <c r="C491">
        <v>6.0273972602739728E-2</v>
      </c>
    </row>
    <row r="492" spans="1:3" x14ac:dyDescent="0.25">
      <c r="A492" t="s">
        <v>96</v>
      </c>
      <c r="B492">
        <v>19</v>
      </c>
      <c r="C492">
        <v>4.6575342465753428E-2</v>
      </c>
    </row>
    <row r="493" spans="1:3" x14ac:dyDescent="0.25">
      <c r="A493" t="s">
        <v>42</v>
      </c>
      <c r="B493">
        <v>19</v>
      </c>
      <c r="C493">
        <v>0.11506849315068493</v>
      </c>
    </row>
    <row r="494" spans="1:3" x14ac:dyDescent="0.25">
      <c r="A494" t="s">
        <v>149</v>
      </c>
      <c r="B494">
        <v>16</v>
      </c>
      <c r="C494">
        <v>0.12054794520547946</v>
      </c>
    </row>
    <row r="495" spans="1:3" x14ac:dyDescent="0.25">
      <c r="A495" t="s">
        <v>32</v>
      </c>
      <c r="B495">
        <v>20</v>
      </c>
      <c r="C495">
        <v>0.11506849315068493</v>
      </c>
    </row>
    <row r="496" spans="1:3" x14ac:dyDescent="0.25">
      <c r="A496" t="s">
        <v>81</v>
      </c>
      <c r="B496">
        <v>0</v>
      </c>
      <c r="C496">
        <v>6.8493150684931503E-2</v>
      </c>
    </row>
    <row r="497" spans="1:3" x14ac:dyDescent="0.25">
      <c r="A497" t="s">
        <v>152</v>
      </c>
      <c r="B497">
        <v>7</v>
      </c>
      <c r="C497">
        <v>6.0273972602739728E-2</v>
      </c>
    </row>
    <row r="498" spans="1:3" x14ac:dyDescent="0.25">
      <c r="A498" t="s">
        <v>162</v>
      </c>
      <c r="B498">
        <v>7</v>
      </c>
      <c r="C498">
        <v>2.1917808219178082E-2</v>
      </c>
    </row>
    <row r="499" spans="1:3" x14ac:dyDescent="0.25">
      <c r="A499" t="s">
        <v>120</v>
      </c>
      <c r="B499">
        <v>0</v>
      </c>
      <c r="C499">
        <v>5.4794520547945202E-2</v>
      </c>
    </row>
    <row r="500" spans="1:3" x14ac:dyDescent="0.25">
      <c r="A500" t="s">
        <v>82</v>
      </c>
      <c r="B500">
        <v>0</v>
      </c>
      <c r="C500">
        <v>6.0273972602739728E-2</v>
      </c>
    </row>
    <row r="501" spans="1:3" x14ac:dyDescent="0.25">
      <c r="A501" t="s">
        <v>112</v>
      </c>
      <c r="B501">
        <v>0</v>
      </c>
      <c r="C501">
        <v>6.0273972602739728E-2</v>
      </c>
    </row>
    <row r="502" spans="1:3" x14ac:dyDescent="0.25">
      <c r="A502" t="s">
        <v>32</v>
      </c>
      <c r="B502">
        <v>17</v>
      </c>
      <c r="C502">
        <v>0.11506849315068493</v>
      </c>
    </row>
    <row r="503" spans="1:3" x14ac:dyDescent="0.25">
      <c r="A503" t="s">
        <v>140</v>
      </c>
      <c r="B503">
        <v>7</v>
      </c>
      <c r="C503">
        <v>3.0136986301369864E-2</v>
      </c>
    </row>
    <row r="504" spans="1:3" x14ac:dyDescent="0.25">
      <c r="A504" t="s">
        <v>65</v>
      </c>
      <c r="B504">
        <v>0</v>
      </c>
      <c r="C504">
        <v>4.6575342465753428E-2</v>
      </c>
    </row>
    <row r="505" spans="1:3" x14ac:dyDescent="0.25">
      <c r="A505" t="s">
        <v>134</v>
      </c>
      <c r="B505">
        <v>7</v>
      </c>
      <c r="C505">
        <v>7.1232876712328766E-2</v>
      </c>
    </row>
    <row r="506" spans="1:3" x14ac:dyDescent="0.25">
      <c r="A506" t="s">
        <v>65</v>
      </c>
      <c r="B506">
        <v>1</v>
      </c>
      <c r="C506">
        <v>4.3835616438356165E-2</v>
      </c>
    </row>
    <row r="507" spans="1:3" x14ac:dyDescent="0.25">
      <c r="A507" t="s">
        <v>121</v>
      </c>
      <c r="B507">
        <v>9</v>
      </c>
      <c r="C507">
        <v>0.1095890410958904</v>
      </c>
    </row>
    <row r="508" spans="1:3" x14ac:dyDescent="0.25">
      <c r="A508" t="s">
        <v>163</v>
      </c>
      <c r="B508">
        <v>10</v>
      </c>
      <c r="C508">
        <v>0.1095890410958904</v>
      </c>
    </row>
    <row r="509" spans="1:3" x14ac:dyDescent="0.25">
      <c r="A509" t="s">
        <v>70</v>
      </c>
      <c r="B509">
        <v>15</v>
      </c>
      <c r="C509">
        <v>4.6575342465753428E-2</v>
      </c>
    </row>
    <row r="510" spans="1:3" x14ac:dyDescent="0.25">
      <c r="A510" t="s">
        <v>94</v>
      </c>
      <c r="B510">
        <v>15</v>
      </c>
      <c r="C510">
        <v>0.13424657534246576</v>
      </c>
    </row>
    <row r="511" spans="1:3" x14ac:dyDescent="0.25">
      <c r="A511" t="s">
        <v>114</v>
      </c>
      <c r="B511">
        <v>14</v>
      </c>
      <c r="C511">
        <v>0.12328767123287671</v>
      </c>
    </row>
    <row r="512" spans="1:3" x14ac:dyDescent="0.25">
      <c r="A512" t="s">
        <v>94</v>
      </c>
      <c r="B512">
        <v>11</v>
      </c>
      <c r="C512">
        <v>0.13424657534246576</v>
      </c>
    </row>
    <row r="513" spans="1:3" x14ac:dyDescent="0.25">
      <c r="A513" t="s">
        <v>121</v>
      </c>
      <c r="B513">
        <v>8</v>
      </c>
      <c r="C513">
        <v>0.1095890410958904</v>
      </c>
    </row>
    <row r="514" spans="1:3" x14ac:dyDescent="0.25">
      <c r="A514" t="s">
        <v>71</v>
      </c>
      <c r="B514">
        <v>13</v>
      </c>
      <c r="C514">
        <v>0.10684931506849316</v>
      </c>
    </row>
    <row r="515" spans="1:3" x14ac:dyDescent="0.25">
      <c r="A515" t="s">
        <v>107</v>
      </c>
      <c r="B515">
        <v>13</v>
      </c>
      <c r="C515">
        <v>0.11780821917808219</v>
      </c>
    </row>
    <row r="516" spans="1:3" x14ac:dyDescent="0.25">
      <c r="A516" t="s">
        <v>76</v>
      </c>
      <c r="B516">
        <v>9</v>
      </c>
      <c r="C516">
        <v>0.10136986301369863</v>
      </c>
    </row>
    <row r="517" spans="1:3" x14ac:dyDescent="0.25">
      <c r="A517" t="s">
        <v>129</v>
      </c>
      <c r="B517">
        <v>13</v>
      </c>
      <c r="C517">
        <v>0.11506849315068493</v>
      </c>
    </row>
    <row r="518" spans="1:3" x14ac:dyDescent="0.25">
      <c r="A518" t="s">
        <v>89</v>
      </c>
      <c r="B518">
        <v>13</v>
      </c>
      <c r="C518">
        <v>0.12328767123287671</v>
      </c>
    </row>
    <row r="519" spans="1:3" x14ac:dyDescent="0.25">
      <c r="A519" t="s">
        <v>130</v>
      </c>
      <c r="B519">
        <v>11</v>
      </c>
      <c r="C519">
        <v>0.15342465753424658</v>
      </c>
    </row>
    <row r="520" spans="1:3" x14ac:dyDescent="0.25">
      <c r="A520" t="s">
        <v>110</v>
      </c>
      <c r="B520">
        <v>11</v>
      </c>
      <c r="C520">
        <v>0.13150684931506848</v>
      </c>
    </row>
    <row r="521" spans="1:3" x14ac:dyDescent="0.25">
      <c r="A521" t="s">
        <v>131</v>
      </c>
      <c r="B521">
        <v>11</v>
      </c>
      <c r="C521">
        <v>8.7671232876712329E-2</v>
      </c>
    </row>
    <row r="522" spans="1:3" x14ac:dyDescent="0.25">
      <c r="A522" t="s">
        <v>101</v>
      </c>
      <c r="B522">
        <v>13</v>
      </c>
      <c r="C522">
        <v>5.2054794520547946E-2</v>
      </c>
    </row>
    <row r="523" spans="1:3" x14ac:dyDescent="0.25">
      <c r="A523" t="s">
        <v>114</v>
      </c>
      <c r="B523">
        <v>9</v>
      </c>
      <c r="C523">
        <v>0.12054794520547946</v>
      </c>
    </row>
    <row r="524" spans="1:3" x14ac:dyDescent="0.25">
      <c r="A524" t="s">
        <v>153</v>
      </c>
      <c r="B524">
        <v>15</v>
      </c>
      <c r="C524">
        <v>9.0410958904109592E-2</v>
      </c>
    </row>
    <row r="525" spans="1:3" x14ac:dyDescent="0.25">
      <c r="A525" t="s">
        <v>129</v>
      </c>
      <c r="B525">
        <v>9</v>
      </c>
      <c r="C525">
        <v>0.11506849315068493</v>
      </c>
    </row>
    <row r="526" spans="1:3" x14ac:dyDescent="0.25">
      <c r="A526" t="s">
        <v>106</v>
      </c>
      <c r="B526">
        <v>14</v>
      </c>
      <c r="C526">
        <v>7.9452054794520555E-2</v>
      </c>
    </row>
    <row r="527" spans="1:3" x14ac:dyDescent="0.25">
      <c r="A527" t="s">
        <v>110</v>
      </c>
      <c r="B527">
        <v>14</v>
      </c>
      <c r="C527">
        <v>0.12328767123287671</v>
      </c>
    </row>
    <row r="528" spans="1:3" x14ac:dyDescent="0.25">
      <c r="A528" t="s">
        <v>101</v>
      </c>
      <c r="B528">
        <v>8</v>
      </c>
      <c r="C528">
        <v>5.2054794520547946E-2</v>
      </c>
    </row>
    <row r="529" spans="1:3" x14ac:dyDescent="0.25">
      <c r="A529" t="s">
        <v>21</v>
      </c>
      <c r="B529">
        <v>11</v>
      </c>
      <c r="C529">
        <v>0.11232876712328767</v>
      </c>
    </row>
    <row r="530" spans="1:3" x14ac:dyDescent="0.25">
      <c r="A530" t="s">
        <v>79</v>
      </c>
      <c r="B530">
        <v>15</v>
      </c>
      <c r="C530">
        <v>6.8493150684931503E-2</v>
      </c>
    </row>
    <row r="531" spans="1:3" x14ac:dyDescent="0.25">
      <c r="A531" t="s">
        <v>112</v>
      </c>
      <c r="B531">
        <v>10</v>
      </c>
      <c r="C531">
        <v>0.11780821917808219</v>
      </c>
    </row>
    <row r="532" spans="1:3" x14ac:dyDescent="0.25">
      <c r="A532" t="s">
        <v>105</v>
      </c>
      <c r="B532">
        <v>12</v>
      </c>
      <c r="C532">
        <v>0.13972602739726028</v>
      </c>
    </row>
    <row r="533" spans="1:3" x14ac:dyDescent="0.25">
      <c r="A533" t="s">
        <v>30</v>
      </c>
      <c r="B533">
        <v>11</v>
      </c>
      <c r="C533">
        <v>0.11232876712328767</v>
      </c>
    </row>
    <row r="534" spans="1:3" x14ac:dyDescent="0.25">
      <c r="A534" t="s">
        <v>117</v>
      </c>
      <c r="B534">
        <v>10</v>
      </c>
      <c r="C534">
        <v>0.11780821917808219</v>
      </c>
    </row>
    <row r="535" spans="1:3" x14ac:dyDescent="0.25">
      <c r="A535" t="s">
        <v>99</v>
      </c>
      <c r="B535">
        <v>8</v>
      </c>
      <c r="C535">
        <v>0.10410958904109589</v>
      </c>
    </row>
    <row r="536" spans="1:3" x14ac:dyDescent="0.25">
      <c r="A536" t="s">
        <v>114</v>
      </c>
      <c r="B536">
        <v>11</v>
      </c>
      <c r="C536">
        <v>0.11506849315068493</v>
      </c>
    </row>
    <row r="537" spans="1:3" x14ac:dyDescent="0.25">
      <c r="A537" t="s">
        <v>96</v>
      </c>
      <c r="B537">
        <v>9</v>
      </c>
      <c r="C537">
        <v>5.2054794520547946E-2</v>
      </c>
    </row>
    <row r="538" spans="1:3" x14ac:dyDescent="0.25">
      <c r="A538" t="s">
        <v>130</v>
      </c>
      <c r="B538">
        <v>12</v>
      </c>
      <c r="C538">
        <v>0.12602739726027398</v>
      </c>
    </row>
    <row r="539" spans="1:3" x14ac:dyDescent="0.25">
      <c r="A539" t="s">
        <v>84</v>
      </c>
      <c r="B539">
        <v>10</v>
      </c>
      <c r="C539">
        <v>6.575342465753424E-2</v>
      </c>
    </row>
    <row r="540" spans="1:3" x14ac:dyDescent="0.25">
      <c r="A540" t="s">
        <v>131</v>
      </c>
      <c r="B540">
        <v>15</v>
      </c>
      <c r="C540">
        <v>3.8356164383561646E-2</v>
      </c>
    </row>
    <row r="541" spans="1:3" x14ac:dyDescent="0.25">
      <c r="A541" t="s">
        <v>121</v>
      </c>
      <c r="B541">
        <v>10</v>
      </c>
      <c r="C541">
        <v>0.10410958904109589</v>
      </c>
    </row>
    <row r="542" spans="1:3" x14ac:dyDescent="0.25">
      <c r="A542" t="s">
        <v>70</v>
      </c>
      <c r="B542">
        <v>8</v>
      </c>
      <c r="C542">
        <v>4.6575342465753428E-2</v>
      </c>
    </row>
    <row r="543" spans="1:3" x14ac:dyDescent="0.25">
      <c r="A543" t="s">
        <v>30</v>
      </c>
      <c r="B543">
        <v>15</v>
      </c>
      <c r="C543">
        <v>0.1095890410958904</v>
      </c>
    </row>
    <row r="544" spans="1:3" x14ac:dyDescent="0.25">
      <c r="A544" t="s">
        <v>137</v>
      </c>
      <c r="B544">
        <v>10</v>
      </c>
      <c r="C544">
        <v>0.1095890410958904</v>
      </c>
    </row>
    <row r="545" spans="1:3" x14ac:dyDescent="0.25">
      <c r="A545" t="s">
        <v>42</v>
      </c>
      <c r="B545">
        <v>14</v>
      </c>
      <c r="C545">
        <v>0.10684931506849316</v>
      </c>
    </row>
    <row r="546" spans="1:3" x14ac:dyDescent="0.25">
      <c r="A546" t="s">
        <v>128</v>
      </c>
      <c r="B546">
        <v>13</v>
      </c>
      <c r="C546">
        <v>4.3835616438356165E-2</v>
      </c>
    </row>
    <row r="547" spans="1:3" x14ac:dyDescent="0.25">
      <c r="A547" t="s">
        <v>28</v>
      </c>
      <c r="B547">
        <v>8</v>
      </c>
      <c r="C547">
        <v>0.10410958904109589</v>
      </c>
    </row>
    <row r="548" spans="1:3" x14ac:dyDescent="0.25">
      <c r="A548" t="s">
        <v>79</v>
      </c>
      <c r="B548">
        <v>20</v>
      </c>
      <c r="C548">
        <v>6.0273972602739728E-2</v>
      </c>
    </row>
    <row r="549" spans="1:3" x14ac:dyDescent="0.25">
      <c r="A549" t="s">
        <v>159</v>
      </c>
      <c r="B549">
        <v>18</v>
      </c>
      <c r="C549">
        <v>3.8356164383561646E-2</v>
      </c>
    </row>
    <row r="550" spans="1:3" x14ac:dyDescent="0.25">
      <c r="A550" t="s">
        <v>163</v>
      </c>
      <c r="B550">
        <v>18</v>
      </c>
      <c r="C550">
        <v>0.12054794520547946</v>
      </c>
    </row>
    <row r="551" spans="1:3" x14ac:dyDescent="0.25">
      <c r="A551" t="s">
        <v>164</v>
      </c>
      <c r="B551">
        <v>17</v>
      </c>
      <c r="C551">
        <v>0.11232876712328767</v>
      </c>
    </row>
    <row r="552" spans="1:3" x14ac:dyDescent="0.25">
      <c r="A552" t="s">
        <v>45</v>
      </c>
      <c r="B552">
        <v>18</v>
      </c>
      <c r="C552">
        <v>5.4794520547945202E-2</v>
      </c>
    </row>
    <row r="553" spans="1:3" x14ac:dyDescent="0.25">
      <c r="A553" t="s">
        <v>68</v>
      </c>
      <c r="B553">
        <v>16</v>
      </c>
      <c r="C553">
        <v>0.1095890410958904</v>
      </c>
    </row>
    <row r="554" spans="1:3" x14ac:dyDescent="0.25">
      <c r="A554" t="s">
        <v>119</v>
      </c>
      <c r="B554">
        <v>18</v>
      </c>
      <c r="C554">
        <v>5.7534246575342465E-2</v>
      </c>
    </row>
    <row r="555" spans="1:3" x14ac:dyDescent="0.25">
      <c r="A555" t="s">
        <v>121</v>
      </c>
      <c r="B555">
        <v>17</v>
      </c>
      <c r="C555">
        <v>0.10684931506849316</v>
      </c>
    </row>
    <row r="556" spans="1:3" x14ac:dyDescent="0.25">
      <c r="A556" t="s">
        <v>68</v>
      </c>
      <c r="B556">
        <v>17</v>
      </c>
      <c r="C556">
        <v>6.0273972602739728E-2</v>
      </c>
    </row>
    <row r="557" spans="1:3" x14ac:dyDescent="0.25">
      <c r="A557" t="s">
        <v>109</v>
      </c>
      <c r="B557">
        <v>20</v>
      </c>
      <c r="C557">
        <v>0.1095890410958904</v>
      </c>
    </row>
    <row r="558" spans="1:3" x14ac:dyDescent="0.25">
      <c r="A558" t="s">
        <v>23</v>
      </c>
      <c r="B558">
        <v>20</v>
      </c>
      <c r="C558">
        <v>0.10410958904109589</v>
      </c>
    </row>
    <row r="559" spans="1:3" x14ac:dyDescent="0.25">
      <c r="A559" t="s">
        <v>82</v>
      </c>
      <c r="B559">
        <v>21</v>
      </c>
      <c r="C559">
        <v>0.10136986301369863</v>
      </c>
    </row>
    <row r="560" spans="1:3" x14ac:dyDescent="0.25">
      <c r="A560" t="s">
        <v>87</v>
      </c>
      <c r="B560">
        <v>19</v>
      </c>
      <c r="C560">
        <v>5.7534246575342465E-2</v>
      </c>
    </row>
    <row r="561" spans="1:3" x14ac:dyDescent="0.25">
      <c r="A561" t="s">
        <v>165</v>
      </c>
      <c r="B561">
        <v>18</v>
      </c>
      <c r="C561">
        <v>3.287671232876712E-2</v>
      </c>
    </row>
    <row r="562" spans="1:3" x14ac:dyDescent="0.25">
      <c r="A562" t="s">
        <v>30</v>
      </c>
      <c r="B562">
        <v>13</v>
      </c>
      <c r="C562">
        <v>0.10410958904109589</v>
      </c>
    </row>
    <row r="563" spans="1:3" x14ac:dyDescent="0.25">
      <c r="A563" t="s">
        <v>30</v>
      </c>
      <c r="B563">
        <v>17</v>
      </c>
      <c r="C563">
        <v>0.10410958904109589</v>
      </c>
    </row>
    <row r="564" spans="1:3" x14ac:dyDescent="0.25">
      <c r="A564" t="s">
        <v>82</v>
      </c>
      <c r="B564">
        <v>22</v>
      </c>
      <c r="C564">
        <v>0.10136986301369863</v>
      </c>
    </row>
    <row r="565" spans="1:3" x14ac:dyDescent="0.25">
      <c r="A565" t="s">
        <v>101</v>
      </c>
      <c r="B565">
        <v>17</v>
      </c>
      <c r="C565">
        <v>5.7534246575342465E-2</v>
      </c>
    </row>
    <row r="566" spans="1:3" x14ac:dyDescent="0.25">
      <c r="A566" t="s">
        <v>122</v>
      </c>
      <c r="B566">
        <v>16</v>
      </c>
      <c r="C566">
        <v>0.10410958904109589</v>
      </c>
    </row>
    <row r="567" spans="1:3" x14ac:dyDescent="0.25">
      <c r="A567" t="s">
        <v>99</v>
      </c>
      <c r="B567">
        <v>19</v>
      </c>
      <c r="C567">
        <v>0.15890410958904111</v>
      </c>
    </row>
    <row r="568" spans="1:3" x14ac:dyDescent="0.25">
      <c r="A568" t="s">
        <v>153</v>
      </c>
      <c r="B568">
        <v>17</v>
      </c>
      <c r="C568">
        <v>8.2191780821917804E-2</v>
      </c>
    </row>
    <row r="569" spans="1:3" x14ac:dyDescent="0.25">
      <c r="A569" t="s">
        <v>120</v>
      </c>
      <c r="B569">
        <v>19</v>
      </c>
      <c r="C569">
        <v>0.10136986301369863</v>
      </c>
    </row>
    <row r="570" spans="1:3" x14ac:dyDescent="0.25">
      <c r="A570" t="s">
        <v>152</v>
      </c>
      <c r="B570">
        <v>18</v>
      </c>
      <c r="C570">
        <v>9.8630136986301367E-2</v>
      </c>
    </row>
    <row r="571" spans="1:3" x14ac:dyDescent="0.25">
      <c r="A571" t="s">
        <v>105</v>
      </c>
      <c r="B571">
        <v>20</v>
      </c>
      <c r="C571">
        <v>0.13150684931506848</v>
      </c>
    </row>
    <row r="572" spans="1:3" x14ac:dyDescent="0.25">
      <c r="A572" t="s">
        <v>93</v>
      </c>
      <c r="B572">
        <v>19</v>
      </c>
      <c r="C572">
        <v>0.10410958904109589</v>
      </c>
    </row>
    <row r="573" spans="1:3" x14ac:dyDescent="0.25">
      <c r="A573" t="s">
        <v>166</v>
      </c>
      <c r="B573">
        <v>18</v>
      </c>
      <c r="C573">
        <v>7.6712328767123292E-2</v>
      </c>
    </row>
    <row r="574" spans="1:3" x14ac:dyDescent="0.25">
      <c r="A574" t="s">
        <v>132</v>
      </c>
      <c r="B574">
        <v>18</v>
      </c>
      <c r="C574">
        <v>3.8356164383561646E-2</v>
      </c>
    </row>
    <row r="575" spans="1:3" x14ac:dyDescent="0.25">
      <c r="A575" t="s">
        <v>120</v>
      </c>
      <c r="B575">
        <v>21</v>
      </c>
      <c r="C575">
        <v>9.8630136986301367E-2</v>
      </c>
    </row>
    <row r="576" spans="1:3" x14ac:dyDescent="0.25">
      <c r="A576" t="s">
        <v>167</v>
      </c>
      <c r="B576">
        <v>19</v>
      </c>
      <c r="C576">
        <v>5.2054794520547946E-2</v>
      </c>
    </row>
    <row r="577" spans="1:3" x14ac:dyDescent="0.25">
      <c r="A577" t="s">
        <v>67</v>
      </c>
      <c r="B577">
        <v>20</v>
      </c>
      <c r="C577">
        <v>0.10410958904109589</v>
      </c>
    </row>
    <row r="578" spans="1:3" x14ac:dyDescent="0.25">
      <c r="A578" t="s">
        <v>34</v>
      </c>
      <c r="B578">
        <v>17</v>
      </c>
      <c r="C578">
        <v>0.10136986301369863</v>
      </c>
    </row>
    <row r="579" spans="1:3" x14ac:dyDescent="0.25">
      <c r="A579" t="s">
        <v>129</v>
      </c>
      <c r="B579">
        <v>17</v>
      </c>
      <c r="C579">
        <v>0.10136986301369863</v>
      </c>
    </row>
    <row r="580" spans="1:3" x14ac:dyDescent="0.25">
      <c r="A580" t="s">
        <v>125</v>
      </c>
      <c r="B580">
        <v>20</v>
      </c>
      <c r="C580">
        <v>0.11780821917808219</v>
      </c>
    </row>
    <row r="581" spans="1:3" x14ac:dyDescent="0.25">
      <c r="A581" t="s">
        <v>158</v>
      </c>
      <c r="B581">
        <v>19</v>
      </c>
      <c r="C581">
        <v>4.9315068493150684E-2</v>
      </c>
    </row>
    <row r="582" spans="1:3" x14ac:dyDescent="0.25">
      <c r="A582" t="s">
        <v>151</v>
      </c>
      <c r="B582">
        <v>18</v>
      </c>
      <c r="C582">
        <v>0.10136986301369863</v>
      </c>
    </row>
    <row r="583" spans="1:3" x14ac:dyDescent="0.25">
      <c r="A583" t="s">
        <v>168</v>
      </c>
      <c r="B583">
        <v>7</v>
      </c>
      <c r="C583">
        <v>5.4794520547945202E-2</v>
      </c>
    </row>
    <row r="584" spans="1:3" x14ac:dyDescent="0.25">
      <c r="A584" t="s">
        <v>34</v>
      </c>
      <c r="B584">
        <v>16</v>
      </c>
      <c r="C584">
        <v>0.10136986301369863</v>
      </c>
    </row>
    <row r="585" spans="1:3" x14ac:dyDescent="0.25">
      <c r="A585" t="s">
        <v>169</v>
      </c>
      <c r="B585">
        <v>0</v>
      </c>
      <c r="C585">
        <v>2.7397260273972603E-3</v>
      </c>
    </row>
    <row r="586" spans="1:3" x14ac:dyDescent="0.25">
      <c r="A586" t="s">
        <v>99</v>
      </c>
      <c r="B586">
        <v>0</v>
      </c>
      <c r="C586">
        <v>3.8356164383561646E-2</v>
      </c>
    </row>
    <row r="587" spans="1:3" x14ac:dyDescent="0.25">
      <c r="A587" t="s">
        <v>32</v>
      </c>
      <c r="B587">
        <v>7</v>
      </c>
      <c r="C587">
        <v>9.8630136986301367E-2</v>
      </c>
    </row>
    <row r="588" spans="1:3" x14ac:dyDescent="0.25">
      <c r="A588" t="s">
        <v>100</v>
      </c>
      <c r="B588">
        <v>7</v>
      </c>
      <c r="C588">
        <v>3.0136986301369864E-2</v>
      </c>
    </row>
    <row r="589" spans="1:3" x14ac:dyDescent="0.25">
      <c r="A589" t="s">
        <v>115</v>
      </c>
      <c r="B589">
        <v>0</v>
      </c>
      <c r="C589">
        <v>3.8356164383561646E-2</v>
      </c>
    </row>
    <row r="590" spans="1:3" x14ac:dyDescent="0.25">
      <c r="A590" t="s">
        <v>151</v>
      </c>
      <c r="B590">
        <v>7</v>
      </c>
      <c r="C590">
        <v>4.9315068493150684E-2</v>
      </c>
    </row>
    <row r="591" spans="1:3" x14ac:dyDescent="0.25">
      <c r="A591" t="s">
        <v>112</v>
      </c>
      <c r="B591">
        <v>3</v>
      </c>
      <c r="C591">
        <v>5.2054794520547946E-2</v>
      </c>
    </row>
    <row r="592" spans="1:3" x14ac:dyDescent="0.25">
      <c r="A592" t="s">
        <v>145</v>
      </c>
      <c r="B592">
        <v>8</v>
      </c>
      <c r="C592">
        <v>4.9315068493150684E-2</v>
      </c>
    </row>
    <row r="593" spans="1:3" x14ac:dyDescent="0.25">
      <c r="A593" t="s">
        <v>149</v>
      </c>
      <c r="B593">
        <v>10</v>
      </c>
      <c r="C593">
        <v>0.10136986301369863</v>
      </c>
    </row>
    <row r="594" spans="1:3" x14ac:dyDescent="0.25">
      <c r="A594" t="s">
        <v>114</v>
      </c>
      <c r="B594">
        <v>15</v>
      </c>
      <c r="C594">
        <v>0.11506849315068493</v>
      </c>
    </row>
    <row r="595" spans="1:3" x14ac:dyDescent="0.25">
      <c r="A595" t="s">
        <v>127</v>
      </c>
      <c r="B595">
        <v>9</v>
      </c>
      <c r="C595">
        <v>1.9178082191780823E-2</v>
      </c>
    </row>
    <row r="596" spans="1:3" x14ac:dyDescent="0.25">
      <c r="A596" t="s">
        <v>94</v>
      </c>
      <c r="B596">
        <v>9</v>
      </c>
      <c r="C596">
        <v>0.11506849315068493</v>
      </c>
    </row>
    <row r="597" spans="1:3" x14ac:dyDescent="0.25">
      <c r="A597" t="s">
        <v>102</v>
      </c>
      <c r="B597">
        <v>15</v>
      </c>
      <c r="C597">
        <v>4.9315068493150684E-2</v>
      </c>
    </row>
    <row r="598" spans="1:3" x14ac:dyDescent="0.25">
      <c r="A598" t="s">
        <v>106</v>
      </c>
      <c r="B598">
        <v>12</v>
      </c>
      <c r="C598">
        <v>7.9452054794520555E-2</v>
      </c>
    </row>
    <row r="599" spans="1:3" x14ac:dyDescent="0.25">
      <c r="A599" t="s">
        <v>159</v>
      </c>
      <c r="B599">
        <v>11</v>
      </c>
      <c r="C599">
        <v>4.3835616438356165E-2</v>
      </c>
    </row>
    <row r="600" spans="1:3" x14ac:dyDescent="0.25">
      <c r="A600" t="s">
        <v>30</v>
      </c>
      <c r="B600">
        <v>7</v>
      </c>
      <c r="C600">
        <v>9.8630136986301367E-2</v>
      </c>
    </row>
    <row r="601" spans="1:3" x14ac:dyDescent="0.25">
      <c r="A601" t="s">
        <v>71</v>
      </c>
      <c r="B601">
        <v>11</v>
      </c>
      <c r="C601">
        <v>0.10410958904109589</v>
      </c>
    </row>
    <row r="602" spans="1:3" x14ac:dyDescent="0.25">
      <c r="A602" t="s">
        <v>170</v>
      </c>
      <c r="B602">
        <v>14</v>
      </c>
      <c r="C602">
        <v>4.1095890410958902E-2</v>
      </c>
    </row>
    <row r="603" spans="1:3" x14ac:dyDescent="0.25">
      <c r="A603" t="s">
        <v>86</v>
      </c>
      <c r="B603">
        <v>10</v>
      </c>
      <c r="C603">
        <v>4.3835616438356165E-2</v>
      </c>
    </row>
    <row r="604" spans="1:3" x14ac:dyDescent="0.25">
      <c r="A604" t="s">
        <v>84</v>
      </c>
      <c r="B604">
        <v>14</v>
      </c>
      <c r="C604">
        <v>6.575342465753424E-2</v>
      </c>
    </row>
    <row r="605" spans="1:3" x14ac:dyDescent="0.25">
      <c r="A605" t="s">
        <v>84</v>
      </c>
      <c r="B605">
        <v>9</v>
      </c>
      <c r="C605">
        <v>6.3013698630136991E-2</v>
      </c>
    </row>
    <row r="606" spans="1:3" x14ac:dyDescent="0.25">
      <c r="A606" t="s">
        <v>143</v>
      </c>
      <c r="B606">
        <v>9</v>
      </c>
      <c r="C606">
        <v>0.11232876712328767</v>
      </c>
    </row>
    <row r="607" spans="1:3" x14ac:dyDescent="0.25">
      <c r="A607" t="s">
        <v>95</v>
      </c>
      <c r="B607">
        <v>10</v>
      </c>
      <c r="C607">
        <v>0.13150684931506848</v>
      </c>
    </row>
    <row r="608" spans="1:3" x14ac:dyDescent="0.25">
      <c r="A608" t="s">
        <v>110</v>
      </c>
      <c r="B608">
        <v>15</v>
      </c>
      <c r="C608">
        <v>0.11232876712328767</v>
      </c>
    </row>
    <row r="609" spans="1:3" x14ac:dyDescent="0.25">
      <c r="A609" t="s">
        <v>109</v>
      </c>
      <c r="B609">
        <v>12</v>
      </c>
      <c r="C609">
        <v>0.16164383561643836</v>
      </c>
    </row>
    <row r="610" spans="1:3" x14ac:dyDescent="0.25">
      <c r="A610" t="s">
        <v>135</v>
      </c>
      <c r="B610">
        <v>10</v>
      </c>
      <c r="C610">
        <v>0.11506849315068493</v>
      </c>
    </row>
    <row r="611" spans="1:3" x14ac:dyDescent="0.25">
      <c r="A611" t="s">
        <v>171</v>
      </c>
      <c r="B611">
        <v>14</v>
      </c>
      <c r="C611">
        <v>1.9178082191780823E-2</v>
      </c>
    </row>
    <row r="612" spans="1:3" x14ac:dyDescent="0.25">
      <c r="A612" t="s">
        <v>93</v>
      </c>
      <c r="B612">
        <v>13</v>
      </c>
      <c r="C612">
        <v>0.11506849315068493</v>
      </c>
    </row>
    <row r="613" spans="1:3" x14ac:dyDescent="0.25">
      <c r="A613" t="s">
        <v>167</v>
      </c>
      <c r="B613">
        <v>9</v>
      </c>
      <c r="C613">
        <v>0.10684931506849316</v>
      </c>
    </row>
    <row r="614" spans="1:3" x14ac:dyDescent="0.25">
      <c r="A614" t="s">
        <v>143</v>
      </c>
      <c r="B614">
        <v>12</v>
      </c>
      <c r="C614">
        <v>0.10684931506849316</v>
      </c>
    </row>
    <row r="615" spans="1:3" x14ac:dyDescent="0.25">
      <c r="A615" t="s">
        <v>152</v>
      </c>
      <c r="B615">
        <v>13</v>
      </c>
      <c r="C615">
        <v>0.10684931506849316</v>
      </c>
    </row>
    <row r="616" spans="1:3" x14ac:dyDescent="0.25">
      <c r="A616" t="s">
        <v>28</v>
      </c>
      <c r="B616">
        <v>20</v>
      </c>
      <c r="C616">
        <v>9.8630136986301367E-2</v>
      </c>
    </row>
    <row r="617" spans="1:3" x14ac:dyDescent="0.25">
      <c r="A617" t="s">
        <v>94</v>
      </c>
      <c r="B617">
        <v>14</v>
      </c>
      <c r="C617">
        <v>0.10684931506849316</v>
      </c>
    </row>
    <row r="618" spans="1:3" x14ac:dyDescent="0.25">
      <c r="A618" t="s">
        <v>120</v>
      </c>
      <c r="B618">
        <v>13</v>
      </c>
      <c r="C618">
        <v>0.16164383561643836</v>
      </c>
    </row>
    <row r="619" spans="1:3" x14ac:dyDescent="0.25">
      <c r="A619" t="s">
        <v>113</v>
      </c>
      <c r="B619">
        <v>23</v>
      </c>
      <c r="C619">
        <v>3.5616438356164383E-2</v>
      </c>
    </row>
    <row r="620" spans="1:3" x14ac:dyDescent="0.25">
      <c r="A620" t="s">
        <v>94</v>
      </c>
      <c r="B620">
        <v>20</v>
      </c>
      <c r="C620">
        <v>9.5890410958904104E-2</v>
      </c>
    </row>
    <row r="621" spans="1:3" x14ac:dyDescent="0.25">
      <c r="A621" t="s">
        <v>84</v>
      </c>
      <c r="B621">
        <v>17</v>
      </c>
      <c r="C621">
        <v>5.7534246575342465E-2</v>
      </c>
    </row>
    <row r="622" spans="1:3" x14ac:dyDescent="0.25">
      <c r="A622" t="s">
        <v>110</v>
      </c>
      <c r="B622">
        <v>21</v>
      </c>
      <c r="C622">
        <v>9.5890410958904104E-2</v>
      </c>
    </row>
    <row r="623" spans="1:3" x14ac:dyDescent="0.25">
      <c r="A623" t="s">
        <v>23</v>
      </c>
      <c r="B623">
        <v>11</v>
      </c>
      <c r="C623">
        <v>9.8630136986301367E-2</v>
      </c>
    </row>
    <row r="624" spans="1:3" x14ac:dyDescent="0.25">
      <c r="A624" t="s">
        <v>144</v>
      </c>
      <c r="B624">
        <v>20</v>
      </c>
      <c r="C624">
        <v>9.0410958904109592E-2</v>
      </c>
    </row>
    <row r="625" spans="1:3" x14ac:dyDescent="0.25">
      <c r="A625" t="s">
        <v>172</v>
      </c>
      <c r="B625">
        <v>16</v>
      </c>
      <c r="C625">
        <v>4.3835616438356165E-2</v>
      </c>
    </row>
    <row r="626" spans="1:3" x14ac:dyDescent="0.25">
      <c r="A626" t="s">
        <v>173</v>
      </c>
      <c r="B626">
        <v>19</v>
      </c>
      <c r="C626">
        <v>5.7534246575342465E-2</v>
      </c>
    </row>
    <row r="627" spans="1:3" x14ac:dyDescent="0.25">
      <c r="A627" t="s">
        <v>87</v>
      </c>
      <c r="B627">
        <v>17</v>
      </c>
      <c r="C627">
        <v>5.7534246575342465E-2</v>
      </c>
    </row>
    <row r="628" spans="1:3" x14ac:dyDescent="0.25">
      <c r="A628" t="s">
        <v>81</v>
      </c>
      <c r="B628">
        <v>20</v>
      </c>
      <c r="C628">
        <v>0.11506849315068493</v>
      </c>
    </row>
    <row r="629" spans="1:3" x14ac:dyDescent="0.25">
      <c r="A629" t="s">
        <v>144</v>
      </c>
      <c r="B629">
        <v>18</v>
      </c>
      <c r="C629">
        <v>8.7671232876712329E-2</v>
      </c>
    </row>
    <row r="630" spans="1:3" x14ac:dyDescent="0.25">
      <c r="A630" t="s">
        <v>42</v>
      </c>
      <c r="B630">
        <v>16</v>
      </c>
      <c r="C630">
        <v>9.5890410958904104E-2</v>
      </c>
    </row>
    <row r="631" spans="1:3" x14ac:dyDescent="0.25">
      <c r="A631" t="s">
        <v>155</v>
      </c>
      <c r="B631">
        <v>16</v>
      </c>
      <c r="C631">
        <v>8.7671232876712329E-2</v>
      </c>
    </row>
    <row r="632" spans="1:3" x14ac:dyDescent="0.25">
      <c r="A632" t="s">
        <v>174</v>
      </c>
      <c r="B632">
        <v>18</v>
      </c>
      <c r="C632">
        <v>0.12876712328767123</v>
      </c>
    </row>
    <row r="633" spans="1:3" x14ac:dyDescent="0.25">
      <c r="A633" t="s">
        <v>115</v>
      </c>
      <c r="B633">
        <v>19</v>
      </c>
      <c r="C633">
        <v>0.15068493150684931</v>
      </c>
    </row>
    <row r="634" spans="1:3" x14ac:dyDescent="0.25">
      <c r="A634" t="s">
        <v>160</v>
      </c>
      <c r="B634">
        <v>18</v>
      </c>
      <c r="C634">
        <v>0.10410958904109589</v>
      </c>
    </row>
    <row r="635" spans="1:3" x14ac:dyDescent="0.25">
      <c r="A635" t="s">
        <v>150</v>
      </c>
      <c r="B635">
        <v>20</v>
      </c>
      <c r="C635">
        <v>2.7397260273972601E-2</v>
      </c>
    </row>
    <row r="636" spans="1:3" x14ac:dyDescent="0.25">
      <c r="A636" t="s">
        <v>150</v>
      </c>
      <c r="B636">
        <v>21</v>
      </c>
      <c r="C636">
        <v>4.9315068493150684E-2</v>
      </c>
    </row>
    <row r="637" spans="1:3" x14ac:dyDescent="0.25">
      <c r="A637" t="s">
        <v>164</v>
      </c>
      <c r="B637">
        <v>19</v>
      </c>
      <c r="C637">
        <v>9.8630136986301367E-2</v>
      </c>
    </row>
    <row r="638" spans="1:3" x14ac:dyDescent="0.25">
      <c r="A638" t="s">
        <v>111</v>
      </c>
      <c r="B638">
        <v>22</v>
      </c>
      <c r="C638">
        <v>7.6712328767123292E-2</v>
      </c>
    </row>
    <row r="639" spans="1:3" x14ac:dyDescent="0.25">
      <c r="A639" t="s">
        <v>81</v>
      </c>
      <c r="B639">
        <v>21</v>
      </c>
      <c r="C639">
        <v>0.11506849315068493</v>
      </c>
    </row>
    <row r="640" spans="1:3" x14ac:dyDescent="0.25">
      <c r="A640" t="s">
        <v>71</v>
      </c>
      <c r="B640">
        <v>22</v>
      </c>
      <c r="C640">
        <v>3.287671232876712E-2</v>
      </c>
    </row>
    <row r="641" spans="1:3" x14ac:dyDescent="0.25">
      <c r="A641" t="s">
        <v>155</v>
      </c>
      <c r="B641">
        <v>18</v>
      </c>
      <c r="C641">
        <v>8.7671232876712329E-2</v>
      </c>
    </row>
    <row r="642" spans="1:3" x14ac:dyDescent="0.25">
      <c r="A642" t="s">
        <v>95</v>
      </c>
      <c r="B642">
        <v>23</v>
      </c>
      <c r="C642">
        <v>7.9452054794520555E-2</v>
      </c>
    </row>
    <row r="643" spans="1:3" x14ac:dyDescent="0.25">
      <c r="A643" t="s">
        <v>89</v>
      </c>
      <c r="B643">
        <v>23</v>
      </c>
      <c r="C643">
        <v>0.10136986301369863</v>
      </c>
    </row>
    <row r="644" spans="1:3" x14ac:dyDescent="0.25">
      <c r="A644" t="s">
        <v>175</v>
      </c>
      <c r="B644">
        <v>23</v>
      </c>
      <c r="C644">
        <v>5.4794520547945206E-3</v>
      </c>
    </row>
    <row r="645" spans="1:3" x14ac:dyDescent="0.25">
      <c r="A645" t="s">
        <v>172</v>
      </c>
      <c r="B645">
        <v>0</v>
      </c>
      <c r="C645">
        <v>1.0958904109589041E-2</v>
      </c>
    </row>
    <row r="646" spans="1:3" x14ac:dyDescent="0.25">
      <c r="A646" t="s">
        <v>21</v>
      </c>
      <c r="B646">
        <v>22</v>
      </c>
      <c r="C646">
        <v>9.5890410958904104E-2</v>
      </c>
    </row>
    <row r="647" spans="1:3" x14ac:dyDescent="0.25">
      <c r="A647" t="s">
        <v>91</v>
      </c>
      <c r="B647">
        <v>3</v>
      </c>
      <c r="C647">
        <v>5.4794520547945202E-2</v>
      </c>
    </row>
    <row r="648" spans="1:3" x14ac:dyDescent="0.25">
      <c r="A648" t="s">
        <v>136</v>
      </c>
      <c r="B648">
        <v>6</v>
      </c>
      <c r="C648">
        <v>1.9178082191780823E-2</v>
      </c>
    </row>
    <row r="649" spans="1:3" x14ac:dyDescent="0.25">
      <c r="A649" t="s">
        <v>176</v>
      </c>
      <c r="B649">
        <v>7</v>
      </c>
      <c r="C649">
        <v>5.2054794520547946E-2</v>
      </c>
    </row>
    <row r="650" spans="1:3" x14ac:dyDescent="0.25">
      <c r="A650" t="s">
        <v>144</v>
      </c>
      <c r="B650">
        <v>0</v>
      </c>
      <c r="C650">
        <v>4.9315068493150684E-2</v>
      </c>
    </row>
    <row r="651" spans="1:3" x14ac:dyDescent="0.25">
      <c r="A651" t="s">
        <v>155</v>
      </c>
      <c r="B651">
        <v>7</v>
      </c>
      <c r="C651">
        <v>4.9315068493150684E-2</v>
      </c>
    </row>
    <row r="652" spans="1:3" x14ac:dyDescent="0.25">
      <c r="A652" t="s">
        <v>86</v>
      </c>
      <c r="B652">
        <v>0</v>
      </c>
      <c r="C652">
        <v>3.0136986301369864E-2</v>
      </c>
    </row>
    <row r="653" spans="1:3" x14ac:dyDescent="0.25">
      <c r="A653" t="s">
        <v>114</v>
      </c>
      <c r="B653">
        <v>7</v>
      </c>
      <c r="C653">
        <v>6.575342465753424E-2</v>
      </c>
    </row>
    <row r="654" spans="1:3" x14ac:dyDescent="0.25">
      <c r="A654" t="s">
        <v>177</v>
      </c>
      <c r="B654">
        <v>7</v>
      </c>
      <c r="C654">
        <v>1.9178082191780823E-2</v>
      </c>
    </row>
    <row r="655" spans="1:3" x14ac:dyDescent="0.25">
      <c r="A655" t="s">
        <v>83</v>
      </c>
      <c r="B655">
        <v>1</v>
      </c>
      <c r="C655">
        <v>1.9178082191780823E-2</v>
      </c>
    </row>
    <row r="656" spans="1:3" x14ac:dyDescent="0.25">
      <c r="A656" t="s">
        <v>42</v>
      </c>
      <c r="B656">
        <v>9</v>
      </c>
      <c r="C656">
        <v>9.3150684931506855E-2</v>
      </c>
    </row>
    <row r="657" spans="1:3" x14ac:dyDescent="0.25">
      <c r="A657" t="s">
        <v>178</v>
      </c>
      <c r="B657">
        <v>7</v>
      </c>
      <c r="C657">
        <v>1.9178082191780823E-2</v>
      </c>
    </row>
    <row r="658" spans="1:3" x14ac:dyDescent="0.25">
      <c r="A658" t="s">
        <v>177</v>
      </c>
      <c r="B658">
        <v>1</v>
      </c>
      <c r="C658">
        <v>1.9178082191780823E-2</v>
      </c>
    </row>
    <row r="659" spans="1:3" x14ac:dyDescent="0.25">
      <c r="A659" t="s">
        <v>179</v>
      </c>
      <c r="B659">
        <v>7</v>
      </c>
      <c r="C659">
        <v>3.8356164383561646E-2</v>
      </c>
    </row>
    <row r="660" spans="1:3" x14ac:dyDescent="0.25">
      <c r="A660" t="s">
        <v>159</v>
      </c>
      <c r="B660">
        <v>8</v>
      </c>
      <c r="C660">
        <v>4.3835616438356165E-2</v>
      </c>
    </row>
    <row r="661" spans="1:3" x14ac:dyDescent="0.25">
      <c r="A661" t="s">
        <v>79</v>
      </c>
      <c r="B661">
        <v>12</v>
      </c>
      <c r="C661">
        <v>6.3013698630136991E-2</v>
      </c>
    </row>
    <row r="662" spans="1:3" x14ac:dyDescent="0.25">
      <c r="A662" t="s">
        <v>142</v>
      </c>
      <c r="B662">
        <v>8</v>
      </c>
      <c r="C662">
        <v>4.9315068493150684E-2</v>
      </c>
    </row>
    <row r="663" spans="1:3" x14ac:dyDescent="0.25">
      <c r="A663" t="s">
        <v>180</v>
      </c>
      <c r="B663">
        <v>9</v>
      </c>
      <c r="C663">
        <v>6.3013698630136991E-2</v>
      </c>
    </row>
    <row r="664" spans="1:3" x14ac:dyDescent="0.25">
      <c r="A664" t="s">
        <v>167</v>
      </c>
      <c r="B664">
        <v>8</v>
      </c>
      <c r="C664">
        <v>9.5890410958904104E-2</v>
      </c>
    </row>
    <row r="665" spans="1:3" x14ac:dyDescent="0.25">
      <c r="A665" t="s">
        <v>144</v>
      </c>
      <c r="B665">
        <v>14</v>
      </c>
      <c r="C665">
        <v>0.10684931506849316</v>
      </c>
    </row>
    <row r="666" spans="1:3" x14ac:dyDescent="0.25">
      <c r="A666" t="s">
        <v>127</v>
      </c>
      <c r="B666">
        <v>8</v>
      </c>
      <c r="C666">
        <v>6.575342465753424E-2</v>
      </c>
    </row>
    <row r="667" spans="1:3" x14ac:dyDescent="0.25">
      <c r="A667" t="s">
        <v>76</v>
      </c>
      <c r="B667">
        <v>12</v>
      </c>
      <c r="C667">
        <v>9.3150684931506855E-2</v>
      </c>
    </row>
    <row r="668" spans="1:3" x14ac:dyDescent="0.25">
      <c r="A668" t="s">
        <v>151</v>
      </c>
      <c r="B668">
        <v>10</v>
      </c>
      <c r="C668">
        <v>0.11232876712328767</v>
      </c>
    </row>
    <row r="669" spans="1:3" x14ac:dyDescent="0.25">
      <c r="A669" t="s">
        <v>68</v>
      </c>
      <c r="B669">
        <v>15</v>
      </c>
      <c r="C669">
        <v>0.10136986301369863</v>
      </c>
    </row>
    <row r="670" spans="1:3" x14ac:dyDescent="0.25">
      <c r="A670" t="s">
        <v>181</v>
      </c>
      <c r="B670">
        <v>8</v>
      </c>
      <c r="C670">
        <v>4.1095890410958902E-2</v>
      </c>
    </row>
    <row r="671" spans="1:3" x14ac:dyDescent="0.25">
      <c r="A671" t="s">
        <v>120</v>
      </c>
      <c r="B671">
        <v>10</v>
      </c>
      <c r="C671">
        <v>0.15068493150684931</v>
      </c>
    </row>
    <row r="672" spans="1:3" x14ac:dyDescent="0.25">
      <c r="A672" t="s">
        <v>151</v>
      </c>
      <c r="B672">
        <v>9</v>
      </c>
      <c r="C672">
        <v>0.10410958904109589</v>
      </c>
    </row>
    <row r="673" spans="1:3" x14ac:dyDescent="0.25">
      <c r="A673" t="s">
        <v>132</v>
      </c>
      <c r="B673">
        <v>8</v>
      </c>
      <c r="C673">
        <v>4.1095890410958902E-2</v>
      </c>
    </row>
    <row r="674" spans="1:3" x14ac:dyDescent="0.25">
      <c r="A674" t="s">
        <v>84</v>
      </c>
      <c r="B674">
        <v>8</v>
      </c>
      <c r="C674">
        <v>6.0273972602739728E-2</v>
      </c>
    </row>
    <row r="675" spans="1:3" x14ac:dyDescent="0.25">
      <c r="A675" t="s">
        <v>137</v>
      </c>
      <c r="B675">
        <v>15</v>
      </c>
      <c r="C675">
        <v>9.0410958904109592E-2</v>
      </c>
    </row>
    <row r="676" spans="1:3" x14ac:dyDescent="0.25">
      <c r="A676" t="s">
        <v>137</v>
      </c>
      <c r="B676">
        <v>13</v>
      </c>
      <c r="C676">
        <v>7.9452054794520555E-2</v>
      </c>
    </row>
    <row r="677" spans="1:3" x14ac:dyDescent="0.25">
      <c r="A677" t="s">
        <v>28</v>
      </c>
      <c r="B677">
        <v>13</v>
      </c>
      <c r="C677">
        <v>9.3150684931506855E-2</v>
      </c>
    </row>
    <row r="678" spans="1:3" x14ac:dyDescent="0.25">
      <c r="A678" t="s">
        <v>133</v>
      </c>
      <c r="B678">
        <v>11</v>
      </c>
      <c r="C678">
        <v>0.13150684931506848</v>
      </c>
    </row>
    <row r="679" spans="1:3" x14ac:dyDescent="0.25">
      <c r="A679" t="s">
        <v>93</v>
      </c>
      <c r="B679">
        <v>12</v>
      </c>
      <c r="C679">
        <v>0.10136986301369863</v>
      </c>
    </row>
    <row r="680" spans="1:3" x14ac:dyDescent="0.25">
      <c r="A680" t="s">
        <v>94</v>
      </c>
      <c r="B680">
        <v>12</v>
      </c>
      <c r="C680">
        <v>0.10684931506849316</v>
      </c>
    </row>
    <row r="681" spans="1:3" x14ac:dyDescent="0.25">
      <c r="A681" t="s">
        <v>116</v>
      </c>
      <c r="B681">
        <v>8</v>
      </c>
      <c r="C681">
        <v>0.10136986301369863</v>
      </c>
    </row>
    <row r="682" spans="1:3" x14ac:dyDescent="0.25">
      <c r="A682" t="s">
        <v>155</v>
      </c>
      <c r="B682">
        <v>14</v>
      </c>
      <c r="C682">
        <v>0.10136986301369863</v>
      </c>
    </row>
    <row r="683" spans="1:3" x14ac:dyDescent="0.25">
      <c r="A683" t="s">
        <v>30</v>
      </c>
      <c r="B683">
        <v>18</v>
      </c>
      <c r="C683">
        <v>9.3150684931506855E-2</v>
      </c>
    </row>
    <row r="684" spans="1:3" x14ac:dyDescent="0.25">
      <c r="A684" t="s">
        <v>120</v>
      </c>
      <c r="B684">
        <v>15</v>
      </c>
      <c r="C684">
        <v>0.13698630136986301</v>
      </c>
    </row>
    <row r="685" spans="1:3" x14ac:dyDescent="0.25">
      <c r="A685" t="s">
        <v>152</v>
      </c>
      <c r="B685">
        <v>8</v>
      </c>
      <c r="C685">
        <v>0.10136986301369863</v>
      </c>
    </row>
    <row r="686" spans="1:3" x14ac:dyDescent="0.25">
      <c r="A686" t="s">
        <v>129</v>
      </c>
      <c r="B686">
        <v>12</v>
      </c>
      <c r="C686">
        <v>9.8630136986301367E-2</v>
      </c>
    </row>
    <row r="687" spans="1:3" x14ac:dyDescent="0.25">
      <c r="A687" t="s">
        <v>132</v>
      </c>
      <c r="B687">
        <v>10</v>
      </c>
      <c r="C687">
        <v>3.8356164383561646E-2</v>
      </c>
    </row>
    <row r="688" spans="1:3" x14ac:dyDescent="0.25">
      <c r="A688" t="s">
        <v>97</v>
      </c>
      <c r="B688">
        <v>10</v>
      </c>
      <c r="C688">
        <v>4.6575342465753428E-2</v>
      </c>
    </row>
    <row r="689" spans="1:3" x14ac:dyDescent="0.25">
      <c r="A689" t="s">
        <v>92</v>
      </c>
      <c r="B689">
        <v>12</v>
      </c>
      <c r="C689">
        <v>0.10136986301369863</v>
      </c>
    </row>
    <row r="690" spans="1:3" x14ac:dyDescent="0.25">
      <c r="A690" t="s">
        <v>108</v>
      </c>
      <c r="B690">
        <v>12</v>
      </c>
      <c r="C690">
        <v>5.4794520547945202E-2</v>
      </c>
    </row>
    <row r="691" spans="1:3" x14ac:dyDescent="0.25">
      <c r="A691" t="s">
        <v>21</v>
      </c>
      <c r="B691">
        <v>12</v>
      </c>
      <c r="C691">
        <v>9.3150684931506855E-2</v>
      </c>
    </row>
    <row r="692" spans="1:3" x14ac:dyDescent="0.25">
      <c r="A692" t="s">
        <v>158</v>
      </c>
      <c r="B692">
        <v>8</v>
      </c>
      <c r="C692">
        <v>7.6712328767123292E-2</v>
      </c>
    </row>
    <row r="693" spans="1:3" x14ac:dyDescent="0.25">
      <c r="A693" t="s">
        <v>65</v>
      </c>
      <c r="B693">
        <v>14</v>
      </c>
      <c r="C693">
        <v>9.8630136986301367E-2</v>
      </c>
    </row>
    <row r="694" spans="1:3" x14ac:dyDescent="0.25">
      <c r="A694" t="s">
        <v>153</v>
      </c>
      <c r="B694">
        <v>14</v>
      </c>
      <c r="C694">
        <v>7.9452054794520555E-2</v>
      </c>
    </row>
    <row r="695" spans="1:3" x14ac:dyDescent="0.25">
      <c r="A695" t="s">
        <v>28</v>
      </c>
      <c r="B695">
        <v>16</v>
      </c>
      <c r="C695">
        <v>9.3150684931506855E-2</v>
      </c>
    </row>
    <row r="696" spans="1:3" x14ac:dyDescent="0.25">
      <c r="A696" t="s">
        <v>93</v>
      </c>
      <c r="B696">
        <v>11</v>
      </c>
      <c r="C696">
        <v>9.5890410958904104E-2</v>
      </c>
    </row>
    <row r="697" spans="1:3" x14ac:dyDescent="0.25">
      <c r="A697" t="s">
        <v>120</v>
      </c>
      <c r="B697">
        <v>11</v>
      </c>
      <c r="C697">
        <v>0.13150684931506848</v>
      </c>
    </row>
    <row r="698" spans="1:3" x14ac:dyDescent="0.25">
      <c r="A698" t="s">
        <v>95</v>
      </c>
      <c r="B698">
        <v>13</v>
      </c>
      <c r="C698">
        <v>0.12328767123287671</v>
      </c>
    </row>
    <row r="699" spans="1:3" x14ac:dyDescent="0.25">
      <c r="A699" t="s">
        <v>160</v>
      </c>
      <c r="B699">
        <v>10</v>
      </c>
      <c r="C699">
        <v>0.11506849315068493</v>
      </c>
    </row>
    <row r="700" spans="1:3" x14ac:dyDescent="0.25">
      <c r="A700" t="s">
        <v>168</v>
      </c>
      <c r="B700">
        <v>10</v>
      </c>
      <c r="C700">
        <v>8.7671232876712329E-2</v>
      </c>
    </row>
    <row r="701" spans="1:3" x14ac:dyDescent="0.25">
      <c r="A701" t="s">
        <v>177</v>
      </c>
      <c r="B701">
        <v>8</v>
      </c>
      <c r="C701">
        <v>4.6575342465753428E-2</v>
      </c>
    </row>
    <row r="702" spans="1:3" x14ac:dyDescent="0.25">
      <c r="A702" t="s">
        <v>115</v>
      </c>
      <c r="B702">
        <v>14</v>
      </c>
      <c r="C702">
        <v>9.3150684931506855E-2</v>
      </c>
    </row>
    <row r="703" spans="1:3" x14ac:dyDescent="0.25">
      <c r="A703" t="s">
        <v>139</v>
      </c>
      <c r="B703">
        <v>8</v>
      </c>
      <c r="C703">
        <v>7.6712328767123292E-2</v>
      </c>
    </row>
    <row r="704" spans="1:3" x14ac:dyDescent="0.25">
      <c r="A704" t="s">
        <v>87</v>
      </c>
      <c r="B704">
        <v>14</v>
      </c>
      <c r="C704">
        <v>4.6575342465753428E-2</v>
      </c>
    </row>
    <row r="705" spans="1:3" x14ac:dyDescent="0.25">
      <c r="A705" t="s">
        <v>182</v>
      </c>
      <c r="B705">
        <v>15</v>
      </c>
      <c r="C705">
        <v>8.4931506849315067E-2</v>
      </c>
    </row>
    <row r="706" spans="1:3" x14ac:dyDescent="0.25">
      <c r="A706" t="s">
        <v>152</v>
      </c>
      <c r="B706">
        <v>11</v>
      </c>
      <c r="C706">
        <v>9.8630136986301367E-2</v>
      </c>
    </row>
    <row r="707" spans="1:3" x14ac:dyDescent="0.25">
      <c r="A707" t="s">
        <v>76</v>
      </c>
      <c r="B707">
        <v>8</v>
      </c>
      <c r="C707">
        <v>9.0410958904109592E-2</v>
      </c>
    </row>
    <row r="708" spans="1:3" x14ac:dyDescent="0.25">
      <c r="A708" t="s">
        <v>135</v>
      </c>
      <c r="B708">
        <v>13</v>
      </c>
      <c r="C708">
        <v>8.2191780821917804E-2</v>
      </c>
    </row>
    <row r="709" spans="1:3" x14ac:dyDescent="0.25">
      <c r="A709" t="s">
        <v>95</v>
      </c>
      <c r="B709">
        <v>8</v>
      </c>
      <c r="C709">
        <v>0.11780821917808219</v>
      </c>
    </row>
    <row r="710" spans="1:3" x14ac:dyDescent="0.25">
      <c r="A710" t="s">
        <v>87</v>
      </c>
      <c r="B710">
        <v>12</v>
      </c>
      <c r="C710">
        <v>4.6575342465753428E-2</v>
      </c>
    </row>
    <row r="711" spans="1:3" x14ac:dyDescent="0.25">
      <c r="A711" t="s">
        <v>87</v>
      </c>
      <c r="B711">
        <v>9</v>
      </c>
      <c r="C711">
        <v>4.6575342465753428E-2</v>
      </c>
    </row>
    <row r="712" spans="1:3" x14ac:dyDescent="0.25">
      <c r="A712" t="s">
        <v>115</v>
      </c>
      <c r="B712">
        <v>13</v>
      </c>
      <c r="C712">
        <v>9.3150684931506855E-2</v>
      </c>
    </row>
    <row r="713" spans="1:3" x14ac:dyDescent="0.25">
      <c r="A713" t="s">
        <v>183</v>
      </c>
      <c r="B713">
        <v>19</v>
      </c>
      <c r="C713">
        <v>3.5616438356164383E-2</v>
      </c>
    </row>
    <row r="714" spans="1:3" x14ac:dyDescent="0.25">
      <c r="A714" t="s">
        <v>175</v>
      </c>
      <c r="B714">
        <v>16</v>
      </c>
      <c r="C714">
        <v>4.9315068493150684E-2</v>
      </c>
    </row>
    <row r="715" spans="1:3" x14ac:dyDescent="0.25">
      <c r="A715" t="s">
        <v>155</v>
      </c>
      <c r="B715">
        <v>19</v>
      </c>
      <c r="C715">
        <v>8.7671232876712329E-2</v>
      </c>
    </row>
    <row r="716" spans="1:3" x14ac:dyDescent="0.25">
      <c r="A716" t="s">
        <v>148</v>
      </c>
      <c r="B716">
        <v>17</v>
      </c>
      <c r="C716">
        <v>3.5616438356164383E-2</v>
      </c>
    </row>
    <row r="717" spans="1:3" x14ac:dyDescent="0.25">
      <c r="A717" t="s">
        <v>84</v>
      </c>
      <c r="B717">
        <v>20</v>
      </c>
      <c r="C717">
        <v>5.2054794520547946E-2</v>
      </c>
    </row>
    <row r="718" spans="1:3" x14ac:dyDescent="0.25">
      <c r="A718" t="s">
        <v>134</v>
      </c>
      <c r="B718">
        <v>17</v>
      </c>
      <c r="C718">
        <v>0.10136986301369863</v>
      </c>
    </row>
    <row r="719" spans="1:3" x14ac:dyDescent="0.25">
      <c r="A719" t="s">
        <v>83</v>
      </c>
      <c r="B719">
        <v>16</v>
      </c>
      <c r="C719">
        <v>5.2054794520547946E-2</v>
      </c>
    </row>
    <row r="720" spans="1:3" x14ac:dyDescent="0.25">
      <c r="A720" t="s">
        <v>170</v>
      </c>
      <c r="B720">
        <v>17</v>
      </c>
      <c r="C720">
        <v>4.3835616438356165E-2</v>
      </c>
    </row>
    <row r="721" spans="1:3" x14ac:dyDescent="0.25">
      <c r="A721" t="s">
        <v>167</v>
      </c>
      <c r="B721">
        <v>18</v>
      </c>
      <c r="C721">
        <v>4.9315068493150684E-2</v>
      </c>
    </row>
    <row r="722" spans="1:3" x14ac:dyDescent="0.25">
      <c r="A722" t="s">
        <v>184</v>
      </c>
      <c r="B722">
        <v>18</v>
      </c>
      <c r="C722">
        <v>3.5616438356164383E-2</v>
      </c>
    </row>
    <row r="723" spans="1:3" x14ac:dyDescent="0.25">
      <c r="A723" t="s">
        <v>185</v>
      </c>
      <c r="B723">
        <v>17</v>
      </c>
      <c r="C723">
        <v>4.3835616438356165E-2</v>
      </c>
    </row>
    <row r="724" spans="1:3" x14ac:dyDescent="0.25">
      <c r="A724" t="s">
        <v>157</v>
      </c>
      <c r="B724">
        <v>16</v>
      </c>
      <c r="C724">
        <v>4.9315068493150684E-2</v>
      </c>
    </row>
    <row r="725" spans="1:3" x14ac:dyDescent="0.25">
      <c r="A725" t="s">
        <v>143</v>
      </c>
      <c r="B725">
        <v>16</v>
      </c>
      <c r="C725">
        <v>8.7671232876712329E-2</v>
      </c>
    </row>
    <row r="726" spans="1:3" x14ac:dyDescent="0.25">
      <c r="A726" t="s">
        <v>136</v>
      </c>
      <c r="B726">
        <v>18</v>
      </c>
      <c r="C726">
        <v>5.2054794520547946E-2</v>
      </c>
    </row>
    <row r="727" spans="1:3" x14ac:dyDescent="0.25">
      <c r="A727" t="s">
        <v>92</v>
      </c>
      <c r="B727">
        <v>21</v>
      </c>
      <c r="C727">
        <v>8.4931506849315067E-2</v>
      </c>
    </row>
    <row r="728" spans="1:3" x14ac:dyDescent="0.25">
      <c r="A728" t="s">
        <v>105</v>
      </c>
      <c r="B728">
        <v>17</v>
      </c>
      <c r="C728">
        <v>0.12602739726027398</v>
      </c>
    </row>
    <row r="729" spans="1:3" x14ac:dyDescent="0.25">
      <c r="A729" t="s">
        <v>186</v>
      </c>
      <c r="B729">
        <v>18</v>
      </c>
      <c r="C729">
        <v>4.9315068493150684E-2</v>
      </c>
    </row>
    <row r="730" spans="1:3" x14ac:dyDescent="0.25">
      <c r="A730" t="s">
        <v>95</v>
      </c>
      <c r="B730">
        <v>19</v>
      </c>
      <c r="C730">
        <v>0.23287671232876711</v>
      </c>
    </row>
    <row r="731" spans="1:3" x14ac:dyDescent="0.25">
      <c r="A731" t="s">
        <v>109</v>
      </c>
      <c r="B731">
        <v>16</v>
      </c>
      <c r="C731">
        <v>9.5890410958904104E-2</v>
      </c>
    </row>
    <row r="732" spans="1:3" x14ac:dyDescent="0.25">
      <c r="A732" t="s">
        <v>138</v>
      </c>
      <c r="B732">
        <v>16</v>
      </c>
      <c r="C732">
        <v>4.6575342465753428E-2</v>
      </c>
    </row>
    <row r="733" spans="1:3" x14ac:dyDescent="0.25">
      <c r="A733" t="s">
        <v>65</v>
      </c>
      <c r="B733">
        <v>19</v>
      </c>
      <c r="C733">
        <v>0.15890410958904111</v>
      </c>
    </row>
    <row r="734" spans="1:3" x14ac:dyDescent="0.25">
      <c r="A734" t="s">
        <v>132</v>
      </c>
      <c r="B734">
        <v>20</v>
      </c>
      <c r="C734">
        <v>3.287671232876712E-2</v>
      </c>
    </row>
    <row r="735" spans="1:3" x14ac:dyDescent="0.25">
      <c r="A735" t="s">
        <v>30</v>
      </c>
      <c r="B735">
        <v>20</v>
      </c>
      <c r="C735">
        <v>9.0410958904109592E-2</v>
      </c>
    </row>
    <row r="736" spans="1:3" x14ac:dyDescent="0.25">
      <c r="A736" t="s">
        <v>123</v>
      </c>
      <c r="B736">
        <v>18</v>
      </c>
      <c r="C736">
        <v>5.2054794520547946E-2</v>
      </c>
    </row>
    <row r="737" spans="1:3" x14ac:dyDescent="0.25">
      <c r="A737" t="s">
        <v>146</v>
      </c>
      <c r="B737">
        <v>16</v>
      </c>
      <c r="C737">
        <v>5.2054794520547946E-2</v>
      </c>
    </row>
    <row r="738" spans="1:3" x14ac:dyDescent="0.25">
      <c r="A738" t="s">
        <v>162</v>
      </c>
      <c r="B738">
        <v>19</v>
      </c>
      <c r="C738">
        <v>4.9315068493150684E-2</v>
      </c>
    </row>
    <row r="739" spans="1:3" x14ac:dyDescent="0.25">
      <c r="A739" t="s">
        <v>65</v>
      </c>
      <c r="B739">
        <v>20</v>
      </c>
      <c r="C739">
        <v>9.3150684931506855E-2</v>
      </c>
    </row>
    <row r="740" spans="1:3" x14ac:dyDescent="0.25">
      <c r="A740" t="s">
        <v>130</v>
      </c>
      <c r="B740">
        <v>20</v>
      </c>
      <c r="C740">
        <v>0.1095890410958904</v>
      </c>
    </row>
    <row r="741" spans="1:3" x14ac:dyDescent="0.25">
      <c r="A741" t="s">
        <v>146</v>
      </c>
      <c r="B741">
        <v>18</v>
      </c>
      <c r="C741">
        <v>4.6575342465753428E-2</v>
      </c>
    </row>
    <row r="742" spans="1:3" x14ac:dyDescent="0.25">
      <c r="A742" t="s">
        <v>76</v>
      </c>
      <c r="B742">
        <v>21</v>
      </c>
      <c r="C742">
        <v>0.11232876712328767</v>
      </c>
    </row>
    <row r="743" spans="1:3" x14ac:dyDescent="0.25">
      <c r="A743" t="s">
        <v>151</v>
      </c>
      <c r="B743">
        <v>19</v>
      </c>
      <c r="C743">
        <v>9.8630136986301367E-2</v>
      </c>
    </row>
    <row r="744" spans="1:3" x14ac:dyDescent="0.25">
      <c r="A744" t="s">
        <v>89</v>
      </c>
      <c r="B744">
        <v>21</v>
      </c>
      <c r="C744">
        <v>9.3150684931506855E-2</v>
      </c>
    </row>
    <row r="745" spans="1:3" x14ac:dyDescent="0.25">
      <c r="A745" t="s">
        <v>144</v>
      </c>
      <c r="B745">
        <v>19</v>
      </c>
      <c r="C745">
        <v>7.9452054794520555E-2</v>
      </c>
    </row>
    <row r="746" spans="1:3" x14ac:dyDescent="0.25">
      <c r="A746" t="s">
        <v>156</v>
      </c>
      <c r="B746">
        <v>19</v>
      </c>
      <c r="C746">
        <v>9.3150684931506855E-2</v>
      </c>
    </row>
    <row r="747" spans="1:3" x14ac:dyDescent="0.25">
      <c r="A747" t="s">
        <v>166</v>
      </c>
      <c r="B747">
        <v>16</v>
      </c>
      <c r="C747">
        <v>7.3972602739726029E-2</v>
      </c>
    </row>
    <row r="748" spans="1:3" x14ac:dyDescent="0.25">
      <c r="A748" t="s">
        <v>91</v>
      </c>
      <c r="B748">
        <v>22</v>
      </c>
      <c r="C748">
        <v>9.0410958904109592E-2</v>
      </c>
    </row>
    <row r="749" spans="1:3" x14ac:dyDescent="0.25">
      <c r="A749" t="s">
        <v>28</v>
      </c>
      <c r="B749">
        <v>12</v>
      </c>
      <c r="C749">
        <v>9.0410958904109592E-2</v>
      </c>
    </row>
    <row r="750" spans="1:3" x14ac:dyDescent="0.25">
      <c r="A750" t="s">
        <v>116</v>
      </c>
      <c r="B750">
        <v>0</v>
      </c>
      <c r="C750">
        <v>3.8356164383561646E-2</v>
      </c>
    </row>
    <row r="751" spans="1:3" x14ac:dyDescent="0.25">
      <c r="A751" t="s">
        <v>114</v>
      </c>
      <c r="B751">
        <v>2</v>
      </c>
      <c r="C751">
        <v>6.575342465753424E-2</v>
      </c>
    </row>
    <row r="752" spans="1:3" x14ac:dyDescent="0.25">
      <c r="A752" t="s">
        <v>122</v>
      </c>
      <c r="B752">
        <v>5</v>
      </c>
      <c r="C752">
        <v>4.9315068493150684E-2</v>
      </c>
    </row>
    <row r="753" spans="1:3" x14ac:dyDescent="0.25">
      <c r="A753" t="s">
        <v>82</v>
      </c>
      <c r="B753">
        <v>4</v>
      </c>
      <c r="C753">
        <v>4.1095890410958902E-2</v>
      </c>
    </row>
    <row r="754" spans="1:3" x14ac:dyDescent="0.25">
      <c r="A754" t="s">
        <v>67</v>
      </c>
      <c r="B754">
        <v>0</v>
      </c>
      <c r="C754">
        <v>4.6575342465753428E-2</v>
      </c>
    </row>
    <row r="755" spans="1:3" x14ac:dyDescent="0.25">
      <c r="A755" t="s">
        <v>43</v>
      </c>
      <c r="B755">
        <v>18</v>
      </c>
      <c r="C755">
        <v>9.0410958904109592E-2</v>
      </c>
    </row>
    <row r="756" spans="1:3" x14ac:dyDescent="0.25">
      <c r="A756" t="s">
        <v>92</v>
      </c>
      <c r="B756">
        <v>1</v>
      </c>
      <c r="C756">
        <v>4.1095890410958902E-2</v>
      </c>
    </row>
    <row r="757" spans="1:3" x14ac:dyDescent="0.25">
      <c r="A757" t="s">
        <v>115</v>
      </c>
      <c r="B757">
        <v>7</v>
      </c>
      <c r="C757">
        <v>3.8356164383561646E-2</v>
      </c>
    </row>
    <row r="758" spans="1:3" x14ac:dyDescent="0.25">
      <c r="A758" t="s">
        <v>23</v>
      </c>
      <c r="B758">
        <v>15</v>
      </c>
      <c r="C758">
        <v>8.7671232876712329E-2</v>
      </c>
    </row>
    <row r="759" spans="1:3" x14ac:dyDescent="0.25">
      <c r="A759" t="s">
        <v>113</v>
      </c>
      <c r="B759">
        <v>7</v>
      </c>
      <c r="C759">
        <v>3.0136986301369864E-2</v>
      </c>
    </row>
    <row r="760" spans="1:3" x14ac:dyDescent="0.25">
      <c r="A760" t="s">
        <v>83</v>
      </c>
      <c r="B760">
        <v>5</v>
      </c>
      <c r="C760">
        <v>1.643835616438356E-2</v>
      </c>
    </row>
    <row r="761" spans="1:3" x14ac:dyDescent="0.25">
      <c r="A761" t="s">
        <v>99</v>
      </c>
      <c r="B761">
        <v>1</v>
      </c>
      <c r="C761">
        <v>3.5616438356164383E-2</v>
      </c>
    </row>
    <row r="762" spans="1:3" x14ac:dyDescent="0.25">
      <c r="A762" t="s">
        <v>42</v>
      </c>
      <c r="B762">
        <v>13</v>
      </c>
      <c r="C762">
        <v>8.7671232876712329E-2</v>
      </c>
    </row>
    <row r="763" spans="1:3" x14ac:dyDescent="0.25">
      <c r="A763" t="s">
        <v>136</v>
      </c>
      <c r="B763">
        <v>10</v>
      </c>
      <c r="C763">
        <v>4.3835616438356165E-2</v>
      </c>
    </row>
    <row r="764" spans="1:3" x14ac:dyDescent="0.25">
      <c r="A764" t="s">
        <v>159</v>
      </c>
      <c r="B764">
        <v>9</v>
      </c>
      <c r="C764">
        <v>3.8356164383561646E-2</v>
      </c>
    </row>
    <row r="765" spans="1:3" x14ac:dyDescent="0.25">
      <c r="A765" t="s">
        <v>30</v>
      </c>
      <c r="B765">
        <v>12</v>
      </c>
      <c r="C765">
        <v>8.4931506849315067E-2</v>
      </c>
    </row>
    <row r="766" spans="1:3" x14ac:dyDescent="0.25">
      <c r="A766" t="s">
        <v>119</v>
      </c>
      <c r="B766">
        <v>11</v>
      </c>
      <c r="C766">
        <v>5.2054794520547946E-2</v>
      </c>
    </row>
    <row r="767" spans="1:3" x14ac:dyDescent="0.25">
      <c r="A767" t="s">
        <v>102</v>
      </c>
      <c r="B767">
        <v>14</v>
      </c>
      <c r="C767">
        <v>4.1095890410958902E-2</v>
      </c>
    </row>
    <row r="768" spans="1:3" x14ac:dyDescent="0.25">
      <c r="A768" t="s">
        <v>144</v>
      </c>
      <c r="B768">
        <v>10</v>
      </c>
      <c r="C768">
        <v>9.8630136986301367E-2</v>
      </c>
    </row>
    <row r="769" spans="1:3" x14ac:dyDescent="0.25">
      <c r="A769" t="s">
        <v>143</v>
      </c>
      <c r="B769">
        <v>14</v>
      </c>
      <c r="C769">
        <v>9.3150684931506855E-2</v>
      </c>
    </row>
    <row r="770" spans="1:3" x14ac:dyDescent="0.25">
      <c r="A770" t="s">
        <v>162</v>
      </c>
      <c r="B770">
        <v>10</v>
      </c>
      <c r="C770">
        <v>4.3835616438356165E-2</v>
      </c>
    </row>
    <row r="771" spans="1:3" x14ac:dyDescent="0.25">
      <c r="A771" t="s">
        <v>144</v>
      </c>
      <c r="B771">
        <v>15</v>
      </c>
      <c r="C771">
        <v>9.3150684931506855E-2</v>
      </c>
    </row>
    <row r="772" spans="1:3" x14ac:dyDescent="0.25">
      <c r="A772" t="s">
        <v>130</v>
      </c>
      <c r="B772">
        <v>15</v>
      </c>
      <c r="C772">
        <v>0.12602739726027398</v>
      </c>
    </row>
    <row r="773" spans="1:3" x14ac:dyDescent="0.25">
      <c r="A773" t="s">
        <v>176</v>
      </c>
      <c r="B773">
        <v>15</v>
      </c>
      <c r="C773">
        <v>9.3150684931506855E-2</v>
      </c>
    </row>
    <row r="774" spans="1:3" x14ac:dyDescent="0.25">
      <c r="A774" t="s">
        <v>120</v>
      </c>
      <c r="B774">
        <v>8</v>
      </c>
      <c r="C774">
        <v>0.13150684931506848</v>
      </c>
    </row>
    <row r="775" spans="1:3" x14ac:dyDescent="0.25">
      <c r="A775" t="s">
        <v>125</v>
      </c>
      <c r="B775">
        <v>13</v>
      </c>
      <c r="C775">
        <v>8.7671232876712329E-2</v>
      </c>
    </row>
    <row r="776" spans="1:3" x14ac:dyDescent="0.25">
      <c r="A776" t="s">
        <v>104</v>
      </c>
      <c r="B776">
        <v>15</v>
      </c>
      <c r="C776">
        <v>7.1232876712328766E-2</v>
      </c>
    </row>
    <row r="777" spans="1:3" x14ac:dyDescent="0.25">
      <c r="A777" t="s">
        <v>141</v>
      </c>
      <c r="B777">
        <v>14</v>
      </c>
      <c r="C777">
        <v>6.575342465753424E-2</v>
      </c>
    </row>
    <row r="778" spans="1:3" x14ac:dyDescent="0.25">
      <c r="A778" t="s">
        <v>120</v>
      </c>
      <c r="B778">
        <v>14</v>
      </c>
      <c r="C778">
        <v>0.1095890410958904</v>
      </c>
    </row>
    <row r="779" spans="1:3" x14ac:dyDescent="0.25">
      <c r="A779" t="s">
        <v>116</v>
      </c>
      <c r="B779">
        <v>15</v>
      </c>
      <c r="C779">
        <v>9.0410958904109592E-2</v>
      </c>
    </row>
    <row r="780" spans="1:3" x14ac:dyDescent="0.25">
      <c r="A780" t="s">
        <v>151</v>
      </c>
      <c r="B780">
        <v>12</v>
      </c>
      <c r="C780">
        <v>8.2191780821917804E-2</v>
      </c>
    </row>
    <row r="781" spans="1:3" x14ac:dyDescent="0.25">
      <c r="A781" t="s">
        <v>183</v>
      </c>
      <c r="B781">
        <v>15</v>
      </c>
      <c r="C781">
        <v>3.8356164383561646E-2</v>
      </c>
    </row>
    <row r="782" spans="1:3" x14ac:dyDescent="0.25">
      <c r="A782" t="s">
        <v>42</v>
      </c>
      <c r="B782">
        <v>10</v>
      </c>
      <c r="C782">
        <v>8.4931506849315067E-2</v>
      </c>
    </row>
    <row r="783" spans="1:3" x14ac:dyDescent="0.25">
      <c r="A783" t="s">
        <v>141</v>
      </c>
      <c r="B783">
        <v>9</v>
      </c>
      <c r="C783">
        <v>6.575342465753424E-2</v>
      </c>
    </row>
    <row r="784" spans="1:3" x14ac:dyDescent="0.25">
      <c r="A784" t="s">
        <v>105</v>
      </c>
      <c r="B784">
        <v>8</v>
      </c>
      <c r="C784">
        <v>0.12054794520547946</v>
      </c>
    </row>
    <row r="785" spans="1:3" x14ac:dyDescent="0.25">
      <c r="A785" t="s">
        <v>107</v>
      </c>
      <c r="B785">
        <v>8</v>
      </c>
      <c r="C785">
        <v>7.9452054794520555E-2</v>
      </c>
    </row>
    <row r="786" spans="1:3" x14ac:dyDescent="0.25">
      <c r="A786" t="s">
        <v>76</v>
      </c>
      <c r="B786">
        <v>11</v>
      </c>
      <c r="C786">
        <v>8.4931506849315067E-2</v>
      </c>
    </row>
    <row r="787" spans="1:3" x14ac:dyDescent="0.25">
      <c r="A787" t="s">
        <v>134</v>
      </c>
      <c r="B787">
        <v>11</v>
      </c>
      <c r="C787">
        <v>0.11232876712328767</v>
      </c>
    </row>
    <row r="788" spans="1:3" x14ac:dyDescent="0.25">
      <c r="A788" t="s">
        <v>75</v>
      </c>
      <c r="B788">
        <v>8</v>
      </c>
      <c r="C788">
        <v>0.12054794520547946</v>
      </c>
    </row>
    <row r="789" spans="1:3" x14ac:dyDescent="0.25">
      <c r="A789" t="s">
        <v>158</v>
      </c>
      <c r="B789">
        <v>10</v>
      </c>
      <c r="C789">
        <v>6.575342465753424E-2</v>
      </c>
    </row>
    <row r="790" spans="1:3" x14ac:dyDescent="0.25">
      <c r="A790" t="s">
        <v>156</v>
      </c>
      <c r="B790">
        <v>8</v>
      </c>
      <c r="C790">
        <v>0.1095890410958904</v>
      </c>
    </row>
    <row r="791" spans="1:3" x14ac:dyDescent="0.25">
      <c r="A791" t="s">
        <v>109</v>
      </c>
      <c r="B791">
        <v>15</v>
      </c>
      <c r="C791">
        <v>0.1095890410958904</v>
      </c>
    </row>
    <row r="792" spans="1:3" x14ac:dyDescent="0.25">
      <c r="A792" t="s">
        <v>130</v>
      </c>
      <c r="B792">
        <v>8</v>
      </c>
      <c r="C792">
        <v>0.12054794520547946</v>
      </c>
    </row>
    <row r="793" spans="1:3" x14ac:dyDescent="0.25">
      <c r="A793" t="s">
        <v>134</v>
      </c>
      <c r="B793">
        <v>10</v>
      </c>
      <c r="C793">
        <v>0.10684931506849316</v>
      </c>
    </row>
    <row r="794" spans="1:3" x14ac:dyDescent="0.25">
      <c r="A794" t="s">
        <v>162</v>
      </c>
      <c r="B794">
        <v>11</v>
      </c>
      <c r="C794">
        <v>4.1095890410958902E-2</v>
      </c>
    </row>
    <row r="795" spans="1:3" x14ac:dyDescent="0.25">
      <c r="A795" t="s">
        <v>30</v>
      </c>
      <c r="B795">
        <v>22</v>
      </c>
      <c r="C795">
        <v>8.2191780821917804E-2</v>
      </c>
    </row>
    <row r="796" spans="1:3" x14ac:dyDescent="0.25">
      <c r="A796" t="s">
        <v>71</v>
      </c>
      <c r="B796">
        <v>16</v>
      </c>
      <c r="C796">
        <v>0.1095890410958904</v>
      </c>
    </row>
    <row r="797" spans="1:3" x14ac:dyDescent="0.25">
      <c r="A797" t="s">
        <v>187</v>
      </c>
      <c r="B797">
        <v>16</v>
      </c>
      <c r="C797">
        <v>9.8630136986301367E-2</v>
      </c>
    </row>
    <row r="798" spans="1:3" x14ac:dyDescent="0.25">
      <c r="A798" t="s">
        <v>70</v>
      </c>
      <c r="B798">
        <v>16</v>
      </c>
      <c r="C798">
        <v>3.287671232876712E-2</v>
      </c>
    </row>
    <row r="799" spans="1:3" x14ac:dyDescent="0.25">
      <c r="A799" t="s">
        <v>107</v>
      </c>
      <c r="B799">
        <v>17</v>
      </c>
      <c r="C799">
        <v>9.5890410958904104E-2</v>
      </c>
    </row>
    <row r="800" spans="1:3" x14ac:dyDescent="0.25">
      <c r="A800" t="s">
        <v>176</v>
      </c>
      <c r="B800">
        <v>18</v>
      </c>
      <c r="C800">
        <v>7.9452054794520555E-2</v>
      </c>
    </row>
    <row r="801" spans="1:3" x14ac:dyDescent="0.25">
      <c r="A801" t="s">
        <v>148</v>
      </c>
      <c r="B801">
        <v>16</v>
      </c>
      <c r="C801">
        <v>3.287671232876712E-2</v>
      </c>
    </row>
    <row r="802" spans="1:3" x14ac:dyDescent="0.25">
      <c r="A802" t="s">
        <v>93</v>
      </c>
      <c r="B802">
        <v>20</v>
      </c>
      <c r="C802">
        <v>9.3150684931506855E-2</v>
      </c>
    </row>
    <row r="803" spans="1:3" x14ac:dyDescent="0.25">
      <c r="A803" t="s">
        <v>106</v>
      </c>
      <c r="B803">
        <v>18</v>
      </c>
      <c r="C803">
        <v>7.3972602739726029E-2</v>
      </c>
    </row>
    <row r="804" spans="1:3" x14ac:dyDescent="0.25">
      <c r="A804" t="s">
        <v>78</v>
      </c>
      <c r="B804">
        <v>20</v>
      </c>
      <c r="C804">
        <v>4.6575342465753428E-2</v>
      </c>
    </row>
    <row r="805" spans="1:3" x14ac:dyDescent="0.25">
      <c r="A805" t="s">
        <v>73</v>
      </c>
      <c r="B805">
        <v>20</v>
      </c>
      <c r="C805">
        <v>9.5890410958904104E-2</v>
      </c>
    </row>
    <row r="806" spans="1:3" x14ac:dyDescent="0.25">
      <c r="A806" t="s">
        <v>78</v>
      </c>
      <c r="B806">
        <v>17</v>
      </c>
      <c r="C806">
        <v>4.6575342465753428E-2</v>
      </c>
    </row>
    <row r="807" spans="1:3" x14ac:dyDescent="0.25">
      <c r="A807" t="s">
        <v>156</v>
      </c>
      <c r="B807">
        <v>17</v>
      </c>
      <c r="C807">
        <v>8.4931506849315067E-2</v>
      </c>
    </row>
    <row r="808" spans="1:3" x14ac:dyDescent="0.25">
      <c r="A808" t="s">
        <v>170</v>
      </c>
      <c r="B808">
        <v>16</v>
      </c>
      <c r="C808">
        <v>3.8356164383561646E-2</v>
      </c>
    </row>
    <row r="809" spans="1:3" x14ac:dyDescent="0.25">
      <c r="A809" t="s">
        <v>42</v>
      </c>
      <c r="B809">
        <v>11</v>
      </c>
      <c r="C809">
        <v>8.2191780821917804E-2</v>
      </c>
    </row>
    <row r="810" spans="1:3" x14ac:dyDescent="0.25">
      <c r="A810" t="s">
        <v>188</v>
      </c>
      <c r="B810">
        <v>18</v>
      </c>
      <c r="C810">
        <v>4.3835616438356165E-2</v>
      </c>
    </row>
    <row r="811" spans="1:3" x14ac:dyDescent="0.25">
      <c r="A811" t="s">
        <v>137</v>
      </c>
      <c r="B811">
        <v>21</v>
      </c>
      <c r="C811">
        <v>4.9315068493150684E-2</v>
      </c>
    </row>
    <row r="812" spans="1:3" x14ac:dyDescent="0.25">
      <c r="A812" t="s">
        <v>125</v>
      </c>
      <c r="B812">
        <v>18</v>
      </c>
      <c r="C812">
        <v>9.5890410958904104E-2</v>
      </c>
    </row>
    <row r="813" spans="1:3" x14ac:dyDescent="0.25">
      <c r="A813" t="s">
        <v>131</v>
      </c>
      <c r="B813">
        <v>17</v>
      </c>
      <c r="C813">
        <v>6.3013698630136991E-2</v>
      </c>
    </row>
    <row r="814" spans="1:3" x14ac:dyDescent="0.25">
      <c r="A814" t="s">
        <v>120</v>
      </c>
      <c r="B814">
        <v>17</v>
      </c>
      <c r="C814">
        <v>9.0410958904109592E-2</v>
      </c>
    </row>
    <row r="815" spans="1:3" x14ac:dyDescent="0.25">
      <c r="A815" t="s">
        <v>130</v>
      </c>
      <c r="B815">
        <v>0</v>
      </c>
      <c r="C815">
        <v>5.7534246575342465E-2</v>
      </c>
    </row>
    <row r="816" spans="1:3" x14ac:dyDescent="0.25">
      <c r="A816" t="s">
        <v>156</v>
      </c>
      <c r="B816">
        <v>7</v>
      </c>
      <c r="C816">
        <v>6.3013698630136991E-2</v>
      </c>
    </row>
    <row r="817" spans="1:3" x14ac:dyDescent="0.25">
      <c r="A817" t="s">
        <v>117</v>
      </c>
      <c r="B817">
        <v>1</v>
      </c>
      <c r="C817">
        <v>5.4794520547945202E-2</v>
      </c>
    </row>
    <row r="818" spans="1:3" x14ac:dyDescent="0.25">
      <c r="A818" t="s">
        <v>82</v>
      </c>
      <c r="B818">
        <v>1</v>
      </c>
      <c r="C818">
        <v>4.1095890410958902E-2</v>
      </c>
    </row>
    <row r="819" spans="1:3" x14ac:dyDescent="0.25">
      <c r="A819" t="s">
        <v>129</v>
      </c>
      <c r="B819">
        <v>6</v>
      </c>
      <c r="C819">
        <v>4.6575342465753428E-2</v>
      </c>
    </row>
    <row r="820" spans="1:3" x14ac:dyDescent="0.25">
      <c r="A820" t="s">
        <v>45</v>
      </c>
      <c r="B820">
        <v>7</v>
      </c>
      <c r="C820">
        <v>2.1917808219178082E-2</v>
      </c>
    </row>
    <row r="821" spans="1:3" x14ac:dyDescent="0.25">
      <c r="A821" t="s">
        <v>117</v>
      </c>
      <c r="B821">
        <v>6</v>
      </c>
      <c r="C821">
        <v>5.4794520547945202E-2</v>
      </c>
    </row>
    <row r="822" spans="1:3" x14ac:dyDescent="0.25">
      <c r="A822" t="s">
        <v>110</v>
      </c>
      <c r="B822">
        <v>6</v>
      </c>
      <c r="C822">
        <v>3.8356164383561646E-2</v>
      </c>
    </row>
    <row r="823" spans="1:3" x14ac:dyDescent="0.25">
      <c r="A823" t="s">
        <v>137</v>
      </c>
      <c r="B823">
        <v>7</v>
      </c>
      <c r="C823">
        <v>3.287671232876712E-2</v>
      </c>
    </row>
    <row r="824" spans="1:3" x14ac:dyDescent="0.25">
      <c r="A824" t="s">
        <v>156</v>
      </c>
      <c r="B824">
        <v>11</v>
      </c>
      <c r="C824">
        <v>0.10684931506849316</v>
      </c>
    </row>
    <row r="825" spans="1:3" x14ac:dyDescent="0.25">
      <c r="A825" t="s">
        <v>65</v>
      </c>
      <c r="B825">
        <v>11</v>
      </c>
      <c r="C825">
        <v>9.0410958904109592E-2</v>
      </c>
    </row>
    <row r="826" spans="1:3" x14ac:dyDescent="0.25">
      <c r="A826" t="s">
        <v>143</v>
      </c>
      <c r="B826">
        <v>13</v>
      </c>
      <c r="C826">
        <v>9.0410958904109592E-2</v>
      </c>
    </row>
    <row r="827" spans="1:3" x14ac:dyDescent="0.25">
      <c r="A827" t="s">
        <v>121</v>
      </c>
      <c r="B827">
        <v>14</v>
      </c>
      <c r="C827">
        <v>9.0410958904109592E-2</v>
      </c>
    </row>
    <row r="828" spans="1:3" x14ac:dyDescent="0.25">
      <c r="A828" t="s">
        <v>86</v>
      </c>
      <c r="B828">
        <v>13</v>
      </c>
      <c r="C828">
        <v>3.5616438356164383E-2</v>
      </c>
    </row>
    <row r="829" spans="1:3" x14ac:dyDescent="0.25">
      <c r="A829" t="s">
        <v>23</v>
      </c>
      <c r="B829">
        <v>13</v>
      </c>
      <c r="C829">
        <v>8.2191780821917804E-2</v>
      </c>
    </row>
    <row r="830" spans="1:3" x14ac:dyDescent="0.25">
      <c r="A830" t="s">
        <v>130</v>
      </c>
      <c r="B830">
        <v>9</v>
      </c>
      <c r="C830">
        <v>0.12054794520547946</v>
      </c>
    </row>
    <row r="831" spans="1:3" x14ac:dyDescent="0.25">
      <c r="A831" t="s">
        <v>125</v>
      </c>
      <c r="B831">
        <v>8</v>
      </c>
      <c r="C831">
        <v>8.2191780821917804E-2</v>
      </c>
    </row>
    <row r="832" spans="1:3" x14ac:dyDescent="0.25">
      <c r="A832" t="s">
        <v>145</v>
      </c>
      <c r="B832">
        <v>11</v>
      </c>
      <c r="C832">
        <v>4.1095890410958902E-2</v>
      </c>
    </row>
    <row r="833" spans="1:3" x14ac:dyDescent="0.25">
      <c r="A833" t="s">
        <v>105</v>
      </c>
      <c r="B833">
        <v>10</v>
      </c>
      <c r="C833">
        <v>0.11780821917808219</v>
      </c>
    </row>
    <row r="834" spans="1:3" x14ac:dyDescent="0.25">
      <c r="A834" t="s">
        <v>21</v>
      </c>
      <c r="B834">
        <v>21</v>
      </c>
      <c r="C834">
        <v>8.2191780821917804E-2</v>
      </c>
    </row>
    <row r="835" spans="1:3" x14ac:dyDescent="0.25">
      <c r="A835" t="s">
        <v>112</v>
      </c>
      <c r="B835">
        <v>15</v>
      </c>
      <c r="C835">
        <v>9.0410958904109592E-2</v>
      </c>
    </row>
    <row r="836" spans="1:3" x14ac:dyDescent="0.25">
      <c r="A836" t="s">
        <v>144</v>
      </c>
      <c r="B836">
        <v>9</v>
      </c>
      <c r="C836">
        <v>9.0410958904109592E-2</v>
      </c>
    </row>
    <row r="837" spans="1:3" x14ac:dyDescent="0.25">
      <c r="A837" t="s">
        <v>116</v>
      </c>
      <c r="B837">
        <v>12</v>
      </c>
      <c r="C837">
        <v>9.0410958904109592E-2</v>
      </c>
    </row>
    <row r="838" spans="1:3" x14ac:dyDescent="0.25">
      <c r="A838" t="s">
        <v>142</v>
      </c>
      <c r="B838">
        <v>13</v>
      </c>
      <c r="C838">
        <v>4.1095890410958902E-2</v>
      </c>
    </row>
    <row r="839" spans="1:3" x14ac:dyDescent="0.25">
      <c r="A839" t="s">
        <v>73</v>
      </c>
      <c r="B839">
        <v>14</v>
      </c>
      <c r="C839">
        <v>8.2191780821917804E-2</v>
      </c>
    </row>
    <row r="840" spans="1:3" x14ac:dyDescent="0.25">
      <c r="A840" t="s">
        <v>125</v>
      </c>
      <c r="B840">
        <v>10</v>
      </c>
      <c r="C840">
        <v>7.9452054794520555E-2</v>
      </c>
    </row>
    <row r="841" spans="1:3" x14ac:dyDescent="0.25">
      <c r="A841" t="s">
        <v>155</v>
      </c>
      <c r="B841">
        <v>15</v>
      </c>
      <c r="C841">
        <v>8.7671232876712329E-2</v>
      </c>
    </row>
    <row r="842" spans="1:3" x14ac:dyDescent="0.25">
      <c r="A842" t="s">
        <v>102</v>
      </c>
      <c r="B842">
        <v>12</v>
      </c>
      <c r="C842">
        <v>3.8356164383561646E-2</v>
      </c>
    </row>
    <row r="843" spans="1:3" x14ac:dyDescent="0.25">
      <c r="A843" t="s">
        <v>133</v>
      </c>
      <c r="B843">
        <v>12</v>
      </c>
      <c r="C843">
        <v>0.1095890410958904</v>
      </c>
    </row>
    <row r="844" spans="1:3" x14ac:dyDescent="0.25">
      <c r="A844" t="s">
        <v>133</v>
      </c>
      <c r="B844">
        <v>15</v>
      </c>
      <c r="C844">
        <v>0.10410958904109589</v>
      </c>
    </row>
    <row r="845" spans="1:3" x14ac:dyDescent="0.25">
      <c r="A845" t="s">
        <v>93</v>
      </c>
      <c r="B845">
        <v>8</v>
      </c>
      <c r="C845">
        <v>7.9452054794520555E-2</v>
      </c>
    </row>
    <row r="846" spans="1:3" x14ac:dyDescent="0.25">
      <c r="A846" t="s">
        <v>107</v>
      </c>
      <c r="B846">
        <v>14</v>
      </c>
      <c r="C846">
        <v>7.9452054794520555E-2</v>
      </c>
    </row>
    <row r="847" spans="1:3" x14ac:dyDescent="0.25">
      <c r="A847" t="s">
        <v>111</v>
      </c>
      <c r="B847">
        <v>14</v>
      </c>
      <c r="C847">
        <v>0.10136986301369863</v>
      </c>
    </row>
    <row r="848" spans="1:3" x14ac:dyDescent="0.25">
      <c r="A848" t="s">
        <v>34</v>
      </c>
      <c r="B848">
        <v>7</v>
      </c>
      <c r="C848">
        <v>8.2191780821917804E-2</v>
      </c>
    </row>
    <row r="849" spans="1:3" x14ac:dyDescent="0.25">
      <c r="A849" t="s">
        <v>164</v>
      </c>
      <c r="B849">
        <v>9</v>
      </c>
      <c r="C849">
        <v>0.1095890410958904</v>
      </c>
    </row>
    <row r="850" spans="1:3" x14ac:dyDescent="0.25">
      <c r="A850" t="s">
        <v>140</v>
      </c>
      <c r="B850">
        <v>8</v>
      </c>
      <c r="C850">
        <v>3.5616438356164383E-2</v>
      </c>
    </row>
    <row r="851" spans="1:3" x14ac:dyDescent="0.25">
      <c r="A851" t="s">
        <v>107</v>
      </c>
      <c r="B851">
        <v>12</v>
      </c>
      <c r="C851">
        <v>7.9452054794520555E-2</v>
      </c>
    </row>
    <row r="852" spans="1:3" x14ac:dyDescent="0.25">
      <c r="A852" t="s">
        <v>115</v>
      </c>
      <c r="B852">
        <v>12</v>
      </c>
      <c r="C852">
        <v>9.0410958904109592E-2</v>
      </c>
    </row>
    <row r="853" spans="1:3" x14ac:dyDescent="0.25">
      <c r="A853" t="s">
        <v>28</v>
      </c>
      <c r="B853">
        <v>14</v>
      </c>
      <c r="C853">
        <v>7.9452054794520555E-2</v>
      </c>
    </row>
    <row r="854" spans="1:3" x14ac:dyDescent="0.25">
      <c r="A854" t="s">
        <v>158</v>
      </c>
      <c r="B854">
        <v>9</v>
      </c>
      <c r="C854">
        <v>6.575342465753424E-2</v>
      </c>
    </row>
    <row r="855" spans="1:3" x14ac:dyDescent="0.25">
      <c r="A855" t="s">
        <v>159</v>
      </c>
      <c r="B855">
        <v>10</v>
      </c>
      <c r="C855">
        <v>3.5616438356164383E-2</v>
      </c>
    </row>
    <row r="856" spans="1:3" x14ac:dyDescent="0.25">
      <c r="A856" t="s">
        <v>100</v>
      </c>
      <c r="B856">
        <v>15</v>
      </c>
      <c r="C856">
        <v>5.2054794520547946E-2</v>
      </c>
    </row>
    <row r="857" spans="1:3" x14ac:dyDescent="0.25">
      <c r="A857" t="s">
        <v>164</v>
      </c>
      <c r="B857">
        <v>11</v>
      </c>
      <c r="C857">
        <v>0.10684931506849316</v>
      </c>
    </row>
    <row r="858" spans="1:3" x14ac:dyDescent="0.25">
      <c r="A858" t="s">
        <v>151</v>
      </c>
      <c r="B858">
        <v>15</v>
      </c>
      <c r="C858">
        <v>7.6712328767123292E-2</v>
      </c>
    </row>
    <row r="859" spans="1:3" x14ac:dyDescent="0.25">
      <c r="A859" t="s">
        <v>174</v>
      </c>
      <c r="B859">
        <v>16</v>
      </c>
      <c r="C859">
        <v>0.10410958904109589</v>
      </c>
    </row>
    <row r="860" spans="1:3" x14ac:dyDescent="0.25">
      <c r="A860" t="s">
        <v>128</v>
      </c>
      <c r="B860">
        <v>16</v>
      </c>
      <c r="C860">
        <v>3.287671232876712E-2</v>
      </c>
    </row>
    <row r="861" spans="1:3" x14ac:dyDescent="0.25">
      <c r="A861" t="s">
        <v>189</v>
      </c>
      <c r="B861">
        <v>16</v>
      </c>
      <c r="C861">
        <v>7.9452054794520555E-2</v>
      </c>
    </row>
    <row r="862" spans="1:3" x14ac:dyDescent="0.25">
      <c r="A862" t="s">
        <v>122</v>
      </c>
      <c r="B862">
        <v>21</v>
      </c>
      <c r="C862">
        <v>9.0410958904109592E-2</v>
      </c>
    </row>
    <row r="863" spans="1:3" x14ac:dyDescent="0.25">
      <c r="A863" t="s">
        <v>34</v>
      </c>
      <c r="B863">
        <v>8</v>
      </c>
      <c r="C863">
        <v>7.9452054794520555E-2</v>
      </c>
    </row>
    <row r="864" spans="1:3" x14ac:dyDescent="0.25">
      <c r="A864" t="s">
        <v>101</v>
      </c>
      <c r="B864">
        <v>18</v>
      </c>
      <c r="C864">
        <v>4.3835616438356165E-2</v>
      </c>
    </row>
    <row r="865" spans="1:3" x14ac:dyDescent="0.25">
      <c r="A865" t="s">
        <v>167</v>
      </c>
      <c r="B865">
        <v>16</v>
      </c>
      <c r="C865">
        <v>4.6575342465753428E-2</v>
      </c>
    </row>
    <row r="866" spans="1:3" x14ac:dyDescent="0.25">
      <c r="A866" t="s">
        <v>183</v>
      </c>
      <c r="B866">
        <v>16</v>
      </c>
      <c r="C866">
        <v>3.287671232876712E-2</v>
      </c>
    </row>
    <row r="867" spans="1:3" x14ac:dyDescent="0.25">
      <c r="A867" t="s">
        <v>144</v>
      </c>
      <c r="B867">
        <v>16</v>
      </c>
      <c r="C867">
        <v>7.6712328767123292E-2</v>
      </c>
    </row>
    <row r="868" spans="1:3" x14ac:dyDescent="0.25">
      <c r="A868" t="s">
        <v>190</v>
      </c>
      <c r="B868">
        <v>19</v>
      </c>
      <c r="C868">
        <v>3.287671232876712E-2</v>
      </c>
    </row>
    <row r="869" spans="1:3" x14ac:dyDescent="0.25">
      <c r="A869" t="s">
        <v>100</v>
      </c>
      <c r="B869">
        <v>20</v>
      </c>
      <c r="C869">
        <v>4.3835616438356165E-2</v>
      </c>
    </row>
    <row r="870" spans="1:3" x14ac:dyDescent="0.25">
      <c r="A870" t="s">
        <v>132</v>
      </c>
      <c r="B870">
        <v>21</v>
      </c>
      <c r="C870">
        <v>3.287671232876712E-2</v>
      </c>
    </row>
    <row r="871" spans="1:3" x14ac:dyDescent="0.25">
      <c r="A871" t="s">
        <v>86</v>
      </c>
      <c r="B871">
        <v>21</v>
      </c>
      <c r="C871">
        <v>3.0136986301369864E-2</v>
      </c>
    </row>
    <row r="872" spans="1:3" x14ac:dyDescent="0.25">
      <c r="A872" t="s">
        <v>84</v>
      </c>
      <c r="B872">
        <v>19</v>
      </c>
      <c r="C872">
        <v>4.1095890410958902E-2</v>
      </c>
    </row>
    <row r="873" spans="1:3" x14ac:dyDescent="0.25">
      <c r="A873" t="s">
        <v>116</v>
      </c>
      <c r="B873">
        <v>18</v>
      </c>
      <c r="C873">
        <v>0.12328767123287671</v>
      </c>
    </row>
    <row r="874" spans="1:3" x14ac:dyDescent="0.25">
      <c r="A874" t="s">
        <v>21</v>
      </c>
      <c r="B874">
        <v>8</v>
      </c>
      <c r="C874">
        <v>7.9452054794520555E-2</v>
      </c>
    </row>
    <row r="875" spans="1:3" x14ac:dyDescent="0.25">
      <c r="A875" t="s">
        <v>130</v>
      </c>
      <c r="B875">
        <v>22</v>
      </c>
      <c r="C875">
        <v>9.5890410958904104E-2</v>
      </c>
    </row>
    <row r="876" spans="1:3" x14ac:dyDescent="0.25">
      <c r="A876" t="s">
        <v>78</v>
      </c>
      <c r="B876">
        <v>21</v>
      </c>
      <c r="C876">
        <v>4.3835616438356165E-2</v>
      </c>
    </row>
    <row r="877" spans="1:3" x14ac:dyDescent="0.25">
      <c r="A877" t="s">
        <v>116</v>
      </c>
      <c r="B877">
        <v>19</v>
      </c>
      <c r="C877">
        <v>7.9452054794520555E-2</v>
      </c>
    </row>
    <row r="878" spans="1:3" x14ac:dyDescent="0.25">
      <c r="A878" t="s">
        <v>84</v>
      </c>
      <c r="B878">
        <v>21</v>
      </c>
      <c r="C878">
        <v>4.1095890410958902E-2</v>
      </c>
    </row>
    <row r="879" spans="1:3" x14ac:dyDescent="0.25">
      <c r="A879" t="s">
        <v>86</v>
      </c>
      <c r="B879">
        <v>17</v>
      </c>
      <c r="C879">
        <v>3.0136986301369864E-2</v>
      </c>
    </row>
    <row r="880" spans="1:3" x14ac:dyDescent="0.25">
      <c r="A880" t="s">
        <v>152</v>
      </c>
      <c r="B880">
        <v>17</v>
      </c>
      <c r="C880">
        <v>7.6712328767123292E-2</v>
      </c>
    </row>
    <row r="881" spans="1:3" x14ac:dyDescent="0.25">
      <c r="A881" t="s">
        <v>32</v>
      </c>
      <c r="B881">
        <v>21</v>
      </c>
      <c r="C881">
        <v>7.9452054794520555E-2</v>
      </c>
    </row>
    <row r="882" spans="1:3" x14ac:dyDescent="0.25">
      <c r="A882" t="s">
        <v>42</v>
      </c>
      <c r="B882">
        <v>15</v>
      </c>
      <c r="C882">
        <v>7.6712328767123292E-2</v>
      </c>
    </row>
    <row r="883" spans="1:3" x14ac:dyDescent="0.25">
      <c r="A883" t="s">
        <v>145</v>
      </c>
      <c r="B883">
        <v>17</v>
      </c>
      <c r="C883">
        <v>4.1095890410958902E-2</v>
      </c>
    </row>
    <row r="884" spans="1:3" x14ac:dyDescent="0.25">
      <c r="A884" t="s">
        <v>25</v>
      </c>
      <c r="B884">
        <v>19</v>
      </c>
      <c r="C884">
        <v>7.6712328767123292E-2</v>
      </c>
    </row>
    <row r="885" spans="1:3" x14ac:dyDescent="0.25">
      <c r="A885" t="s">
        <v>191</v>
      </c>
      <c r="B885">
        <v>17</v>
      </c>
      <c r="C885">
        <v>4.1095890410958902E-2</v>
      </c>
    </row>
    <row r="886" spans="1:3" x14ac:dyDescent="0.25">
      <c r="A886" t="s">
        <v>143</v>
      </c>
      <c r="B886">
        <v>19</v>
      </c>
      <c r="C886">
        <v>7.3972602739726029E-2</v>
      </c>
    </row>
    <row r="887" spans="1:3" x14ac:dyDescent="0.25">
      <c r="A887" t="s">
        <v>155</v>
      </c>
      <c r="B887">
        <v>20</v>
      </c>
      <c r="C887">
        <v>7.1232876712328766E-2</v>
      </c>
    </row>
    <row r="888" spans="1:3" x14ac:dyDescent="0.25">
      <c r="A888" t="s">
        <v>34</v>
      </c>
      <c r="B888">
        <v>20</v>
      </c>
      <c r="C888">
        <v>7.6712328767123292E-2</v>
      </c>
    </row>
    <row r="889" spans="1:3" x14ac:dyDescent="0.25">
      <c r="A889" t="s">
        <v>65</v>
      </c>
      <c r="B889">
        <v>21</v>
      </c>
      <c r="C889">
        <v>6.0273972602739728E-2</v>
      </c>
    </row>
    <row r="890" spans="1:3" x14ac:dyDescent="0.25">
      <c r="A890" t="s">
        <v>121</v>
      </c>
      <c r="B890">
        <v>21</v>
      </c>
      <c r="C890">
        <v>7.6712328767123292E-2</v>
      </c>
    </row>
    <row r="891" spans="1:3" x14ac:dyDescent="0.25">
      <c r="A891" t="s">
        <v>23</v>
      </c>
      <c r="B891">
        <v>14</v>
      </c>
      <c r="C891">
        <v>7.3972602739726029E-2</v>
      </c>
    </row>
    <row r="892" spans="1:3" x14ac:dyDescent="0.25">
      <c r="A892" t="s">
        <v>163</v>
      </c>
      <c r="B892">
        <v>16</v>
      </c>
      <c r="C892">
        <v>9.3150684931506855E-2</v>
      </c>
    </row>
    <row r="893" spans="1:3" x14ac:dyDescent="0.25">
      <c r="A893" t="s">
        <v>116</v>
      </c>
      <c r="B893">
        <v>23</v>
      </c>
      <c r="C893">
        <v>3.8356164383561646E-2</v>
      </c>
    </row>
    <row r="894" spans="1:3" x14ac:dyDescent="0.25">
      <c r="A894" t="s">
        <v>132</v>
      </c>
      <c r="B894">
        <v>7</v>
      </c>
      <c r="C894">
        <v>2.7397260273972601E-2</v>
      </c>
    </row>
    <row r="895" spans="1:3" x14ac:dyDescent="0.25">
      <c r="A895" t="s">
        <v>73</v>
      </c>
      <c r="B895">
        <v>0</v>
      </c>
      <c r="C895">
        <v>6.3013698630136991E-2</v>
      </c>
    </row>
    <row r="896" spans="1:3" x14ac:dyDescent="0.25">
      <c r="A896" t="s">
        <v>109</v>
      </c>
      <c r="B896">
        <v>1</v>
      </c>
      <c r="C896">
        <v>4.9315068493150684E-2</v>
      </c>
    </row>
    <row r="897" spans="1:3" x14ac:dyDescent="0.25">
      <c r="A897" t="s">
        <v>111</v>
      </c>
      <c r="B897">
        <v>0</v>
      </c>
      <c r="C897">
        <v>5.2054794520547946E-2</v>
      </c>
    </row>
    <row r="898" spans="1:3" x14ac:dyDescent="0.25">
      <c r="A898" t="s">
        <v>92</v>
      </c>
      <c r="B898">
        <v>0</v>
      </c>
      <c r="C898">
        <v>3.8356164383561646E-2</v>
      </c>
    </row>
    <row r="899" spans="1:3" x14ac:dyDescent="0.25">
      <c r="A899" t="s">
        <v>106</v>
      </c>
      <c r="B899">
        <v>6</v>
      </c>
      <c r="C899">
        <v>1.3698630136986301E-2</v>
      </c>
    </row>
    <row r="900" spans="1:3" x14ac:dyDescent="0.25">
      <c r="A900" t="s">
        <v>105</v>
      </c>
      <c r="B900">
        <v>7</v>
      </c>
      <c r="C900">
        <v>5.2054794520547946E-2</v>
      </c>
    </row>
    <row r="901" spans="1:3" x14ac:dyDescent="0.25">
      <c r="A901" t="s">
        <v>114</v>
      </c>
      <c r="B901">
        <v>6</v>
      </c>
      <c r="C901">
        <v>5.4794520547945202E-2</v>
      </c>
    </row>
    <row r="902" spans="1:3" x14ac:dyDescent="0.25">
      <c r="A902" t="s">
        <v>21</v>
      </c>
      <c r="B902">
        <v>0</v>
      </c>
      <c r="C902">
        <v>7.3972602739726029E-2</v>
      </c>
    </row>
    <row r="903" spans="1:3" x14ac:dyDescent="0.25">
      <c r="A903" t="s">
        <v>149</v>
      </c>
      <c r="B903">
        <v>7</v>
      </c>
      <c r="C903">
        <v>5.7534246575342465E-2</v>
      </c>
    </row>
    <row r="904" spans="1:3" x14ac:dyDescent="0.25">
      <c r="A904" t="s">
        <v>105</v>
      </c>
      <c r="B904">
        <v>13</v>
      </c>
      <c r="C904">
        <v>0.1095890410958904</v>
      </c>
    </row>
    <row r="905" spans="1:3" x14ac:dyDescent="0.25">
      <c r="A905" t="s">
        <v>139</v>
      </c>
      <c r="B905">
        <v>11</v>
      </c>
      <c r="C905">
        <v>6.3013698630136991E-2</v>
      </c>
    </row>
    <row r="906" spans="1:3" x14ac:dyDescent="0.25">
      <c r="A906" t="s">
        <v>23</v>
      </c>
      <c r="B906">
        <v>7</v>
      </c>
      <c r="C906">
        <v>7.3972602739726029E-2</v>
      </c>
    </row>
    <row r="907" spans="1:3" x14ac:dyDescent="0.25">
      <c r="A907" t="s">
        <v>68</v>
      </c>
      <c r="B907">
        <v>13</v>
      </c>
      <c r="C907">
        <v>9.0410958904109592E-2</v>
      </c>
    </row>
    <row r="908" spans="1:3" x14ac:dyDescent="0.25">
      <c r="A908" t="s">
        <v>114</v>
      </c>
      <c r="B908">
        <v>12</v>
      </c>
      <c r="C908">
        <v>0.10410958904109589</v>
      </c>
    </row>
    <row r="909" spans="1:3" x14ac:dyDescent="0.25">
      <c r="A909" t="s">
        <v>105</v>
      </c>
      <c r="B909">
        <v>14</v>
      </c>
      <c r="C909">
        <v>0.1095890410958904</v>
      </c>
    </row>
    <row r="910" spans="1:3" x14ac:dyDescent="0.25">
      <c r="A910" t="s">
        <v>86</v>
      </c>
      <c r="B910">
        <v>12</v>
      </c>
      <c r="C910">
        <v>3.5616438356164383E-2</v>
      </c>
    </row>
    <row r="911" spans="1:3" x14ac:dyDescent="0.25">
      <c r="A911" t="s">
        <v>151</v>
      </c>
      <c r="B911">
        <v>13</v>
      </c>
      <c r="C911">
        <v>7.6712328767123292E-2</v>
      </c>
    </row>
    <row r="912" spans="1:3" x14ac:dyDescent="0.25">
      <c r="A912" t="s">
        <v>144</v>
      </c>
      <c r="B912">
        <v>12</v>
      </c>
      <c r="C912">
        <v>8.7671232876712329E-2</v>
      </c>
    </row>
    <row r="913" spans="1:3" x14ac:dyDescent="0.25">
      <c r="A913" t="s">
        <v>34</v>
      </c>
      <c r="B913">
        <v>11</v>
      </c>
      <c r="C913">
        <v>7.3972602739726029E-2</v>
      </c>
    </row>
    <row r="914" spans="1:3" x14ac:dyDescent="0.25">
      <c r="A914" t="s">
        <v>79</v>
      </c>
      <c r="B914">
        <v>8</v>
      </c>
      <c r="C914">
        <v>5.2054794520547946E-2</v>
      </c>
    </row>
    <row r="915" spans="1:3" x14ac:dyDescent="0.25">
      <c r="A915" t="s">
        <v>162</v>
      </c>
      <c r="B915">
        <v>9</v>
      </c>
      <c r="C915">
        <v>3.8356164383561646E-2</v>
      </c>
    </row>
    <row r="916" spans="1:3" x14ac:dyDescent="0.25">
      <c r="A916" t="s">
        <v>132</v>
      </c>
      <c r="B916">
        <v>14</v>
      </c>
      <c r="C916">
        <v>3.5616438356164383E-2</v>
      </c>
    </row>
    <row r="917" spans="1:3" x14ac:dyDescent="0.25">
      <c r="A917" t="s">
        <v>101</v>
      </c>
      <c r="B917">
        <v>11</v>
      </c>
      <c r="C917">
        <v>3.8356164383561646E-2</v>
      </c>
    </row>
    <row r="918" spans="1:3" x14ac:dyDescent="0.25">
      <c r="A918" t="s">
        <v>153</v>
      </c>
      <c r="B918">
        <v>13</v>
      </c>
      <c r="C918">
        <v>7.6712328767123292E-2</v>
      </c>
    </row>
    <row r="919" spans="1:3" x14ac:dyDescent="0.25">
      <c r="A919" t="s">
        <v>144</v>
      </c>
      <c r="B919">
        <v>11</v>
      </c>
      <c r="C919">
        <v>8.7671232876712329E-2</v>
      </c>
    </row>
    <row r="920" spans="1:3" x14ac:dyDescent="0.25">
      <c r="A920" t="s">
        <v>79</v>
      </c>
      <c r="B920">
        <v>11</v>
      </c>
      <c r="C920">
        <v>5.2054794520547946E-2</v>
      </c>
    </row>
    <row r="921" spans="1:3" x14ac:dyDescent="0.25">
      <c r="A921" t="s">
        <v>92</v>
      </c>
      <c r="B921">
        <v>8</v>
      </c>
      <c r="C921">
        <v>8.7671232876712329E-2</v>
      </c>
    </row>
    <row r="922" spans="1:3" x14ac:dyDescent="0.25">
      <c r="A922" t="s">
        <v>75</v>
      </c>
      <c r="B922">
        <v>13</v>
      </c>
      <c r="C922">
        <v>0.1095890410958904</v>
      </c>
    </row>
    <row r="923" spans="1:3" x14ac:dyDescent="0.25">
      <c r="A923" t="s">
        <v>132</v>
      </c>
      <c r="B923">
        <v>15</v>
      </c>
      <c r="C923">
        <v>3.5616438356164383E-2</v>
      </c>
    </row>
    <row r="924" spans="1:3" x14ac:dyDescent="0.25">
      <c r="A924" t="s">
        <v>156</v>
      </c>
      <c r="B924">
        <v>10</v>
      </c>
      <c r="C924">
        <v>0.10136986301369863</v>
      </c>
    </row>
    <row r="925" spans="1:3" x14ac:dyDescent="0.25">
      <c r="A925" t="s">
        <v>122</v>
      </c>
      <c r="B925">
        <v>8</v>
      </c>
      <c r="C925">
        <v>7.6712328767123292E-2</v>
      </c>
    </row>
    <row r="926" spans="1:3" x14ac:dyDescent="0.25">
      <c r="A926" t="s">
        <v>173</v>
      </c>
      <c r="B926">
        <v>9</v>
      </c>
      <c r="C926">
        <v>5.2054794520547946E-2</v>
      </c>
    </row>
    <row r="927" spans="1:3" x14ac:dyDescent="0.25">
      <c r="A927" t="s">
        <v>153</v>
      </c>
      <c r="B927">
        <v>10</v>
      </c>
      <c r="C927">
        <v>7.3972602739726029E-2</v>
      </c>
    </row>
    <row r="928" spans="1:3" x14ac:dyDescent="0.25">
      <c r="A928" t="s">
        <v>42</v>
      </c>
      <c r="B928">
        <v>20</v>
      </c>
      <c r="C928">
        <v>7.3972602739726029E-2</v>
      </c>
    </row>
    <row r="929" spans="1:3" x14ac:dyDescent="0.25">
      <c r="A929" t="s">
        <v>65</v>
      </c>
      <c r="B929">
        <v>8</v>
      </c>
      <c r="C929">
        <v>8.7671232876712329E-2</v>
      </c>
    </row>
    <row r="930" spans="1:3" x14ac:dyDescent="0.25">
      <c r="A930" t="s">
        <v>162</v>
      </c>
      <c r="B930">
        <v>14</v>
      </c>
      <c r="C930">
        <v>3.8356164383561646E-2</v>
      </c>
    </row>
    <row r="931" spans="1:3" x14ac:dyDescent="0.25">
      <c r="A931" t="s">
        <v>28</v>
      </c>
      <c r="B931">
        <v>21</v>
      </c>
      <c r="C931">
        <v>7.1232876712328766E-2</v>
      </c>
    </row>
    <row r="932" spans="1:3" x14ac:dyDescent="0.25">
      <c r="A932" t="s">
        <v>122</v>
      </c>
      <c r="B932">
        <v>11</v>
      </c>
      <c r="C932">
        <v>7.6712328767123292E-2</v>
      </c>
    </row>
    <row r="933" spans="1:3" x14ac:dyDescent="0.25">
      <c r="A933" t="s">
        <v>105</v>
      </c>
      <c r="B933">
        <v>11</v>
      </c>
      <c r="C933">
        <v>0.10684931506849316</v>
      </c>
    </row>
    <row r="934" spans="1:3" x14ac:dyDescent="0.25">
      <c r="A934" t="s">
        <v>96</v>
      </c>
      <c r="B934">
        <v>10</v>
      </c>
      <c r="C934">
        <v>3.5616438356164383E-2</v>
      </c>
    </row>
    <row r="935" spans="1:3" x14ac:dyDescent="0.25">
      <c r="A935" t="s">
        <v>155</v>
      </c>
      <c r="B935">
        <v>10</v>
      </c>
      <c r="C935">
        <v>8.2191780821917804E-2</v>
      </c>
    </row>
    <row r="936" spans="1:3" x14ac:dyDescent="0.25">
      <c r="A936" t="s">
        <v>155</v>
      </c>
      <c r="B936">
        <v>12</v>
      </c>
      <c r="C936">
        <v>8.2191780821917804E-2</v>
      </c>
    </row>
    <row r="937" spans="1:3" x14ac:dyDescent="0.25">
      <c r="A937" t="s">
        <v>76</v>
      </c>
      <c r="B937">
        <v>14</v>
      </c>
      <c r="C937">
        <v>7.6712328767123292E-2</v>
      </c>
    </row>
    <row r="938" spans="1:3" x14ac:dyDescent="0.25">
      <c r="A938" t="s">
        <v>192</v>
      </c>
      <c r="B938">
        <v>8</v>
      </c>
      <c r="C938">
        <v>3.8356164383561646E-2</v>
      </c>
    </row>
    <row r="939" spans="1:3" x14ac:dyDescent="0.25">
      <c r="A939" t="s">
        <v>80</v>
      </c>
      <c r="B939">
        <v>23</v>
      </c>
      <c r="C939">
        <v>8.7671232876712329E-2</v>
      </c>
    </row>
    <row r="940" spans="1:3" x14ac:dyDescent="0.25">
      <c r="A940" t="s">
        <v>127</v>
      </c>
      <c r="B940">
        <v>16</v>
      </c>
      <c r="C940">
        <v>5.7534246575342465E-2</v>
      </c>
    </row>
    <row r="941" spans="1:3" x14ac:dyDescent="0.25">
      <c r="A941" t="s">
        <v>121</v>
      </c>
      <c r="B941">
        <v>16</v>
      </c>
      <c r="C941">
        <v>0.10136986301369863</v>
      </c>
    </row>
    <row r="942" spans="1:3" x14ac:dyDescent="0.25">
      <c r="A942" t="s">
        <v>78</v>
      </c>
      <c r="B942">
        <v>16</v>
      </c>
      <c r="C942">
        <v>4.1095890410958902E-2</v>
      </c>
    </row>
    <row r="943" spans="1:3" x14ac:dyDescent="0.25">
      <c r="A943" t="s">
        <v>188</v>
      </c>
      <c r="B943">
        <v>19</v>
      </c>
      <c r="C943">
        <v>4.1095890410958902E-2</v>
      </c>
    </row>
    <row r="944" spans="1:3" x14ac:dyDescent="0.25">
      <c r="A944" t="s">
        <v>25</v>
      </c>
      <c r="B944">
        <v>9</v>
      </c>
      <c r="C944">
        <v>7.1232876712328766E-2</v>
      </c>
    </row>
    <row r="945" spans="1:3" x14ac:dyDescent="0.25">
      <c r="A945" t="s">
        <v>130</v>
      </c>
      <c r="B945">
        <v>18</v>
      </c>
      <c r="C945">
        <v>8.7671232876712329E-2</v>
      </c>
    </row>
    <row r="946" spans="1:3" x14ac:dyDescent="0.25">
      <c r="A946" t="s">
        <v>193</v>
      </c>
      <c r="B946">
        <v>16</v>
      </c>
      <c r="C946">
        <v>4.1095890410958902E-2</v>
      </c>
    </row>
    <row r="947" spans="1:3" x14ac:dyDescent="0.25">
      <c r="A947" t="s">
        <v>135</v>
      </c>
      <c r="B947">
        <v>17</v>
      </c>
      <c r="C947">
        <v>8.7671232876712329E-2</v>
      </c>
    </row>
    <row r="948" spans="1:3" x14ac:dyDescent="0.25">
      <c r="A948" t="s">
        <v>114</v>
      </c>
      <c r="B948">
        <v>20</v>
      </c>
      <c r="C948">
        <v>8.2191780821917804E-2</v>
      </c>
    </row>
    <row r="949" spans="1:3" x14ac:dyDescent="0.25">
      <c r="A949" t="s">
        <v>83</v>
      </c>
      <c r="B949">
        <v>20</v>
      </c>
      <c r="C949">
        <v>4.1095890410958902E-2</v>
      </c>
    </row>
    <row r="950" spans="1:3" x14ac:dyDescent="0.25">
      <c r="A950" t="s">
        <v>93</v>
      </c>
      <c r="B950">
        <v>16</v>
      </c>
      <c r="C950">
        <v>8.4931506849315067E-2</v>
      </c>
    </row>
    <row r="951" spans="1:3" x14ac:dyDescent="0.25">
      <c r="A951" t="s">
        <v>108</v>
      </c>
      <c r="B951">
        <v>18</v>
      </c>
      <c r="C951">
        <v>4.1095890410958902E-2</v>
      </c>
    </row>
    <row r="952" spans="1:3" x14ac:dyDescent="0.25">
      <c r="A952" t="s">
        <v>125</v>
      </c>
      <c r="B952">
        <v>22</v>
      </c>
      <c r="C952">
        <v>8.4931506849315067E-2</v>
      </c>
    </row>
    <row r="953" spans="1:3" x14ac:dyDescent="0.25">
      <c r="A953" t="s">
        <v>79</v>
      </c>
      <c r="B953">
        <v>18</v>
      </c>
      <c r="C953">
        <v>4.1095890410958902E-2</v>
      </c>
    </row>
    <row r="954" spans="1:3" x14ac:dyDescent="0.25">
      <c r="A954" t="s">
        <v>92</v>
      </c>
      <c r="B954">
        <v>23</v>
      </c>
      <c r="C954">
        <v>6.8493150684931503E-2</v>
      </c>
    </row>
    <row r="955" spans="1:3" x14ac:dyDescent="0.25">
      <c r="A955" t="s">
        <v>34</v>
      </c>
      <c r="B955">
        <v>19</v>
      </c>
      <c r="C955">
        <v>7.1232876712328766E-2</v>
      </c>
    </row>
    <row r="956" spans="1:3" x14ac:dyDescent="0.25">
      <c r="A956" t="s">
        <v>93</v>
      </c>
      <c r="B956">
        <v>2</v>
      </c>
      <c r="C956">
        <v>4.6575342465753428E-2</v>
      </c>
    </row>
    <row r="957" spans="1:3" x14ac:dyDescent="0.25">
      <c r="A957" t="s">
        <v>95</v>
      </c>
      <c r="B957">
        <v>7</v>
      </c>
      <c r="C957">
        <v>4.9315068493150684E-2</v>
      </c>
    </row>
    <row r="958" spans="1:3" x14ac:dyDescent="0.25">
      <c r="A958" t="s">
        <v>42</v>
      </c>
      <c r="B958">
        <v>8</v>
      </c>
      <c r="C958">
        <v>7.1232876712328766E-2</v>
      </c>
    </row>
    <row r="959" spans="1:3" x14ac:dyDescent="0.25">
      <c r="A959" t="s">
        <v>139</v>
      </c>
      <c r="B959">
        <v>0</v>
      </c>
      <c r="C959">
        <v>3.0136986301369864E-2</v>
      </c>
    </row>
    <row r="960" spans="1:3" x14ac:dyDescent="0.25">
      <c r="A960" t="s">
        <v>23</v>
      </c>
      <c r="B960">
        <v>8</v>
      </c>
      <c r="C960">
        <v>6.8493150684931503E-2</v>
      </c>
    </row>
    <row r="961" spans="1:3" x14ac:dyDescent="0.25">
      <c r="A961" t="s">
        <v>82</v>
      </c>
      <c r="B961">
        <v>2</v>
      </c>
      <c r="C961">
        <v>3.8356164383561646E-2</v>
      </c>
    </row>
    <row r="962" spans="1:3" x14ac:dyDescent="0.25">
      <c r="A962" t="s">
        <v>89</v>
      </c>
      <c r="B962">
        <v>4</v>
      </c>
      <c r="C962">
        <v>4.9315068493150684E-2</v>
      </c>
    </row>
    <row r="963" spans="1:3" x14ac:dyDescent="0.25">
      <c r="A963" t="s">
        <v>21</v>
      </c>
      <c r="B963">
        <v>23</v>
      </c>
      <c r="C963">
        <v>6.8493150684931503E-2</v>
      </c>
    </row>
    <row r="964" spans="1:3" x14ac:dyDescent="0.25">
      <c r="A964" t="s">
        <v>68</v>
      </c>
      <c r="B964">
        <v>2</v>
      </c>
      <c r="C964">
        <v>3.287671232876712E-2</v>
      </c>
    </row>
    <row r="965" spans="1:3" x14ac:dyDescent="0.25">
      <c r="A965" t="s">
        <v>25</v>
      </c>
      <c r="B965">
        <v>18</v>
      </c>
      <c r="C965">
        <v>6.575342465753424E-2</v>
      </c>
    </row>
    <row r="966" spans="1:3" x14ac:dyDescent="0.25">
      <c r="A966" t="s">
        <v>75</v>
      </c>
      <c r="B966">
        <v>3</v>
      </c>
      <c r="C966">
        <v>4.3835616438356165E-2</v>
      </c>
    </row>
    <row r="967" spans="1:3" x14ac:dyDescent="0.25">
      <c r="A967" t="s">
        <v>84</v>
      </c>
      <c r="B967">
        <v>15</v>
      </c>
      <c r="C967">
        <v>5.2054794520547946E-2</v>
      </c>
    </row>
    <row r="968" spans="1:3" x14ac:dyDescent="0.25">
      <c r="A968" t="s">
        <v>174</v>
      </c>
      <c r="B968">
        <v>12</v>
      </c>
      <c r="C968">
        <v>0.10136986301369863</v>
      </c>
    </row>
    <row r="969" spans="1:3" x14ac:dyDescent="0.25">
      <c r="A969" t="s">
        <v>163</v>
      </c>
      <c r="B969">
        <v>15</v>
      </c>
      <c r="C969">
        <v>7.3972602739726029E-2</v>
      </c>
    </row>
    <row r="970" spans="1:3" x14ac:dyDescent="0.25">
      <c r="A970" t="s">
        <v>43</v>
      </c>
      <c r="B970">
        <v>15</v>
      </c>
      <c r="C970">
        <v>6.575342465753424E-2</v>
      </c>
    </row>
    <row r="971" spans="1:3" x14ac:dyDescent="0.25">
      <c r="A971" t="s">
        <v>182</v>
      </c>
      <c r="B971">
        <v>13</v>
      </c>
      <c r="C971">
        <v>7.6712328767123292E-2</v>
      </c>
    </row>
    <row r="972" spans="1:3" x14ac:dyDescent="0.25">
      <c r="A972" t="s">
        <v>97</v>
      </c>
      <c r="B972">
        <v>14</v>
      </c>
      <c r="C972">
        <v>3.8356164383561646E-2</v>
      </c>
    </row>
    <row r="973" spans="1:3" x14ac:dyDescent="0.25">
      <c r="A973" t="s">
        <v>110</v>
      </c>
      <c r="B973">
        <v>12</v>
      </c>
      <c r="C973">
        <v>8.2191780821917804E-2</v>
      </c>
    </row>
    <row r="974" spans="1:3" x14ac:dyDescent="0.25">
      <c r="A974" t="s">
        <v>148</v>
      </c>
      <c r="B974">
        <v>13</v>
      </c>
      <c r="C974">
        <v>3.5616438356164383E-2</v>
      </c>
    </row>
    <row r="975" spans="1:3" x14ac:dyDescent="0.25">
      <c r="A975" t="s">
        <v>176</v>
      </c>
      <c r="B975">
        <v>13</v>
      </c>
      <c r="C975">
        <v>7.9452054794520555E-2</v>
      </c>
    </row>
    <row r="976" spans="1:3" x14ac:dyDescent="0.25">
      <c r="A976" t="s">
        <v>143</v>
      </c>
      <c r="B976">
        <v>10</v>
      </c>
      <c r="C976">
        <v>7.9452054794520555E-2</v>
      </c>
    </row>
    <row r="977" spans="1:3" x14ac:dyDescent="0.25">
      <c r="A977" t="s">
        <v>79</v>
      </c>
      <c r="B977">
        <v>14</v>
      </c>
      <c r="C977">
        <v>5.2054794520547946E-2</v>
      </c>
    </row>
    <row r="978" spans="1:3" x14ac:dyDescent="0.25">
      <c r="A978" t="s">
        <v>149</v>
      </c>
      <c r="B978">
        <v>13</v>
      </c>
      <c r="C978">
        <v>7.3972602739726029E-2</v>
      </c>
    </row>
    <row r="979" spans="1:3" x14ac:dyDescent="0.25">
      <c r="A979" t="s">
        <v>149</v>
      </c>
      <c r="B979">
        <v>8</v>
      </c>
      <c r="C979">
        <v>6.8493150684931503E-2</v>
      </c>
    </row>
    <row r="980" spans="1:3" x14ac:dyDescent="0.25">
      <c r="A980" t="s">
        <v>138</v>
      </c>
      <c r="B980">
        <v>13</v>
      </c>
      <c r="C980">
        <v>4.9315068493150684E-2</v>
      </c>
    </row>
    <row r="981" spans="1:3" x14ac:dyDescent="0.25">
      <c r="A981" t="s">
        <v>151</v>
      </c>
      <c r="B981">
        <v>14</v>
      </c>
      <c r="C981">
        <v>7.6712328767123292E-2</v>
      </c>
    </row>
    <row r="982" spans="1:3" x14ac:dyDescent="0.25">
      <c r="A982" t="s">
        <v>112</v>
      </c>
      <c r="B982">
        <v>14</v>
      </c>
      <c r="C982">
        <v>7.9452054794520555E-2</v>
      </c>
    </row>
    <row r="983" spans="1:3" x14ac:dyDescent="0.25">
      <c r="A983" t="s">
        <v>34</v>
      </c>
      <c r="B983">
        <v>12</v>
      </c>
      <c r="C983">
        <v>6.575342465753424E-2</v>
      </c>
    </row>
    <row r="984" spans="1:3" x14ac:dyDescent="0.25">
      <c r="A984" t="s">
        <v>99</v>
      </c>
      <c r="B984">
        <v>15</v>
      </c>
      <c r="C984">
        <v>8.7671232876712329E-2</v>
      </c>
    </row>
    <row r="985" spans="1:3" x14ac:dyDescent="0.25">
      <c r="A985" t="s">
        <v>124</v>
      </c>
      <c r="B985">
        <v>11</v>
      </c>
      <c r="C985">
        <v>3.287671232876712E-2</v>
      </c>
    </row>
    <row r="986" spans="1:3" x14ac:dyDescent="0.25">
      <c r="A986" t="s">
        <v>65</v>
      </c>
      <c r="B986">
        <v>12</v>
      </c>
      <c r="C986">
        <v>8.7671232876712329E-2</v>
      </c>
    </row>
    <row r="987" spans="1:3" x14ac:dyDescent="0.25">
      <c r="A987" t="s">
        <v>119</v>
      </c>
      <c r="B987">
        <v>13</v>
      </c>
      <c r="C987">
        <v>4.6575342465753428E-2</v>
      </c>
    </row>
    <row r="988" spans="1:3" x14ac:dyDescent="0.25">
      <c r="A988" t="s">
        <v>65</v>
      </c>
      <c r="B988">
        <v>15</v>
      </c>
      <c r="C988">
        <v>8.4931506849315067E-2</v>
      </c>
    </row>
    <row r="989" spans="1:3" x14ac:dyDescent="0.25">
      <c r="A989" t="s">
        <v>142</v>
      </c>
      <c r="B989">
        <v>14</v>
      </c>
      <c r="C989">
        <v>3.5616438356164383E-2</v>
      </c>
    </row>
    <row r="990" spans="1:3" x14ac:dyDescent="0.25">
      <c r="A990" t="s">
        <v>93</v>
      </c>
      <c r="B990">
        <v>9</v>
      </c>
      <c r="C990">
        <v>7.1232876712328766E-2</v>
      </c>
    </row>
    <row r="991" spans="1:3" x14ac:dyDescent="0.25">
      <c r="A991" t="s">
        <v>149</v>
      </c>
      <c r="B991">
        <v>15</v>
      </c>
      <c r="C991">
        <v>6.575342465753424E-2</v>
      </c>
    </row>
    <row r="992" spans="1:3" x14ac:dyDescent="0.25">
      <c r="A992" t="s">
        <v>122</v>
      </c>
      <c r="B992">
        <v>9</v>
      </c>
      <c r="C992">
        <v>7.1232876712328766E-2</v>
      </c>
    </row>
    <row r="993" spans="1:3" x14ac:dyDescent="0.25">
      <c r="A993" t="s">
        <v>155</v>
      </c>
      <c r="B993">
        <v>11</v>
      </c>
      <c r="C993">
        <v>7.6712328767123292E-2</v>
      </c>
    </row>
    <row r="994" spans="1:3" x14ac:dyDescent="0.25">
      <c r="A994" t="s">
        <v>136</v>
      </c>
      <c r="B994">
        <v>11</v>
      </c>
      <c r="C994">
        <v>3.5616438356164383E-2</v>
      </c>
    </row>
    <row r="995" spans="1:3" x14ac:dyDescent="0.25">
      <c r="A995" t="s">
        <v>152</v>
      </c>
      <c r="B995">
        <v>10</v>
      </c>
      <c r="C995">
        <v>7.6712328767123292E-2</v>
      </c>
    </row>
    <row r="996" spans="1:3" x14ac:dyDescent="0.25">
      <c r="A996" t="s">
        <v>138</v>
      </c>
      <c r="B996">
        <v>8</v>
      </c>
      <c r="C996">
        <v>4.6575342465753428E-2</v>
      </c>
    </row>
    <row r="997" spans="1:3" x14ac:dyDescent="0.25">
      <c r="A997" t="s">
        <v>160</v>
      </c>
      <c r="B997">
        <v>11</v>
      </c>
      <c r="C997">
        <v>9.8630136986301367E-2</v>
      </c>
    </row>
    <row r="998" spans="1:3" x14ac:dyDescent="0.25">
      <c r="A998" t="s">
        <v>100</v>
      </c>
      <c r="B998">
        <v>11</v>
      </c>
      <c r="C998">
        <v>4.6575342465753428E-2</v>
      </c>
    </row>
    <row r="999" spans="1:3" x14ac:dyDescent="0.25">
      <c r="A999" t="s">
        <v>139</v>
      </c>
      <c r="B999">
        <v>10</v>
      </c>
      <c r="C999">
        <v>5.7534246575342465E-2</v>
      </c>
    </row>
    <row r="1000" spans="1:3" x14ac:dyDescent="0.25">
      <c r="A1000" t="s">
        <v>102</v>
      </c>
      <c r="B1000">
        <v>16</v>
      </c>
      <c r="C1000">
        <v>3.8356164383561646E-2</v>
      </c>
    </row>
    <row r="1001" spans="1:3" x14ac:dyDescent="0.25">
      <c r="A1001" t="s">
        <v>108</v>
      </c>
      <c r="B1001">
        <v>22</v>
      </c>
      <c r="C1001">
        <v>4.1095890410958902E-2</v>
      </c>
    </row>
    <row r="1002" spans="1:3" x14ac:dyDescent="0.25">
      <c r="A1002" t="s">
        <v>190</v>
      </c>
      <c r="B1002">
        <v>18</v>
      </c>
      <c r="C1002">
        <v>3.0136986301369864E-2</v>
      </c>
    </row>
    <row r="1003" spans="1:3" x14ac:dyDescent="0.25">
      <c r="A1003" t="s">
        <v>110</v>
      </c>
      <c r="B1003">
        <v>20</v>
      </c>
      <c r="C1003">
        <v>6.8493150684931503E-2</v>
      </c>
    </row>
    <row r="1004" spans="1:3" x14ac:dyDescent="0.25">
      <c r="A1004" t="s">
        <v>139</v>
      </c>
      <c r="B1004">
        <v>18</v>
      </c>
      <c r="C1004">
        <v>4.6575342465753428E-2</v>
      </c>
    </row>
    <row r="1005" spans="1:3" x14ac:dyDescent="0.25">
      <c r="A1005" t="s">
        <v>189</v>
      </c>
      <c r="B1005">
        <v>17</v>
      </c>
      <c r="C1005">
        <v>6.575342465753424E-2</v>
      </c>
    </row>
    <row r="1006" spans="1:3" x14ac:dyDescent="0.25">
      <c r="A1006" t="s">
        <v>110</v>
      </c>
      <c r="B1006">
        <v>17</v>
      </c>
      <c r="C1006">
        <v>6.3013698630136991E-2</v>
      </c>
    </row>
    <row r="1007" spans="1:3" x14ac:dyDescent="0.25">
      <c r="A1007" t="s">
        <v>184</v>
      </c>
      <c r="B1007">
        <v>19</v>
      </c>
      <c r="C1007">
        <v>3.0136986301369864E-2</v>
      </c>
    </row>
    <row r="1008" spans="1:3" x14ac:dyDescent="0.25">
      <c r="A1008" t="s">
        <v>76</v>
      </c>
      <c r="B1008">
        <v>23</v>
      </c>
      <c r="C1008">
        <v>7.6712328767123292E-2</v>
      </c>
    </row>
    <row r="1009" spans="1:3" x14ac:dyDescent="0.25">
      <c r="A1009" t="s">
        <v>123</v>
      </c>
      <c r="B1009">
        <v>22</v>
      </c>
      <c r="C1009">
        <v>3.8356164383561646E-2</v>
      </c>
    </row>
    <row r="1010" spans="1:3" x14ac:dyDescent="0.25">
      <c r="A1010" t="s">
        <v>99</v>
      </c>
      <c r="B1010">
        <v>18</v>
      </c>
      <c r="C1010">
        <v>5.4794520547945202E-2</v>
      </c>
    </row>
    <row r="1011" spans="1:3" x14ac:dyDescent="0.25">
      <c r="A1011" t="s">
        <v>104</v>
      </c>
      <c r="B1011">
        <v>22</v>
      </c>
      <c r="C1011">
        <v>4.3835616438356165E-2</v>
      </c>
    </row>
    <row r="1012" spans="1:3" x14ac:dyDescent="0.25">
      <c r="A1012" t="s">
        <v>174</v>
      </c>
      <c r="B1012">
        <v>20</v>
      </c>
      <c r="C1012">
        <v>7.6712328767123292E-2</v>
      </c>
    </row>
    <row r="1013" spans="1:3" x14ac:dyDescent="0.25">
      <c r="A1013" t="s">
        <v>152</v>
      </c>
      <c r="B1013">
        <v>21</v>
      </c>
      <c r="C1013">
        <v>6.3013698630136991E-2</v>
      </c>
    </row>
    <row r="1014" spans="1:3" x14ac:dyDescent="0.25">
      <c r="A1014" t="s">
        <v>194</v>
      </c>
      <c r="B1014">
        <v>18</v>
      </c>
      <c r="C1014">
        <v>4.3835616438356165E-2</v>
      </c>
    </row>
    <row r="1015" spans="1:3" x14ac:dyDescent="0.25">
      <c r="A1015" t="s">
        <v>112</v>
      </c>
      <c r="B1015">
        <v>20</v>
      </c>
      <c r="C1015">
        <v>6.3013698630136991E-2</v>
      </c>
    </row>
    <row r="1016" spans="1:3" x14ac:dyDescent="0.25">
      <c r="A1016" t="s">
        <v>128</v>
      </c>
      <c r="B1016">
        <v>22</v>
      </c>
      <c r="C1016">
        <v>3.0136986301369864E-2</v>
      </c>
    </row>
    <row r="1017" spans="1:3" x14ac:dyDescent="0.25">
      <c r="A1017" t="s">
        <v>113</v>
      </c>
      <c r="B1017">
        <v>20</v>
      </c>
      <c r="C1017">
        <v>3.0136986301369864E-2</v>
      </c>
    </row>
    <row r="1018" spans="1:3" x14ac:dyDescent="0.25">
      <c r="A1018" t="s">
        <v>68</v>
      </c>
      <c r="B1018">
        <v>19</v>
      </c>
      <c r="C1018">
        <v>6.575342465753424E-2</v>
      </c>
    </row>
    <row r="1019" spans="1:3" x14ac:dyDescent="0.25">
      <c r="A1019" t="s">
        <v>42</v>
      </c>
      <c r="B1019">
        <v>22</v>
      </c>
      <c r="C1019">
        <v>6.575342465753424E-2</v>
      </c>
    </row>
    <row r="1020" spans="1:3" x14ac:dyDescent="0.25">
      <c r="A1020" t="s">
        <v>142</v>
      </c>
      <c r="B1020">
        <v>17</v>
      </c>
      <c r="C1020">
        <v>3.5616438356164383E-2</v>
      </c>
    </row>
    <row r="1021" spans="1:3" x14ac:dyDescent="0.25">
      <c r="A1021" t="s">
        <v>132</v>
      </c>
      <c r="B1021">
        <v>19</v>
      </c>
      <c r="C1021">
        <v>3.0136986301369864E-2</v>
      </c>
    </row>
    <row r="1022" spans="1:3" x14ac:dyDescent="0.25">
      <c r="A1022" t="s">
        <v>71</v>
      </c>
      <c r="B1022">
        <v>20</v>
      </c>
      <c r="C1022">
        <v>8.2191780821917804E-2</v>
      </c>
    </row>
    <row r="1023" spans="1:3" x14ac:dyDescent="0.25">
      <c r="A1023" t="s">
        <v>105</v>
      </c>
      <c r="B1023">
        <v>21</v>
      </c>
      <c r="C1023">
        <v>7.6712328767123292E-2</v>
      </c>
    </row>
    <row r="1024" spans="1:3" x14ac:dyDescent="0.25">
      <c r="A1024" t="s">
        <v>101</v>
      </c>
      <c r="B1024">
        <v>21</v>
      </c>
      <c r="C1024">
        <v>3.287671232876712E-2</v>
      </c>
    </row>
    <row r="1025" spans="1:3" x14ac:dyDescent="0.25">
      <c r="A1025" t="s">
        <v>129</v>
      </c>
      <c r="B1025">
        <v>21</v>
      </c>
      <c r="C1025">
        <v>8.4931506849315067E-2</v>
      </c>
    </row>
    <row r="1026" spans="1:3" x14ac:dyDescent="0.25">
      <c r="A1026" t="s">
        <v>143</v>
      </c>
      <c r="B1026">
        <v>23</v>
      </c>
      <c r="C1026">
        <v>6.3013698630136991E-2</v>
      </c>
    </row>
    <row r="1027" spans="1:3" x14ac:dyDescent="0.25">
      <c r="A1027" t="s">
        <v>122</v>
      </c>
      <c r="B1027">
        <v>17</v>
      </c>
      <c r="C1027">
        <v>8.4931506849315067E-2</v>
      </c>
    </row>
    <row r="1028" spans="1:3" x14ac:dyDescent="0.25">
      <c r="A1028" t="s">
        <v>110</v>
      </c>
      <c r="B1028">
        <v>23</v>
      </c>
      <c r="C1028">
        <v>6.3013698630136991E-2</v>
      </c>
    </row>
    <row r="1029" spans="1:3" x14ac:dyDescent="0.25">
      <c r="A1029" t="s">
        <v>42</v>
      </c>
      <c r="B1029">
        <v>12</v>
      </c>
      <c r="C1029">
        <v>6.575342465753424E-2</v>
      </c>
    </row>
    <row r="1030" spans="1:3" x14ac:dyDescent="0.25">
      <c r="A1030" t="s">
        <v>120</v>
      </c>
      <c r="B1030">
        <v>20</v>
      </c>
      <c r="C1030">
        <v>7.9452054794520555E-2</v>
      </c>
    </row>
    <row r="1031" spans="1:3" x14ac:dyDescent="0.25">
      <c r="A1031" t="s">
        <v>99</v>
      </c>
      <c r="B1031">
        <v>22</v>
      </c>
      <c r="C1031">
        <v>5.7534246575342465E-2</v>
      </c>
    </row>
    <row r="1032" spans="1:3" x14ac:dyDescent="0.25">
      <c r="A1032" t="s">
        <v>130</v>
      </c>
      <c r="B1032">
        <v>1</v>
      </c>
      <c r="C1032">
        <v>3.8356164383561646E-2</v>
      </c>
    </row>
    <row r="1033" spans="1:3" x14ac:dyDescent="0.25">
      <c r="A1033" t="s">
        <v>65</v>
      </c>
      <c r="B1033">
        <v>2</v>
      </c>
      <c r="C1033">
        <v>3.287671232876712E-2</v>
      </c>
    </row>
    <row r="1034" spans="1:3" x14ac:dyDescent="0.25">
      <c r="A1034" t="s">
        <v>125</v>
      </c>
      <c r="B1034">
        <v>7</v>
      </c>
      <c r="C1034">
        <v>4.6575342465753428E-2</v>
      </c>
    </row>
    <row r="1035" spans="1:3" x14ac:dyDescent="0.25">
      <c r="A1035" t="s">
        <v>129</v>
      </c>
      <c r="B1035">
        <v>0</v>
      </c>
      <c r="C1035">
        <v>4.3835616438356165E-2</v>
      </c>
    </row>
    <row r="1036" spans="1:3" x14ac:dyDescent="0.25">
      <c r="A1036" t="s">
        <v>91</v>
      </c>
      <c r="B1036">
        <v>5</v>
      </c>
      <c r="C1036">
        <v>4.3835616438356165E-2</v>
      </c>
    </row>
    <row r="1037" spans="1:3" x14ac:dyDescent="0.25">
      <c r="A1037" t="s">
        <v>89</v>
      </c>
      <c r="B1037">
        <v>3</v>
      </c>
      <c r="C1037">
        <v>4.6575342465753428E-2</v>
      </c>
    </row>
    <row r="1038" spans="1:3" x14ac:dyDescent="0.25">
      <c r="A1038" t="s">
        <v>183</v>
      </c>
      <c r="B1038">
        <v>7</v>
      </c>
      <c r="C1038">
        <v>2.1917808219178082E-2</v>
      </c>
    </row>
    <row r="1039" spans="1:3" x14ac:dyDescent="0.25">
      <c r="A1039" t="s">
        <v>109</v>
      </c>
      <c r="B1039">
        <v>0</v>
      </c>
      <c r="C1039">
        <v>4.1095890410958902E-2</v>
      </c>
    </row>
    <row r="1040" spans="1:3" x14ac:dyDescent="0.25">
      <c r="A1040" t="s">
        <v>73</v>
      </c>
      <c r="B1040">
        <v>6</v>
      </c>
      <c r="C1040">
        <v>4.6575342465753428E-2</v>
      </c>
    </row>
    <row r="1041" spans="1:3" x14ac:dyDescent="0.25">
      <c r="A1041" t="s">
        <v>163</v>
      </c>
      <c r="B1041">
        <v>7</v>
      </c>
      <c r="C1041">
        <v>4.6575342465753428E-2</v>
      </c>
    </row>
    <row r="1042" spans="1:3" x14ac:dyDescent="0.25">
      <c r="A1042" t="s">
        <v>195</v>
      </c>
      <c r="B1042">
        <v>13</v>
      </c>
      <c r="C1042">
        <v>4.3835616438356165E-2</v>
      </c>
    </row>
    <row r="1043" spans="1:3" x14ac:dyDescent="0.25">
      <c r="A1043" t="s">
        <v>133</v>
      </c>
      <c r="B1043">
        <v>14</v>
      </c>
      <c r="C1043">
        <v>0.10136986301369863</v>
      </c>
    </row>
    <row r="1044" spans="1:3" x14ac:dyDescent="0.25">
      <c r="A1044" t="s">
        <v>120</v>
      </c>
      <c r="B1044">
        <v>12</v>
      </c>
      <c r="C1044">
        <v>0.10136986301369863</v>
      </c>
    </row>
    <row r="1045" spans="1:3" x14ac:dyDescent="0.25">
      <c r="A1045" t="s">
        <v>23</v>
      </c>
      <c r="B1045">
        <v>21</v>
      </c>
      <c r="C1045">
        <v>6.3013698630136991E-2</v>
      </c>
    </row>
    <row r="1046" spans="1:3" x14ac:dyDescent="0.25">
      <c r="A1046" t="s">
        <v>28</v>
      </c>
      <c r="B1046">
        <v>7</v>
      </c>
      <c r="C1046">
        <v>6.3013698630136991E-2</v>
      </c>
    </row>
    <row r="1047" spans="1:3" x14ac:dyDescent="0.25">
      <c r="A1047" t="s">
        <v>106</v>
      </c>
      <c r="B1047">
        <v>9</v>
      </c>
      <c r="C1047">
        <v>7.1232876712328766E-2</v>
      </c>
    </row>
    <row r="1048" spans="1:3" x14ac:dyDescent="0.25">
      <c r="A1048" t="s">
        <v>84</v>
      </c>
      <c r="B1048">
        <v>12</v>
      </c>
      <c r="C1048">
        <v>4.3835616438356165E-2</v>
      </c>
    </row>
    <row r="1049" spans="1:3" x14ac:dyDescent="0.25">
      <c r="A1049" t="s">
        <v>196</v>
      </c>
      <c r="B1049">
        <v>8</v>
      </c>
      <c r="C1049">
        <v>3.5616438356164383E-2</v>
      </c>
    </row>
    <row r="1050" spans="1:3" x14ac:dyDescent="0.25">
      <c r="A1050" t="s">
        <v>187</v>
      </c>
      <c r="B1050">
        <v>13</v>
      </c>
      <c r="C1050">
        <v>6.575342465753424E-2</v>
      </c>
    </row>
    <row r="1051" spans="1:3" x14ac:dyDescent="0.25">
      <c r="A1051" t="s">
        <v>134</v>
      </c>
      <c r="B1051">
        <v>8</v>
      </c>
      <c r="C1051">
        <v>9.5890410958904104E-2</v>
      </c>
    </row>
    <row r="1052" spans="1:3" x14ac:dyDescent="0.25">
      <c r="A1052" t="s">
        <v>151</v>
      </c>
      <c r="B1052">
        <v>11</v>
      </c>
      <c r="C1052">
        <v>7.1232876712328766E-2</v>
      </c>
    </row>
    <row r="1053" spans="1:3" x14ac:dyDescent="0.25">
      <c r="A1053" t="s">
        <v>115</v>
      </c>
      <c r="B1053">
        <v>8</v>
      </c>
      <c r="C1053">
        <v>8.2191780821917804E-2</v>
      </c>
    </row>
    <row r="1054" spans="1:3" x14ac:dyDescent="0.25">
      <c r="A1054" t="s">
        <v>168</v>
      </c>
      <c r="B1054">
        <v>13</v>
      </c>
      <c r="C1054">
        <v>6.8493150684931503E-2</v>
      </c>
    </row>
    <row r="1055" spans="1:3" x14ac:dyDescent="0.25">
      <c r="A1055" t="s">
        <v>25</v>
      </c>
      <c r="B1055">
        <v>17</v>
      </c>
      <c r="C1055">
        <v>6.3013698630136991E-2</v>
      </c>
    </row>
    <row r="1056" spans="1:3" x14ac:dyDescent="0.25">
      <c r="A1056" t="s">
        <v>87</v>
      </c>
      <c r="B1056">
        <v>15</v>
      </c>
      <c r="C1056">
        <v>3.5616438356164383E-2</v>
      </c>
    </row>
    <row r="1057" spans="1:3" x14ac:dyDescent="0.25">
      <c r="A1057" t="s">
        <v>34</v>
      </c>
      <c r="B1057">
        <v>23</v>
      </c>
      <c r="C1057">
        <v>6.3013698630136991E-2</v>
      </c>
    </row>
    <row r="1058" spans="1:3" x14ac:dyDescent="0.25">
      <c r="A1058" t="s">
        <v>155</v>
      </c>
      <c r="B1058">
        <v>9</v>
      </c>
      <c r="C1058">
        <v>7.3972602739726029E-2</v>
      </c>
    </row>
    <row r="1059" spans="1:3" x14ac:dyDescent="0.25">
      <c r="A1059" t="s">
        <v>121</v>
      </c>
      <c r="B1059">
        <v>13</v>
      </c>
      <c r="C1059">
        <v>7.6712328767123292E-2</v>
      </c>
    </row>
    <row r="1060" spans="1:3" x14ac:dyDescent="0.25">
      <c r="A1060" t="s">
        <v>138</v>
      </c>
      <c r="B1060">
        <v>15</v>
      </c>
      <c r="C1060">
        <v>4.3835616438356165E-2</v>
      </c>
    </row>
    <row r="1061" spans="1:3" x14ac:dyDescent="0.25">
      <c r="A1061" t="s">
        <v>43</v>
      </c>
      <c r="B1061">
        <v>17</v>
      </c>
      <c r="C1061">
        <v>6.0273972602739728E-2</v>
      </c>
    </row>
    <row r="1062" spans="1:3" x14ac:dyDescent="0.25">
      <c r="A1062" t="s">
        <v>119</v>
      </c>
      <c r="B1062">
        <v>10</v>
      </c>
      <c r="C1062">
        <v>4.3835616438356165E-2</v>
      </c>
    </row>
    <row r="1063" spans="1:3" x14ac:dyDescent="0.25">
      <c r="A1063" t="s">
        <v>108</v>
      </c>
      <c r="B1063">
        <v>11</v>
      </c>
      <c r="C1063">
        <v>4.3835616438356165E-2</v>
      </c>
    </row>
    <row r="1064" spans="1:3" x14ac:dyDescent="0.25">
      <c r="A1064" t="s">
        <v>108</v>
      </c>
      <c r="B1064">
        <v>15</v>
      </c>
      <c r="C1064">
        <v>4.1095890410958902E-2</v>
      </c>
    </row>
    <row r="1065" spans="1:3" x14ac:dyDescent="0.25">
      <c r="A1065" t="s">
        <v>115</v>
      </c>
      <c r="B1065">
        <v>15</v>
      </c>
      <c r="C1065">
        <v>7.6712328767123292E-2</v>
      </c>
    </row>
    <row r="1066" spans="1:3" x14ac:dyDescent="0.25">
      <c r="A1066" t="s">
        <v>71</v>
      </c>
      <c r="B1066">
        <v>12</v>
      </c>
      <c r="C1066">
        <v>7.6712328767123292E-2</v>
      </c>
    </row>
    <row r="1067" spans="1:3" x14ac:dyDescent="0.25">
      <c r="A1067" t="s">
        <v>99</v>
      </c>
      <c r="B1067">
        <v>12</v>
      </c>
      <c r="C1067">
        <v>7.6712328767123292E-2</v>
      </c>
    </row>
    <row r="1068" spans="1:3" x14ac:dyDescent="0.25">
      <c r="A1068" t="s">
        <v>156</v>
      </c>
      <c r="B1068">
        <v>14</v>
      </c>
      <c r="C1068">
        <v>9.5890410958904104E-2</v>
      </c>
    </row>
    <row r="1069" spans="1:3" x14ac:dyDescent="0.25">
      <c r="A1069" t="s">
        <v>140</v>
      </c>
      <c r="B1069">
        <v>15</v>
      </c>
      <c r="C1069">
        <v>3.0136986301369864E-2</v>
      </c>
    </row>
    <row r="1070" spans="1:3" x14ac:dyDescent="0.25">
      <c r="A1070" t="s">
        <v>146</v>
      </c>
      <c r="B1070">
        <v>15</v>
      </c>
      <c r="C1070">
        <v>3.5616438356164383E-2</v>
      </c>
    </row>
    <row r="1071" spans="1:3" x14ac:dyDescent="0.25">
      <c r="A1071" t="s">
        <v>193</v>
      </c>
      <c r="B1071">
        <v>8</v>
      </c>
      <c r="C1071">
        <v>3.5616438356164383E-2</v>
      </c>
    </row>
    <row r="1072" spans="1:3" x14ac:dyDescent="0.25">
      <c r="A1072" t="s">
        <v>111</v>
      </c>
      <c r="B1072">
        <v>8</v>
      </c>
      <c r="C1072">
        <v>9.8630136986301367E-2</v>
      </c>
    </row>
    <row r="1073" spans="1:3" x14ac:dyDescent="0.25">
      <c r="A1073" t="s">
        <v>197</v>
      </c>
      <c r="B1073">
        <v>9</v>
      </c>
      <c r="C1073">
        <v>3.0136986301369864E-2</v>
      </c>
    </row>
    <row r="1074" spans="1:3" x14ac:dyDescent="0.25">
      <c r="A1074" t="s">
        <v>138</v>
      </c>
      <c r="B1074">
        <v>21</v>
      </c>
      <c r="C1074">
        <v>4.1095890410958902E-2</v>
      </c>
    </row>
    <row r="1075" spans="1:3" x14ac:dyDescent="0.25">
      <c r="A1075" t="s">
        <v>102</v>
      </c>
      <c r="B1075">
        <v>20</v>
      </c>
      <c r="C1075">
        <v>3.5616438356164383E-2</v>
      </c>
    </row>
    <row r="1076" spans="1:3" x14ac:dyDescent="0.25">
      <c r="A1076" t="s">
        <v>173</v>
      </c>
      <c r="B1076">
        <v>20</v>
      </c>
      <c r="C1076">
        <v>3.8356164383561646E-2</v>
      </c>
    </row>
    <row r="1077" spans="1:3" x14ac:dyDescent="0.25">
      <c r="A1077" t="s">
        <v>135</v>
      </c>
      <c r="B1077">
        <v>19</v>
      </c>
      <c r="C1077">
        <v>8.2191780821917804E-2</v>
      </c>
    </row>
    <row r="1078" spans="1:3" x14ac:dyDescent="0.25">
      <c r="A1078" t="s">
        <v>198</v>
      </c>
      <c r="B1078">
        <v>17</v>
      </c>
      <c r="C1078">
        <v>3.287671232876712E-2</v>
      </c>
    </row>
    <row r="1079" spans="1:3" x14ac:dyDescent="0.25">
      <c r="A1079" t="s">
        <v>67</v>
      </c>
      <c r="B1079">
        <v>21</v>
      </c>
      <c r="C1079">
        <v>8.2191780821917804E-2</v>
      </c>
    </row>
    <row r="1080" spans="1:3" x14ac:dyDescent="0.25">
      <c r="A1080" t="s">
        <v>117</v>
      </c>
      <c r="B1080">
        <v>22</v>
      </c>
      <c r="C1080">
        <v>8.2191780821917804E-2</v>
      </c>
    </row>
    <row r="1081" spans="1:3" x14ac:dyDescent="0.25">
      <c r="A1081" t="s">
        <v>76</v>
      </c>
      <c r="B1081">
        <v>19</v>
      </c>
      <c r="C1081">
        <v>7.6712328767123292E-2</v>
      </c>
    </row>
    <row r="1082" spans="1:3" x14ac:dyDescent="0.25">
      <c r="A1082" t="s">
        <v>76</v>
      </c>
      <c r="B1082">
        <v>20</v>
      </c>
      <c r="C1082">
        <v>7.1232876712328766E-2</v>
      </c>
    </row>
    <row r="1083" spans="1:3" x14ac:dyDescent="0.25">
      <c r="A1083" t="s">
        <v>149</v>
      </c>
      <c r="B1083">
        <v>17</v>
      </c>
      <c r="C1083">
        <v>7.1232876712328766E-2</v>
      </c>
    </row>
    <row r="1084" spans="1:3" x14ac:dyDescent="0.25">
      <c r="A1084" t="s">
        <v>91</v>
      </c>
      <c r="B1084">
        <v>23</v>
      </c>
      <c r="C1084">
        <v>6.575342465753424E-2</v>
      </c>
    </row>
    <row r="1085" spans="1:3" x14ac:dyDescent="0.25">
      <c r="A1085" t="s">
        <v>81</v>
      </c>
      <c r="B1085">
        <v>23</v>
      </c>
      <c r="C1085">
        <v>6.8493150684931503E-2</v>
      </c>
    </row>
    <row r="1086" spans="1:3" x14ac:dyDescent="0.25">
      <c r="A1086" t="s">
        <v>168</v>
      </c>
      <c r="B1086">
        <v>18</v>
      </c>
      <c r="C1086">
        <v>7.9452054794520555E-2</v>
      </c>
    </row>
    <row r="1087" spans="1:3" x14ac:dyDescent="0.25">
      <c r="A1087" t="s">
        <v>95</v>
      </c>
      <c r="B1087">
        <v>21</v>
      </c>
      <c r="C1087">
        <v>9.8630136986301367E-2</v>
      </c>
    </row>
    <row r="1088" spans="1:3" x14ac:dyDescent="0.25">
      <c r="A1088" t="s">
        <v>165</v>
      </c>
      <c r="B1088">
        <v>22</v>
      </c>
      <c r="C1088">
        <v>5.4794520547945206E-3</v>
      </c>
    </row>
    <row r="1089" spans="1:3" x14ac:dyDescent="0.25">
      <c r="A1089" t="s">
        <v>95</v>
      </c>
      <c r="B1089">
        <v>22</v>
      </c>
      <c r="C1089">
        <v>0.10684931506849316</v>
      </c>
    </row>
    <row r="1090" spans="1:3" x14ac:dyDescent="0.25">
      <c r="A1090" t="s">
        <v>34</v>
      </c>
      <c r="B1090">
        <v>14</v>
      </c>
      <c r="C1090">
        <v>6.0273972602739728E-2</v>
      </c>
    </row>
    <row r="1091" spans="1:3" x14ac:dyDescent="0.25">
      <c r="A1091" t="s">
        <v>181</v>
      </c>
      <c r="B1091">
        <v>19</v>
      </c>
      <c r="C1091">
        <v>2.7397260273972601E-2</v>
      </c>
    </row>
    <row r="1092" spans="1:3" x14ac:dyDescent="0.25">
      <c r="A1092" t="s">
        <v>133</v>
      </c>
      <c r="B1092">
        <v>7</v>
      </c>
      <c r="C1092">
        <v>4.3835616438356165E-2</v>
      </c>
    </row>
    <row r="1093" spans="1:3" x14ac:dyDescent="0.25">
      <c r="A1093" t="s">
        <v>97</v>
      </c>
      <c r="B1093">
        <v>2</v>
      </c>
      <c r="C1093">
        <v>1.643835616438356E-2</v>
      </c>
    </row>
    <row r="1094" spans="1:3" x14ac:dyDescent="0.25">
      <c r="A1094" t="s">
        <v>30</v>
      </c>
      <c r="B1094">
        <v>23</v>
      </c>
      <c r="C1094">
        <v>6.0273972602739728E-2</v>
      </c>
    </row>
    <row r="1095" spans="1:3" x14ac:dyDescent="0.25">
      <c r="A1095" t="s">
        <v>114</v>
      </c>
      <c r="B1095">
        <v>1</v>
      </c>
      <c r="C1095">
        <v>4.3835616438356165E-2</v>
      </c>
    </row>
    <row r="1096" spans="1:3" x14ac:dyDescent="0.25">
      <c r="A1096" t="s">
        <v>117</v>
      </c>
      <c r="B1096">
        <v>5</v>
      </c>
      <c r="C1096">
        <v>3.8356164383561646E-2</v>
      </c>
    </row>
    <row r="1097" spans="1:3" x14ac:dyDescent="0.25">
      <c r="A1097" t="s">
        <v>138</v>
      </c>
      <c r="B1097">
        <v>0</v>
      </c>
      <c r="C1097">
        <v>2.7397260273972601E-2</v>
      </c>
    </row>
    <row r="1098" spans="1:3" x14ac:dyDescent="0.25">
      <c r="A1098" t="s">
        <v>87</v>
      </c>
      <c r="B1098">
        <v>5</v>
      </c>
      <c r="C1098">
        <v>1.643835616438356E-2</v>
      </c>
    </row>
    <row r="1099" spans="1:3" x14ac:dyDescent="0.25">
      <c r="A1099" t="s">
        <v>116</v>
      </c>
      <c r="B1099">
        <v>1</v>
      </c>
      <c r="C1099">
        <v>3.287671232876712E-2</v>
      </c>
    </row>
    <row r="1100" spans="1:3" x14ac:dyDescent="0.25">
      <c r="A1100" t="s">
        <v>92</v>
      </c>
      <c r="B1100">
        <v>2</v>
      </c>
      <c r="C1100">
        <v>3.5616438356164383E-2</v>
      </c>
    </row>
    <row r="1101" spans="1:3" x14ac:dyDescent="0.25">
      <c r="A1101" t="s">
        <v>28</v>
      </c>
      <c r="B1101">
        <v>23</v>
      </c>
      <c r="C1101">
        <v>5.7534246575342465E-2</v>
      </c>
    </row>
    <row r="1102" spans="1:3" x14ac:dyDescent="0.25">
      <c r="A1102" t="s">
        <v>150</v>
      </c>
      <c r="B1102">
        <v>0</v>
      </c>
      <c r="C1102">
        <v>4.3835616438356165E-2</v>
      </c>
    </row>
    <row r="1103" spans="1:3" x14ac:dyDescent="0.25">
      <c r="A1103" t="s">
        <v>81</v>
      </c>
      <c r="B1103">
        <v>2</v>
      </c>
      <c r="C1103">
        <v>4.3835616438356165E-2</v>
      </c>
    </row>
    <row r="1104" spans="1:3" x14ac:dyDescent="0.25">
      <c r="A1104" t="s">
        <v>164</v>
      </c>
      <c r="B1104">
        <v>6</v>
      </c>
      <c r="C1104">
        <v>4.1095890410958902E-2</v>
      </c>
    </row>
    <row r="1105" spans="1:3" x14ac:dyDescent="0.25">
      <c r="A1105" t="s">
        <v>80</v>
      </c>
      <c r="B1105">
        <v>3</v>
      </c>
      <c r="C1105">
        <v>4.3835616438356165E-2</v>
      </c>
    </row>
    <row r="1106" spans="1:3" x14ac:dyDescent="0.25">
      <c r="A1106" t="s">
        <v>182</v>
      </c>
      <c r="B1106">
        <v>9</v>
      </c>
      <c r="C1106">
        <v>6.8493150684931503E-2</v>
      </c>
    </row>
    <row r="1107" spans="1:3" x14ac:dyDescent="0.25">
      <c r="A1107" t="s">
        <v>75</v>
      </c>
      <c r="B1107">
        <v>10</v>
      </c>
      <c r="C1107">
        <v>0.10136986301369863</v>
      </c>
    </row>
    <row r="1108" spans="1:3" x14ac:dyDescent="0.25">
      <c r="A1108" t="s">
        <v>161</v>
      </c>
      <c r="B1108">
        <v>9</v>
      </c>
      <c r="C1108">
        <v>4.1095890410958902E-2</v>
      </c>
    </row>
    <row r="1109" spans="1:3" x14ac:dyDescent="0.25">
      <c r="A1109" t="s">
        <v>138</v>
      </c>
      <c r="B1109">
        <v>11</v>
      </c>
      <c r="C1109">
        <v>4.1095890410958902E-2</v>
      </c>
    </row>
    <row r="1110" spans="1:3" x14ac:dyDescent="0.25">
      <c r="A1110" t="s">
        <v>86</v>
      </c>
      <c r="B1110">
        <v>9</v>
      </c>
      <c r="C1110">
        <v>3.0136986301369864E-2</v>
      </c>
    </row>
    <row r="1111" spans="1:3" x14ac:dyDescent="0.25">
      <c r="A1111" t="s">
        <v>134</v>
      </c>
      <c r="B1111">
        <v>13</v>
      </c>
      <c r="C1111">
        <v>9.3150684931506855E-2</v>
      </c>
    </row>
    <row r="1112" spans="1:3" x14ac:dyDescent="0.25">
      <c r="A1112" t="s">
        <v>199</v>
      </c>
      <c r="B1112">
        <v>13</v>
      </c>
      <c r="C1112">
        <v>3.0136986301369864E-2</v>
      </c>
    </row>
    <row r="1113" spans="1:3" x14ac:dyDescent="0.25">
      <c r="A1113" t="s">
        <v>84</v>
      </c>
      <c r="B1113">
        <v>13</v>
      </c>
      <c r="C1113">
        <v>4.1095890410958902E-2</v>
      </c>
    </row>
    <row r="1114" spans="1:3" x14ac:dyDescent="0.25">
      <c r="A1114" t="s">
        <v>121</v>
      </c>
      <c r="B1114">
        <v>12</v>
      </c>
      <c r="C1114">
        <v>7.3972602739726029E-2</v>
      </c>
    </row>
    <row r="1115" spans="1:3" x14ac:dyDescent="0.25">
      <c r="A1115" t="s">
        <v>161</v>
      </c>
      <c r="B1115">
        <v>14</v>
      </c>
      <c r="C1115">
        <v>4.1095890410958902E-2</v>
      </c>
    </row>
    <row r="1116" spans="1:3" x14ac:dyDescent="0.25">
      <c r="A1116" t="s">
        <v>23</v>
      </c>
      <c r="B1116">
        <v>12</v>
      </c>
      <c r="C1116">
        <v>5.7534246575342465E-2</v>
      </c>
    </row>
    <row r="1117" spans="1:3" x14ac:dyDescent="0.25">
      <c r="A1117" t="s">
        <v>200</v>
      </c>
      <c r="B1117">
        <v>15</v>
      </c>
      <c r="C1117">
        <v>7.3972602739726029E-2</v>
      </c>
    </row>
    <row r="1118" spans="1:3" x14ac:dyDescent="0.25">
      <c r="A1118" t="s">
        <v>93</v>
      </c>
      <c r="B1118">
        <v>14</v>
      </c>
      <c r="C1118">
        <v>6.575342465753424E-2</v>
      </c>
    </row>
    <row r="1119" spans="1:3" x14ac:dyDescent="0.25">
      <c r="A1119" t="s">
        <v>187</v>
      </c>
      <c r="B1119">
        <v>8</v>
      </c>
      <c r="C1119">
        <v>6.3013698630136991E-2</v>
      </c>
    </row>
    <row r="1120" spans="1:3" x14ac:dyDescent="0.25">
      <c r="A1120" t="s">
        <v>107</v>
      </c>
      <c r="B1120">
        <v>21</v>
      </c>
      <c r="C1120">
        <v>7.9452054794520555E-2</v>
      </c>
    </row>
    <row r="1121" spans="1:3" x14ac:dyDescent="0.25">
      <c r="A1121" t="s">
        <v>117</v>
      </c>
      <c r="B1121">
        <v>23</v>
      </c>
      <c r="C1121">
        <v>7.6712328767123292E-2</v>
      </c>
    </row>
    <row r="1122" spans="1:3" x14ac:dyDescent="0.25">
      <c r="A1122" t="s">
        <v>154</v>
      </c>
      <c r="B1122">
        <v>17</v>
      </c>
      <c r="C1122">
        <v>2.7397260273972601E-2</v>
      </c>
    </row>
    <row r="1123" spans="1:3" x14ac:dyDescent="0.25">
      <c r="A1123" t="s">
        <v>153</v>
      </c>
      <c r="B1123">
        <v>18</v>
      </c>
      <c r="C1123">
        <v>6.8493150684931503E-2</v>
      </c>
    </row>
    <row r="1124" spans="1:3" x14ac:dyDescent="0.25">
      <c r="A1124" t="s">
        <v>182</v>
      </c>
      <c r="B1124">
        <v>17</v>
      </c>
      <c r="C1124">
        <v>7.6712328767123292E-2</v>
      </c>
    </row>
    <row r="1125" spans="1:3" x14ac:dyDescent="0.25">
      <c r="A1125" t="s">
        <v>81</v>
      </c>
      <c r="B1125">
        <v>22</v>
      </c>
      <c r="C1125">
        <v>6.8493150684931503E-2</v>
      </c>
    </row>
    <row r="1126" spans="1:3" x14ac:dyDescent="0.25">
      <c r="A1126" t="s">
        <v>201</v>
      </c>
      <c r="B1126">
        <v>18</v>
      </c>
      <c r="C1126">
        <v>7.6712328767123292E-2</v>
      </c>
    </row>
    <row r="1127" spans="1:3" x14ac:dyDescent="0.25">
      <c r="A1127" t="s">
        <v>160</v>
      </c>
      <c r="B1127">
        <v>19</v>
      </c>
      <c r="C1127">
        <v>7.3972602739726029E-2</v>
      </c>
    </row>
    <row r="1128" spans="1:3" x14ac:dyDescent="0.25">
      <c r="A1128" t="s">
        <v>43</v>
      </c>
      <c r="B1128">
        <v>13</v>
      </c>
      <c r="C1128">
        <v>5.7534246575342465E-2</v>
      </c>
    </row>
    <row r="1129" spans="1:3" x14ac:dyDescent="0.25">
      <c r="A1129" t="s">
        <v>110</v>
      </c>
      <c r="B1129">
        <v>22</v>
      </c>
      <c r="C1129">
        <v>6.0273972602739728E-2</v>
      </c>
    </row>
    <row r="1130" spans="1:3" x14ac:dyDescent="0.25">
      <c r="A1130" t="s">
        <v>73</v>
      </c>
      <c r="B1130">
        <v>22</v>
      </c>
      <c r="C1130">
        <v>6.0273972602739728E-2</v>
      </c>
    </row>
    <row r="1131" spans="1:3" x14ac:dyDescent="0.25">
      <c r="A1131" t="s">
        <v>134</v>
      </c>
      <c r="B1131">
        <v>20</v>
      </c>
      <c r="C1131">
        <v>7.1232876712328766E-2</v>
      </c>
    </row>
    <row r="1132" spans="1:3" x14ac:dyDescent="0.25">
      <c r="A1132" t="s">
        <v>179</v>
      </c>
      <c r="B1132">
        <v>23</v>
      </c>
      <c r="C1132">
        <v>1.9178082191780823E-2</v>
      </c>
    </row>
    <row r="1133" spans="1:3" x14ac:dyDescent="0.25">
      <c r="A1133" t="s">
        <v>184</v>
      </c>
      <c r="B1133">
        <v>17</v>
      </c>
      <c r="C1133">
        <v>2.7397260273972601E-2</v>
      </c>
    </row>
    <row r="1134" spans="1:3" x14ac:dyDescent="0.25">
      <c r="A1134" t="s">
        <v>68</v>
      </c>
      <c r="B1134">
        <v>0</v>
      </c>
      <c r="C1134">
        <v>3.0136986301369864E-2</v>
      </c>
    </row>
    <row r="1135" spans="1:3" x14ac:dyDescent="0.25">
      <c r="A1135" t="s">
        <v>117</v>
      </c>
      <c r="B1135">
        <v>4</v>
      </c>
      <c r="C1135">
        <v>3.8356164383561646E-2</v>
      </c>
    </row>
    <row r="1136" spans="1:3" x14ac:dyDescent="0.25">
      <c r="A1136" t="s">
        <v>91</v>
      </c>
      <c r="B1136">
        <v>6</v>
      </c>
      <c r="C1136">
        <v>3.8356164383561646E-2</v>
      </c>
    </row>
    <row r="1137" spans="1:3" x14ac:dyDescent="0.25">
      <c r="A1137" t="s">
        <v>156</v>
      </c>
      <c r="B1137">
        <v>0</v>
      </c>
      <c r="C1137">
        <v>3.5616438356164383E-2</v>
      </c>
    </row>
    <row r="1138" spans="1:3" x14ac:dyDescent="0.25">
      <c r="A1138" t="s">
        <v>198</v>
      </c>
      <c r="B1138">
        <v>1</v>
      </c>
      <c r="C1138">
        <v>8.21917808219178E-3</v>
      </c>
    </row>
    <row r="1139" spans="1:3" x14ac:dyDescent="0.25">
      <c r="A1139" t="s">
        <v>156</v>
      </c>
      <c r="B1139">
        <v>3</v>
      </c>
      <c r="C1139">
        <v>3.5616438356164383E-2</v>
      </c>
    </row>
    <row r="1140" spans="1:3" x14ac:dyDescent="0.25">
      <c r="A1140" t="s">
        <v>107</v>
      </c>
      <c r="B1140">
        <v>0</v>
      </c>
      <c r="C1140">
        <v>3.8356164383561646E-2</v>
      </c>
    </row>
    <row r="1141" spans="1:3" x14ac:dyDescent="0.25">
      <c r="A1141" t="s">
        <v>157</v>
      </c>
      <c r="B1141">
        <v>13</v>
      </c>
      <c r="C1141">
        <v>4.1095890410958902E-2</v>
      </c>
    </row>
    <row r="1142" spans="1:3" x14ac:dyDescent="0.25">
      <c r="A1142" t="s">
        <v>146</v>
      </c>
      <c r="B1142">
        <v>12</v>
      </c>
      <c r="C1142">
        <v>3.5616438356164383E-2</v>
      </c>
    </row>
    <row r="1143" spans="1:3" x14ac:dyDescent="0.25">
      <c r="A1143" t="s">
        <v>68</v>
      </c>
      <c r="B1143">
        <v>11</v>
      </c>
      <c r="C1143">
        <v>7.1232876712328766E-2</v>
      </c>
    </row>
    <row r="1144" spans="1:3" x14ac:dyDescent="0.25">
      <c r="A1144" t="s">
        <v>202</v>
      </c>
      <c r="B1144">
        <v>11</v>
      </c>
      <c r="C1144">
        <v>6.575342465753424E-2</v>
      </c>
    </row>
    <row r="1145" spans="1:3" x14ac:dyDescent="0.25">
      <c r="A1145" t="s">
        <v>160</v>
      </c>
      <c r="B1145">
        <v>8</v>
      </c>
      <c r="C1145">
        <v>9.3150684931506855E-2</v>
      </c>
    </row>
    <row r="1146" spans="1:3" x14ac:dyDescent="0.25">
      <c r="A1146" t="s">
        <v>130</v>
      </c>
      <c r="B1146">
        <v>13</v>
      </c>
      <c r="C1146">
        <v>9.8630136986301367E-2</v>
      </c>
    </row>
    <row r="1147" spans="1:3" x14ac:dyDescent="0.25">
      <c r="A1147" t="s">
        <v>120</v>
      </c>
      <c r="B1147">
        <v>9</v>
      </c>
      <c r="C1147">
        <v>9.8630136986301367E-2</v>
      </c>
    </row>
    <row r="1148" spans="1:3" x14ac:dyDescent="0.25">
      <c r="A1148" t="s">
        <v>203</v>
      </c>
      <c r="B1148">
        <v>9</v>
      </c>
      <c r="C1148">
        <v>4.1095890410958902E-2</v>
      </c>
    </row>
    <row r="1149" spans="1:3" x14ac:dyDescent="0.25">
      <c r="A1149" t="s">
        <v>111</v>
      </c>
      <c r="B1149">
        <v>13</v>
      </c>
      <c r="C1149">
        <v>9.5890410958904104E-2</v>
      </c>
    </row>
    <row r="1150" spans="1:3" x14ac:dyDescent="0.25">
      <c r="A1150" t="s">
        <v>144</v>
      </c>
      <c r="B1150">
        <v>8</v>
      </c>
      <c r="C1150">
        <v>7.3972602739726029E-2</v>
      </c>
    </row>
    <row r="1151" spans="1:3" x14ac:dyDescent="0.25">
      <c r="A1151" t="s">
        <v>136</v>
      </c>
      <c r="B1151">
        <v>9</v>
      </c>
      <c r="C1151">
        <v>3.5616438356164383E-2</v>
      </c>
    </row>
    <row r="1152" spans="1:3" x14ac:dyDescent="0.25">
      <c r="A1152" t="s">
        <v>141</v>
      </c>
      <c r="B1152">
        <v>8</v>
      </c>
      <c r="C1152">
        <v>5.7534246575342465E-2</v>
      </c>
    </row>
    <row r="1153" spans="1:3" x14ac:dyDescent="0.25">
      <c r="A1153" t="s">
        <v>168</v>
      </c>
      <c r="B1153">
        <v>11</v>
      </c>
      <c r="C1153">
        <v>6.575342465753424E-2</v>
      </c>
    </row>
    <row r="1154" spans="1:3" x14ac:dyDescent="0.25">
      <c r="A1154" t="s">
        <v>34</v>
      </c>
      <c r="B1154">
        <v>9</v>
      </c>
      <c r="C1154">
        <v>5.7534246575342465E-2</v>
      </c>
    </row>
    <row r="1155" spans="1:3" x14ac:dyDescent="0.25">
      <c r="A1155" t="s">
        <v>104</v>
      </c>
      <c r="B1155">
        <v>13</v>
      </c>
      <c r="C1155">
        <v>5.7534246575342465E-2</v>
      </c>
    </row>
    <row r="1156" spans="1:3" x14ac:dyDescent="0.25">
      <c r="A1156" t="s">
        <v>140</v>
      </c>
      <c r="B1156">
        <v>11</v>
      </c>
      <c r="C1156">
        <v>2.7397260273972601E-2</v>
      </c>
    </row>
    <row r="1157" spans="1:3" x14ac:dyDescent="0.25">
      <c r="A1157" t="s">
        <v>102</v>
      </c>
      <c r="B1157">
        <v>10</v>
      </c>
      <c r="C1157">
        <v>3.287671232876712E-2</v>
      </c>
    </row>
    <row r="1158" spans="1:3" x14ac:dyDescent="0.25">
      <c r="A1158" t="s">
        <v>157</v>
      </c>
      <c r="B1158">
        <v>10</v>
      </c>
      <c r="C1158">
        <v>4.1095890410958902E-2</v>
      </c>
    </row>
    <row r="1159" spans="1:3" x14ac:dyDescent="0.25">
      <c r="A1159" t="s">
        <v>190</v>
      </c>
      <c r="B1159">
        <v>12</v>
      </c>
      <c r="C1159">
        <v>2.7397260273972601E-2</v>
      </c>
    </row>
    <row r="1160" spans="1:3" x14ac:dyDescent="0.25">
      <c r="A1160" t="s">
        <v>87</v>
      </c>
      <c r="B1160">
        <v>13</v>
      </c>
      <c r="C1160">
        <v>3.5616438356164383E-2</v>
      </c>
    </row>
    <row r="1161" spans="1:3" x14ac:dyDescent="0.25">
      <c r="A1161" t="s">
        <v>148</v>
      </c>
      <c r="B1161">
        <v>9</v>
      </c>
      <c r="C1161">
        <v>2.7397260273972601E-2</v>
      </c>
    </row>
    <row r="1162" spans="1:3" x14ac:dyDescent="0.25">
      <c r="A1162" t="s">
        <v>163</v>
      </c>
      <c r="B1162">
        <v>13</v>
      </c>
      <c r="C1162">
        <v>6.3013698630136991E-2</v>
      </c>
    </row>
    <row r="1163" spans="1:3" x14ac:dyDescent="0.25">
      <c r="A1163" t="s">
        <v>157</v>
      </c>
      <c r="B1163">
        <v>15</v>
      </c>
      <c r="C1163">
        <v>4.1095890410958902E-2</v>
      </c>
    </row>
    <row r="1164" spans="1:3" x14ac:dyDescent="0.25">
      <c r="A1164" t="s">
        <v>113</v>
      </c>
      <c r="B1164">
        <v>12</v>
      </c>
      <c r="C1164">
        <v>2.7397260273972601E-2</v>
      </c>
    </row>
    <row r="1165" spans="1:3" x14ac:dyDescent="0.25">
      <c r="A1165" t="s">
        <v>204</v>
      </c>
      <c r="B1165">
        <v>8</v>
      </c>
      <c r="C1165">
        <v>3.5616438356164383E-2</v>
      </c>
    </row>
    <row r="1166" spans="1:3" x14ac:dyDescent="0.25">
      <c r="A1166" t="s">
        <v>205</v>
      </c>
      <c r="B1166">
        <v>8</v>
      </c>
      <c r="C1166">
        <v>3.287671232876712E-2</v>
      </c>
    </row>
    <row r="1167" spans="1:3" x14ac:dyDescent="0.25">
      <c r="A1167" t="s">
        <v>180</v>
      </c>
      <c r="B1167">
        <v>12</v>
      </c>
      <c r="C1167">
        <v>3.8356164383561646E-2</v>
      </c>
    </row>
    <row r="1168" spans="1:3" x14ac:dyDescent="0.25">
      <c r="A1168" t="s">
        <v>122</v>
      </c>
      <c r="B1168">
        <v>14</v>
      </c>
      <c r="C1168">
        <v>6.3013698630136991E-2</v>
      </c>
    </row>
    <row r="1169" spans="1:3" x14ac:dyDescent="0.25">
      <c r="A1169" t="s">
        <v>153</v>
      </c>
      <c r="B1169">
        <v>11</v>
      </c>
      <c r="C1169">
        <v>6.8493150684931503E-2</v>
      </c>
    </row>
    <row r="1170" spans="1:3" x14ac:dyDescent="0.25">
      <c r="A1170" t="s">
        <v>189</v>
      </c>
      <c r="B1170">
        <v>8</v>
      </c>
      <c r="C1170">
        <v>7.3972602739726029E-2</v>
      </c>
    </row>
    <row r="1171" spans="1:3" x14ac:dyDescent="0.25">
      <c r="A1171" t="s">
        <v>129</v>
      </c>
      <c r="B1171">
        <v>20</v>
      </c>
      <c r="C1171">
        <v>7.6712328767123292E-2</v>
      </c>
    </row>
    <row r="1172" spans="1:3" x14ac:dyDescent="0.25">
      <c r="A1172" t="s">
        <v>94</v>
      </c>
      <c r="B1172">
        <v>23</v>
      </c>
      <c r="C1172">
        <v>6.0273972602739728E-2</v>
      </c>
    </row>
    <row r="1173" spans="1:3" x14ac:dyDescent="0.25">
      <c r="A1173" t="s">
        <v>75</v>
      </c>
      <c r="B1173">
        <v>21</v>
      </c>
      <c r="C1173">
        <v>7.1232876712328766E-2</v>
      </c>
    </row>
    <row r="1174" spans="1:3" x14ac:dyDescent="0.25">
      <c r="A1174" t="s">
        <v>168</v>
      </c>
      <c r="B1174">
        <v>19</v>
      </c>
      <c r="C1174">
        <v>7.1232876712328766E-2</v>
      </c>
    </row>
    <row r="1175" spans="1:3" x14ac:dyDescent="0.25">
      <c r="A1175" t="s">
        <v>25</v>
      </c>
      <c r="B1175">
        <v>15</v>
      </c>
      <c r="C1175">
        <v>5.4794520547945202E-2</v>
      </c>
    </row>
    <row r="1176" spans="1:3" x14ac:dyDescent="0.25">
      <c r="A1176" t="s">
        <v>160</v>
      </c>
      <c r="B1176">
        <v>22</v>
      </c>
      <c r="C1176">
        <v>6.3013698630136991E-2</v>
      </c>
    </row>
    <row r="1177" spans="1:3" x14ac:dyDescent="0.25">
      <c r="A1177" t="s">
        <v>151</v>
      </c>
      <c r="B1177">
        <v>16</v>
      </c>
      <c r="C1177">
        <v>7.1232876712328766E-2</v>
      </c>
    </row>
    <row r="1178" spans="1:3" x14ac:dyDescent="0.25">
      <c r="A1178" t="s">
        <v>145</v>
      </c>
      <c r="B1178">
        <v>18</v>
      </c>
      <c r="C1178">
        <v>3.287671232876712E-2</v>
      </c>
    </row>
    <row r="1179" spans="1:3" x14ac:dyDescent="0.25">
      <c r="A1179" t="s">
        <v>104</v>
      </c>
      <c r="B1179">
        <v>21</v>
      </c>
      <c r="C1179">
        <v>4.1095890410958902E-2</v>
      </c>
    </row>
    <row r="1180" spans="1:3" x14ac:dyDescent="0.25">
      <c r="A1180" t="s">
        <v>174</v>
      </c>
      <c r="B1180">
        <v>17</v>
      </c>
      <c r="C1180">
        <v>6.8493150684931503E-2</v>
      </c>
    </row>
    <row r="1181" spans="1:3" x14ac:dyDescent="0.25">
      <c r="A1181" t="s">
        <v>171</v>
      </c>
      <c r="B1181">
        <v>18</v>
      </c>
      <c r="C1181">
        <v>5.2054794520547946E-2</v>
      </c>
    </row>
    <row r="1182" spans="1:3" x14ac:dyDescent="0.25">
      <c r="A1182" t="s">
        <v>30</v>
      </c>
      <c r="B1182">
        <v>21</v>
      </c>
      <c r="C1182">
        <v>5.4794520547945202E-2</v>
      </c>
    </row>
    <row r="1183" spans="1:3" x14ac:dyDescent="0.25">
      <c r="A1183" t="s">
        <v>121</v>
      </c>
      <c r="B1183">
        <v>20</v>
      </c>
      <c r="C1183">
        <v>9.0410958904109592E-2</v>
      </c>
    </row>
    <row r="1184" spans="1:3" x14ac:dyDescent="0.25">
      <c r="A1184" t="s">
        <v>32</v>
      </c>
      <c r="B1184">
        <v>0</v>
      </c>
      <c r="C1184">
        <v>5.4794520547945202E-2</v>
      </c>
    </row>
    <row r="1185" spans="1:3" x14ac:dyDescent="0.25">
      <c r="A1185" t="s">
        <v>193</v>
      </c>
      <c r="B1185">
        <v>20</v>
      </c>
      <c r="C1185">
        <v>3.287671232876712E-2</v>
      </c>
    </row>
    <row r="1186" spans="1:3" x14ac:dyDescent="0.25">
      <c r="A1186" t="s">
        <v>144</v>
      </c>
      <c r="B1186">
        <v>22</v>
      </c>
      <c r="C1186">
        <v>5.7534246575342465E-2</v>
      </c>
    </row>
    <row r="1187" spans="1:3" x14ac:dyDescent="0.25">
      <c r="A1187" t="s">
        <v>127</v>
      </c>
      <c r="B1187">
        <v>21</v>
      </c>
      <c r="C1187">
        <v>5.2054794520547946E-2</v>
      </c>
    </row>
    <row r="1188" spans="1:3" x14ac:dyDescent="0.25">
      <c r="A1188" t="s">
        <v>155</v>
      </c>
      <c r="B1188">
        <v>21</v>
      </c>
      <c r="C1188">
        <v>5.4794520547945202E-2</v>
      </c>
    </row>
    <row r="1189" spans="1:3" x14ac:dyDescent="0.25">
      <c r="A1189" t="s">
        <v>122</v>
      </c>
      <c r="B1189">
        <v>23</v>
      </c>
      <c r="C1189">
        <v>6.8493150684931503E-2</v>
      </c>
    </row>
    <row r="1190" spans="1:3" x14ac:dyDescent="0.25">
      <c r="A1190" t="s">
        <v>113</v>
      </c>
      <c r="B1190">
        <v>17</v>
      </c>
      <c r="C1190">
        <v>2.7397260273972601E-2</v>
      </c>
    </row>
    <row r="1191" spans="1:3" x14ac:dyDescent="0.25">
      <c r="A1191" t="s">
        <v>34</v>
      </c>
      <c r="B1191">
        <v>21</v>
      </c>
      <c r="C1191">
        <v>5.4794520547945202E-2</v>
      </c>
    </row>
    <row r="1192" spans="1:3" x14ac:dyDescent="0.25">
      <c r="A1192" t="s">
        <v>143</v>
      </c>
      <c r="B1192">
        <v>6</v>
      </c>
      <c r="C1192">
        <v>3.5616438356164383E-2</v>
      </c>
    </row>
    <row r="1193" spans="1:3" x14ac:dyDescent="0.25">
      <c r="A1193" t="s">
        <v>144</v>
      </c>
      <c r="B1193">
        <v>1</v>
      </c>
      <c r="C1193">
        <v>3.5616438356164383E-2</v>
      </c>
    </row>
    <row r="1194" spans="1:3" x14ac:dyDescent="0.25">
      <c r="A1194" t="s">
        <v>94</v>
      </c>
      <c r="B1194">
        <v>3</v>
      </c>
      <c r="C1194">
        <v>3.287671232876712E-2</v>
      </c>
    </row>
    <row r="1195" spans="1:3" x14ac:dyDescent="0.25">
      <c r="A1195" t="s">
        <v>144</v>
      </c>
      <c r="B1195">
        <v>6</v>
      </c>
      <c r="C1195">
        <v>3.287671232876712E-2</v>
      </c>
    </row>
    <row r="1196" spans="1:3" x14ac:dyDescent="0.25">
      <c r="A1196" t="s">
        <v>155</v>
      </c>
      <c r="B1196">
        <v>6</v>
      </c>
      <c r="C1196">
        <v>3.287671232876712E-2</v>
      </c>
    </row>
    <row r="1197" spans="1:3" x14ac:dyDescent="0.25">
      <c r="A1197" t="s">
        <v>134</v>
      </c>
      <c r="B1197">
        <v>1</v>
      </c>
      <c r="C1197">
        <v>3.5616438356164383E-2</v>
      </c>
    </row>
    <row r="1198" spans="1:3" x14ac:dyDescent="0.25">
      <c r="A1198" t="s">
        <v>107</v>
      </c>
      <c r="B1198">
        <v>2</v>
      </c>
      <c r="C1198">
        <v>3.5616438356164383E-2</v>
      </c>
    </row>
    <row r="1199" spans="1:3" x14ac:dyDescent="0.25">
      <c r="A1199" t="s">
        <v>123</v>
      </c>
      <c r="B1199">
        <v>6</v>
      </c>
      <c r="C1199">
        <v>1.643835616438356E-2</v>
      </c>
    </row>
    <row r="1200" spans="1:3" x14ac:dyDescent="0.25">
      <c r="A1200" t="s">
        <v>86</v>
      </c>
      <c r="B1200">
        <v>3</v>
      </c>
      <c r="C1200">
        <v>2.1917808219178082E-2</v>
      </c>
    </row>
    <row r="1201" spans="1:3" x14ac:dyDescent="0.25">
      <c r="A1201" t="s">
        <v>101</v>
      </c>
      <c r="B1201">
        <v>7</v>
      </c>
      <c r="C1201">
        <v>1.643835616438356E-2</v>
      </c>
    </row>
    <row r="1202" spans="1:3" x14ac:dyDescent="0.25">
      <c r="A1202" t="s">
        <v>84</v>
      </c>
      <c r="B1202">
        <v>2</v>
      </c>
      <c r="C1202">
        <v>2.4657534246575342E-2</v>
      </c>
    </row>
    <row r="1203" spans="1:3" x14ac:dyDescent="0.25">
      <c r="A1203" t="s">
        <v>199</v>
      </c>
      <c r="B1203">
        <v>8</v>
      </c>
      <c r="C1203">
        <v>2.7397260273972601E-2</v>
      </c>
    </row>
    <row r="1204" spans="1:3" x14ac:dyDescent="0.25">
      <c r="A1204" t="s">
        <v>135</v>
      </c>
      <c r="B1204">
        <v>12</v>
      </c>
      <c r="C1204">
        <v>6.3013698630136991E-2</v>
      </c>
    </row>
    <row r="1205" spans="1:3" x14ac:dyDescent="0.25">
      <c r="A1205" t="s">
        <v>200</v>
      </c>
      <c r="B1205">
        <v>10</v>
      </c>
      <c r="C1205">
        <v>7.3972602739726029E-2</v>
      </c>
    </row>
    <row r="1206" spans="1:3" x14ac:dyDescent="0.25">
      <c r="A1206" t="s">
        <v>154</v>
      </c>
      <c r="B1206">
        <v>10</v>
      </c>
      <c r="C1206">
        <v>2.7397260273972601E-2</v>
      </c>
    </row>
    <row r="1207" spans="1:3" x14ac:dyDescent="0.25">
      <c r="A1207" t="s">
        <v>152</v>
      </c>
      <c r="B1207">
        <v>9</v>
      </c>
      <c r="C1207">
        <v>7.1232876712328766E-2</v>
      </c>
    </row>
    <row r="1208" spans="1:3" x14ac:dyDescent="0.25">
      <c r="A1208" t="s">
        <v>145</v>
      </c>
      <c r="B1208">
        <v>13</v>
      </c>
      <c r="C1208">
        <v>3.287671232876712E-2</v>
      </c>
    </row>
    <row r="1209" spans="1:3" x14ac:dyDescent="0.25">
      <c r="A1209" t="s">
        <v>163</v>
      </c>
      <c r="B1209">
        <v>9</v>
      </c>
      <c r="C1209">
        <v>5.7534246575342465E-2</v>
      </c>
    </row>
    <row r="1210" spans="1:3" x14ac:dyDescent="0.25">
      <c r="A1210" t="s">
        <v>143</v>
      </c>
      <c r="B1210">
        <v>11</v>
      </c>
      <c r="C1210">
        <v>6.575342465753424E-2</v>
      </c>
    </row>
    <row r="1211" spans="1:3" x14ac:dyDescent="0.25">
      <c r="A1211" t="s">
        <v>189</v>
      </c>
      <c r="B1211">
        <v>9</v>
      </c>
      <c r="C1211">
        <v>6.575342465753424E-2</v>
      </c>
    </row>
    <row r="1212" spans="1:3" x14ac:dyDescent="0.25">
      <c r="A1212" t="s">
        <v>148</v>
      </c>
      <c r="B1212">
        <v>10</v>
      </c>
      <c r="C1212">
        <v>2.7397260273972601E-2</v>
      </c>
    </row>
    <row r="1213" spans="1:3" x14ac:dyDescent="0.25">
      <c r="A1213" t="s">
        <v>156</v>
      </c>
      <c r="B1213">
        <v>13</v>
      </c>
      <c r="C1213">
        <v>8.4931506849315067E-2</v>
      </c>
    </row>
    <row r="1214" spans="1:3" x14ac:dyDescent="0.25">
      <c r="A1214" t="s">
        <v>155</v>
      </c>
      <c r="B1214">
        <v>13</v>
      </c>
      <c r="C1214">
        <v>6.0273972602739728E-2</v>
      </c>
    </row>
    <row r="1215" spans="1:3" x14ac:dyDescent="0.25">
      <c r="A1215" t="s">
        <v>134</v>
      </c>
      <c r="B1215">
        <v>15</v>
      </c>
      <c r="C1215">
        <v>8.4931506849315067E-2</v>
      </c>
    </row>
    <row r="1216" spans="1:3" x14ac:dyDescent="0.25">
      <c r="A1216" t="s">
        <v>164</v>
      </c>
      <c r="B1216">
        <v>14</v>
      </c>
      <c r="C1216">
        <v>9.0410958904109592E-2</v>
      </c>
    </row>
    <row r="1217" spans="1:3" x14ac:dyDescent="0.25">
      <c r="A1217" t="s">
        <v>23</v>
      </c>
      <c r="B1217">
        <v>22</v>
      </c>
      <c r="C1217">
        <v>5.4794520547945202E-2</v>
      </c>
    </row>
    <row r="1218" spans="1:3" x14ac:dyDescent="0.25">
      <c r="A1218" t="s">
        <v>156</v>
      </c>
      <c r="B1218">
        <v>9</v>
      </c>
      <c r="C1218">
        <v>8.2191780821917804E-2</v>
      </c>
    </row>
    <row r="1219" spans="1:3" x14ac:dyDescent="0.25">
      <c r="A1219" t="s">
        <v>154</v>
      </c>
      <c r="B1219">
        <v>8</v>
      </c>
      <c r="C1219">
        <v>2.7397260273972601E-2</v>
      </c>
    </row>
    <row r="1220" spans="1:3" x14ac:dyDescent="0.25">
      <c r="A1220" t="s">
        <v>102</v>
      </c>
      <c r="B1220">
        <v>9</v>
      </c>
      <c r="C1220">
        <v>3.287671232876712E-2</v>
      </c>
    </row>
    <row r="1221" spans="1:3" x14ac:dyDescent="0.25">
      <c r="A1221" t="s">
        <v>96</v>
      </c>
      <c r="B1221">
        <v>8</v>
      </c>
      <c r="C1221">
        <v>3.287671232876712E-2</v>
      </c>
    </row>
    <row r="1222" spans="1:3" x14ac:dyDescent="0.25">
      <c r="A1222" t="s">
        <v>109</v>
      </c>
      <c r="B1222">
        <v>13</v>
      </c>
      <c r="C1222">
        <v>8.2191780821917804E-2</v>
      </c>
    </row>
    <row r="1223" spans="1:3" x14ac:dyDescent="0.25">
      <c r="A1223" t="s">
        <v>185</v>
      </c>
      <c r="B1223">
        <v>14</v>
      </c>
      <c r="C1223">
        <v>3.287671232876712E-2</v>
      </c>
    </row>
    <row r="1224" spans="1:3" x14ac:dyDescent="0.25">
      <c r="A1224" t="s">
        <v>182</v>
      </c>
      <c r="B1224">
        <v>8</v>
      </c>
      <c r="C1224">
        <v>6.3013698630136991E-2</v>
      </c>
    </row>
    <row r="1225" spans="1:3" x14ac:dyDescent="0.25">
      <c r="A1225" t="s">
        <v>116</v>
      </c>
      <c r="B1225">
        <v>16</v>
      </c>
      <c r="C1225">
        <v>0.12328767123287671</v>
      </c>
    </row>
    <row r="1226" spans="1:3" x14ac:dyDescent="0.25">
      <c r="A1226" t="s">
        <v>45</v>
      </c>
      <c r="B1226">
        <v>17</v>
      </c>
      <c r="C1226">
        <v>4.1095890410958902E-2</v>
      </c>
    </row>
    <row r="1227" spans="1:3" x14ac:dyDescent="0.25">
      <c r="A1227" t="s">
        <v>111</v>
      </c>
      <c r="B1227">
        <v>17</v>
      </c>
      <c r="C1227">
        <v>0.11232876712328767</v>
      </c>
    </row>
    <row r="1228" spans="1:3" x14ac:dyDescent="0.25">
      <c r="A1228" t="s">
        <v>109</v>
      </c>
      <c r="B1228">
        <v>22</v>
      </c>
      <c r="C1228">
        <v>6.3013698630136991E-2</v>
      </c>
    </row>
    <row r="1229" spans="1:3" x14ac:dyDescent="0.25">
      <c r="A1229" t="s">
        <v>158</v>
      </c>
      <c r="B1229">
        <v>16</v>
      </c>
      <c r="C1229">
        <v>4.1095890410958902E-2</v>
      </c>
    </row>
    <row r="1230" spans="1:3" x14ac:dyDescent="0.25">
      <c r="A1230" t="s">
        <v>109</v>
      </c>
      <c r="B1230">
        <v>21</v>
      </c>
      <c r="C1230">
        <v>6.3013698630136991E-2</v>
      </c>
    </row>
    <row r="1231" spans="1:3" x14ac:dyDescent="0.25">
      <c r="A1231" t="s">
        <v>71</v>
      </c>
      <c r="B1231">
        <v>18</v>
      </c>
      <c r="C1231">
        <v>0.13972602739726028</v>
      </c>
    </row>
    <row r="1232" spans="1:3" x14ac:dyDescent="0.25">
      <c r="A1232" t="s">
        <v>100</v>
      </c>
      <c r="B1232">
        <v>22</v>
      </c>
      <c r="C1232">
        <v>3.8356164383561646E-2</v>
      </c>
    </row>
    <row r="1233" spans="1:3" x14ac:dyDescent="0.25">
      <c r="A1233" t="s">
        <v>187</v>
      </c>
      <c r="B1233">
        <v>17</v>
      </c>
      <c r="C1233">
        <v>6.0273972602739728E-2</v>
      </c>
    </row>
    <row r="1234" spans="1:3" x14ac:dyDescent="0.25">
      <c r="A1234" t="s">
        <v>153</v>
      </c>
      <c r="B1234">
        <v>20</v>
      </c>
      <c r="C1234">
        <v>5.2054794520547946E-2</v>
      </c>
    </row>
    <row r="1235" spans="1:3" x14ac:dyDescent="0.25">
      <c r="A1235" t="s">
        <v>71</v>
      </c>
      <c r="B1235">
        <v>19</v>
      </c>
      <c r="C1235">
        <v>0.11232876712328767</v>
      </c>
    </row>
    <row r="1236" spans="1:3" x14ac:dyDescent="0.25">
      <c r="A1236" t="s">
        <v>119</v>
      </c>
      <c r="B1236">
        <v>19</v>
      </c>
      <c r="C1236">
        <v>3.8356164383561646E-2</v>
      </c>
    </row>
    <row r="1237" spans="1:3" x14ac:dyDescent="0.25">
      <c r="A1237" t="s">
        <v>125</v>
      </c>
      <c r="B1237">
        <v>23</v>
      </c>
      <c r="C1237">
        <v>6.0273972602739728E-2</v>
      </c>
    </row>
    <row r="1238" spans="1:3" x14ac:dyDescent="0.25">
      <c r="A1238" t="s">
        <v>79</v>
      </c>
      <c r="B1238">
        <v>22</v>
      </c>
      <c r="C1238">
        <v>3.8356164383561646E-2</v>
      </c>
    </row>
    <row r="1239" spans="1:3" x14ac:dyDescent="0.25">
      <c r="A1239" t="s">
        <v>93</v>
      </c>
      <c r="B1239">
        <v>21</v>
      </c>
      <c r="C1239">
        <v>6.575342465753424E-2</v>
      </c>
    </row>
    <row r="1240" spans="1:3" x14ac:dyDescent="0.25">
      <c r="A1240" t="s">
        <v>137</v>
      </c>
      <c r="B1240">
        <v>19</v>
      </c>
      <c r="C1240">
        <v>4.1095890410958902E-2</v>
      </c>
    </row>
    <row r="1241" spans="1:3" x14ac:dyDescent="0.25">
      <c r="A1241" t="s">
        <v>111</v>
      </c>
      <c r="B1241">
        <v>21</v>
      </c>
      <c r="C1241">
        <v>9.3150684931506855E-2</v>
      </c>
    </row>
    <row r="1242" spans="1:3" x14ac:dyDescent="0.25">
      <c r="A1242" t="s">
        <v>147</v>
      </c>
      <c r="B1242">
        <v>20</v>
      </c>
      <c r="C1242">
        <v>4.6575342465753428E-2</v>
      </c>
    </row>
    <row r="1243" spans="1:3" x14ac:dyDescent="0.25">
      <c r="A1243" t="s">
        <v>176</v>
      </c>
      <c r="B1243">
        <v>16</v>
      </c>
      <c r="C1243">
        <v>5.4794520547945202E-2</v>
      </c>
    </row>
    <row r="1244" spans="1:3" x14ac:dyDescent="0.25">
      <c r="A1244" t="s">
        <v>115</v>
      </c>
      <c r="B1244">
        <v>22</v>
      </c>
      <c r="C1244">
        <v>4.6575342465753428E-2</v>
      </c>
    </row>
    <row r="1245" spans="1:3" x14ac:dyDescent="0.25">
      <c r="A1245" t="s">
        <v>182</v>
      </c>
      <c r="B1245">
        <v>16</v>
      </c>
      <c r="C1245">
        <v>6.575342465753424E-2</v>
      </c>
    </row>
    <row r="1246" spans="1:3" x14ac:dyDescent="0.25">
      <c r="A1246" t="s">
        <v>30</v>
      </c>
      <c r="B1246">
        <v>0</v>
      </c>
      <c r="C1246">
        <v>5.2054794520547946E-2</v>
      </c>
    </row>
    <row r="1247" spans="1:3" x14ac:dyDescent="0.25">
      <c r="A1247" t="s">
        <v>70</v>
      </c>
      <c r="B1247">
        <v>0</v>
      </c>
      <c r="C1247">
        <v>1.643835616438356E-2</v>
      </c>
    </row>
    <row r="1248" spans="1:3" x14ac:dyDescent="0.25">
      <c r="A1248" t="s">
        <v>121</v>
      </c>
      <c r="B1248">
        <v>0</v>
      </c>
      <c r="C1248">
        <v>3.0136986301369864E-2</v>
      </c>
    </row>
    <row r="1249" spans="1:3" x14ac:dyDescent="0.25">
      <c r="A1249" t="s">
        <v>94</v>
      </c>
      <c r="B1249">
        <v>6</v>
      </c>
      <c r="C1249">
        <v>3.0136986301369864E-2</v>
      </c>
    </row>
    <row r="1250" spans="1:3" x14ac:dyDescent="0.25">
      <c r="A1250" t="s">
        <v>73</v>
      </c>
      <c r="B1250">
        <v>4</v>
      </c>
      <c r="C1250">
        <v>4.3835616438356165E-2</v>
      </c>
    </row>
    <row r="1251" spans="1:3" x14ac:dyDescent="0.25">
      <c r="A1251" t="s">
        <v>169</v>
      </c>
      <c r="B1251">
        <v>2</v>
      </c>
      <c r="C1251">
        <v>5.4794520547945206E-3</v>
      </c>
    </row>
    <row r="1252" spans="1:3" x14ac:dyDescent="0.25">
      <c r="A1252" t="s">
        <v>100</v>
      </c>
      <c r="B1252">
        <v>1</v>
      </c>
      <c r="C1252">
        <v>2.1917808219178082E-2</v>
      </c>
    </row>
    <row r="1253" spans="1:3" x14ac:dyDescent="0.25">
      <c r="A1253" t="s">
        <v>129</v>
      </c>
      <c r="B1253">
        <v>7</v>
      </c>
      <c r="C1253">
        <v>3.5616438356164383E-2</v>
      </c>
    </row>
    <row r="1254" spans="1:3" x14ac:dyDescent="0.25">
      <c r="A1254" t="s">
        <v>129</v>
      </c>
      <c r="B1254">
        <v>10</v>
      </c>
      <c r="C1254">
        <v>6.0273972602739728E-2</v>
      </c>
    </row>
    <row r="1255" spans="1:3" x14ac:dyDescent="0.25">
      <c r="A1255" t="s">
        <v>199</v>
      </c>
      <c r="B1255">
        <v>9</v>
      </c>
      <c r="C1255">
        <v>2.7397260273972601E-2</v>
      </c>
    </row>
    <row r="1256" spans="1:3" x14ac:dyDescent="0.25">
      <c r="A1256" t="s">
        <v>32</v>
      </c>
      <c r="B1256">
        <v>23</v>
      </c>
      <c r="C1256">
        <v>5.2054794520547946E-2</v>
      </c>
    </row>
    <row r="1257" spans="1:3" x14ac:dyDescent="0.25">
      <c r="A1257" t="s">
        <v>139</v>
      </c>
      <c r="B1257">
        <v>9</v>
      </c>
      <c r="C1257">
        <v>5.4794520547945202E-2</v>
      </c>
    </row>
    <row r="1258" spans="1:3" x14ac:dyDescent="0.25">
      <c r="A1258" t="s">
        <v>166</v>
      </c>
      <c r="B1258">
        <v>13</v>
      </c>
      <c r="C1258">
        <v>6.8493150684931503E-2</v>
      </c>
    </row>
    <row r="1259" spans="1:3" x14ac:dyDescent="0.25">
      <c r="A1259" t="s">
        <v>43</v>
      </c>
      <c r="B1259">
        <v>10</v>
      </c>
      <c r="C1259">
        <v>4.9315068493150684E-2</v>
      </c>
    </row>
    <row r="1260" spans="1:3" x14ac:dyDescent="0.25">
      <c r="A1260" t="s">
        <v>115</v>
      </c>
      <c r="B1260">
        <v>9</v>
      </c>
      <c r="C1260">
        <v>6.8493150684931503E-2</v>
      </c>
    </row>
    <row r="1261" spans="1:3" x14ac:dyDescent="0.25">
      <c r="A1261" t="s">
        <v>206</v>
      </c>
      <c r="B1261">
        <v>9</v>
      </c>
      <c r="C1261">
        <v>2.4657534246575342E-2</v>
      </c>
    </row>
    <row r="1262" spans="1:3" x14ac:dyDescent="0.25">
      <c r="A1262" t="s">
        <v>106</v>
      </c>
      <c r="B1262">
        <v>13</v>
      </c>
      <c r="C1262">
        <v>5.4794520547945202E-2</v>
      </c>
    </row>
    <row r="1263" spans="1:3" x14ac:dyDescent="0.25">
      <c r="A1263" t="s">
        <v>135</v>
      </c>
      <c r="B1263">
        <v>11</v>
      </c>
      <c r="C1263">
        <v>6.0273972602739728E-2</v>
      </c>
    </row>
    <row r="1264" spans="1:3" x14ac:dyDescent="0.25">
      <c r="A1264" t="s">
        <v>134</v>
      </c>
      <c r="B1264">
        <v>14</v>
      </c>
      <c r="C1264">
        <v>8.2191780821917804E-2</v>
      </c>
    </row>
    <row r="1265" spans="1:3" x14ac:dyDescent="0.25">
      <c r="A1265" t="s">
        <v>134</v>
      </c>
      <c r="B1265">
        <v>12</v>
      </c>
      <c r="C1265">
        <v>7.9452054794520555E-2</v>
      </c>
    </row>
    <row r="1266" spans="1:3" x14ac:dyDescent="0.25">
      <c r="A1266" t="s">
        <v>105</v>
      </c>
      <c r="B1266">
        <v>9</v>
      </c>
      <c r="C1266">
        <v>9.0410958904109592E-2</v>
      </c>
    </row>
    <row r="1267" spans="1:3" x14ac:dyDescent="0.25">
      <c r="A1267" t="s">
        <v>158</v>
      </c>
      <c r="B1267">
        <v>11</v>
      </c>
      <c r="C1267">
        <v>5.2054794520547946E-2</v>
      </c>
    </row>
    <row r="1268" spans="1:3" x14ac:dyDescent="0.25">
      <c r="A1268" t="s">
        <v>86</v>
      </c>
      <c r="B1268">
        <v>14</v>
      </c>
      <c r="C1268">
        <v>2.4657534246575342E-2</v>
      </c>
    </row>
    <row r="1269" spans="1:3" x14ac:dyDescent="0.25">
      <c r="A1269" t="s">
        <v>42</v>
      </c>
      <c r="B1269">
        <v>21</v>
      </c>
      <c r="C1269">
        <v>4.9315068493150684E-2</v>
      </c>
    </row>
    <row r="1270" spans="1:3" x14ac:dyDescent="0.25">
      <c r="A1270" t="s">
        <v>201</v>
      </c>
      <c r="B1270">
        <v>11</v>
      </c>
      <c r="C1270">
        <v>7.9452054794520555E-2</v>
      </c>
    </row>
    <row r="1271" spans="1:3" x14ac:dyDescent="0.25">
      <c r="A1271" t="s">
        <v>156</v>
      </c>
      <c r="B1271">
        <v>15</v>
      </c>
      <c r="C1271">
        <v>7.6712328767123292E-2</v>
      </c>
    </row>
    <row r="1272" spans="1:3" x14ac:dyDescent="0.25">
      <c r="A1272" t="s">
        <v>21</v>
      </c>
      <c r="B1272">
        <v>2</v>
      </c>
      <c r="C1272">
        <v>4.9315068493150684E-2</v>
      </c>
    </row>
    <row r="1273" spans="1:3" x14ac:dyDescent="0.25">
      <c r="A1273" t="s">
        <v>187</v>
      </c>
      <c r="B1273">
        <v>12</v>
      </c>
      <c r="C1273">
        <v>5.7534246575342465E-2</v>
      </c>
    </row>
    <row r="1274" spans="1:3" x14ac:dyDescent="0.25">
      <c r="A1274" t="s">
        <v>152</v>
      </c>
      <c r="B1274">
        <v>14</v>
      </c>
      <c r="C1274">
        <v>6.0273972602739728E-2</v>
      </c>
    </row>
    <row r="1275" spans="1:3" x14ac:dyDescent="0.25">
      <c r="A1275" t="s">
        <v>25</v>
      </c>
      <c r="B1275">
        <v>16</v>
      </c>
      <c r="C1275">
        <v>4.6575342465753428E-2</v>
      </c>
    </row>
    <row r="1276" spans="1:3" x14ac:dyDescent="0.25">
      <c r="A1276" t="s">
        <v>113</v>
      </c>
      <c r="B1276">
        <v>18</v>
      </c>
      <c r="C1276">
        <v>2.7397260273972601E-2</v>
      </c>
    </row>
    <row r="1277" spans="1:3" x14ac:dyDescent="0.25">
      <c r="A1277" t="s">
        <v>150</v>
      </c>
      <c r="B1277">
        <v>16</v>
      </c>
      <c r="C1277">
        <v>0.12054794520547946</v>
      </c>
    </row>
    <row r="1278" spans="1:3" x14ac:dyDescent="0.25">
      <c r="A1278" t="s">
        <v>164</v>
      </c>
      <c r="B1278">
        <v>20</v>
      </c>
      <c r="C1278">
        <v>6.0273972602739728E-2</v>
      </c>
    </row>
    <row r="1279" spans="1:3" x14ac:dyDescent="0.25">
      <c r="A1279" t="s">
        <v>181</v>
      </c>
      <c r="B1279">
        <v>16</v>
      </c>
      <c r="C1279">
        <v>2.7397260273972601E-2</v>
      </c>
    </row>
    <row r="1280" spans="1:3" x14ac:dyDescent="0.25">
      <c r="A1280" t="s">
        <v>149</v>
      </c>
      <c r="B1280">
        <v>19</v>
      </c>
      <c r="C1280">
        <v>6.0273972602739728E-2</v>
      </c>
    </row>
    <row r="1281" spans="1:3" x14ac:dyDescent="0.25">
      <c r="A1281" t="s">
        <v>101</v>
      </c>
      <c r="B1281">
        <v>19</v>
      </c>
      <c r="C1281">
        <v>3.287671232876712E-2</v>
      </c>
    </row>
    <row r="1282" spans="1:3" x14ac:dyDescent="0.25">
      <c r="A1282" t="s">
        <v>207</v>
      </c>
      <c r="B1282">
        <v>19</v>
      </c>
      <c r="C1282">
        <v>3.5616438356164383E-2</v>
      </c>
    </row>
    <row r="1283" spans="1:3" x14ac:dyDescent="0.25">
      <c r="A1283" t="s">
        <v>208</v>
      </c>
      <c r="B1283">
        <v>16</v>
      </c>
      <c r="C1283">
        <v>3.5616438356164383E-2</v>
      </c>
    </row>
    <row r="1284" spans="1:3" x14ac:dyDescent="0.25">
      <c r="A1284" t="s">
        <v>112</v>
      </c>
      <c r="B1284">
        <v>22</v>
      </c>
      <c r="C1284">
        <v>5.4794520547945202E-2</v>
      </c>
    </row>
    <row r="1285" spans="1:3" x14ac:dyDescent="0.25">
      <c r="A1285" t="s">
        <v>151</v>
      </c>
      <c r="B1285">
        <v>20</v>
      </c>
      <c r="C1285">
        <v>6.3013698630136991E-2</v>
      </c>
    </row>
    <row r="1286" spans="1:3" x14ac:dyDescent="0.25">
      <c r="A1286" t="s">
        <v>172</v>
      </c>
      <c r="B1286">
        <v>18</v>
      </c>
      <c r="C1286">
        <v>3.287671232876712E-2</v>
      </c>
    </row>
    <row r="1287" spans="1:3" x14ac:dyDescent="0.25">
      <c r="A1287" t="s">
        <v>158</v>
      </c>
      <c r="B1287">
        <v>17</v>
      </c>
      <c r="C1287">
        <v>3.8356164383561646E-2</v>
      </c>
    </row>
    <row r="1288" spans="1:3" x14ac:dyDescent="0.25">
      <c r="A1288" t="s">
        <v>160</v>
      </c>
      <c r="B1288">
        <v>17</v>
      </c>
      <c r="C1288">
        <v>6.0273972602739728E-2</v>
      </c>
    </row>
    <row r="1289" spans="1:3" x14ac:dyDescent="0.25">
      <c r="A1289" t="s">
        <v>193</v>
      </c>
      <c r="B1289">
        <v>19</v>
      </c>
      <c r="C1289">
        <v>3.287671232876712E-2</v>
      </c>
    </row>
    <row r="1290" spans="1:3" x14ac:dyDescent="0.25">
      <c r="A1290" t="s">
        <v>168</v>
      </c>
      <c r="B1290">
        <v>16</v>
      </c>
      <c r="C1290">
        <v>6.3013698630136991E-2</v>
      </c>
    </row>
    <row r="1291" spans="1:3" x14ac:dyDescent="0.25">
      <c r="A1291" t="s">
        <v>85</v>
      </c>
      <c r="B1291">
        <v>0</v>
      </c>
      <c r="C1291">
        <v>1.3698630136986301E-2</v>
      </c>
    </row>
    <row r="1292" spans="1:3" x14ac:dyDescent="0.25">
      <c r="A1292" t="s">
        <v>28</v>
      </c>
      <c r="B1292">
        <v>0</v>
      </c>
      <c r="C1292">
        <v>4.6575342465753428E-2</v>
      </c>
    </row>
    <row r="1293" spans="1:3" x14ac:dyDescent="0.25">
      <c r="A1293" t="s">
        <v>143</v>
      </c>
      <c r="B1293">
        <v>1</v>
      </c>
      <c r="C1293">
        <v>3.0136986301369864E-2</v>
      </c>
    </row>
    <row r="1294" spans="1:3" x14ac:dyDescent="0.25">
      <c r="A1294" t="s">
        <v>82</v>
      </c>
      <c r="B1294">
        <v>3</v>
      </c>
      <c r="C1294">
        <v>3.0136986301369864E-2</v>
      </c>
    </row>
    <row r="1295" spans="1:3" x14ac:dyDescent="0.25">
      <c r="A1295" t="s">
        <v>25</v>
      </c>
      <c r="B1295">
        <v>11</v>
      </c>
      <c r="C1295">
        <v>4.6575342465753428E-2</v>
      </c>
    </row>
    <row r="1296" spans="1:3" x14ac:dyDescent="0.25">
      <c r="A1296" t="s">
        <v>25</v>
      </c>
      <c r="B1296">
        <v>10</v>
      </c>
      <c r="C1296">
        <v>4.6575342465753428E-2</v>
      </c>
    </row>
    <row r="1297" spans="1:3" x14ac:dyDescent="0.25">
      <c r="A1297" t="s">
        <v>125</v>
      </c>
      <c r="B1297">
        <v>0</v>
      </c>
      <c r="C1297">
        <v>4.1095890410958902E-2</v>
      </c>
    </row>
    <row r="1298" spans="1:3" x14ac:dyDescent="0.25">
      <c r="A1298" t="s">
        <v>67</v>
      </c>
      <c r="B1298">
        <v>1</v>
      </c>
      <c r="C1298">
        <v>3.5616438356164383E-2</v>
      </c>
    </row>
    <row r="1299" spans="1:3" x14ac:dyDescent="0.25">
      <c r="A1299" t="s">
        <v>28</v>
      </c>
      <c r="B1299">
        <v>22</v>
      </c>
      <c r="C1299">
        <v>4.3835616438356165E-2</v>
      </c>
    </row>
    <row r="1300" spans="1:3" x14ac:dyDescent="0.25">
      <c r="A1300" t="s">
        <v>92</v>
      </c>
      <c r="B1300">
        <v>3</v>
      </c>
      <c r="C1300">
        <v>3.0136986301369864E-2</v>
      </c>
    </row>
    <row r="1301" spans="1:3" x14ac:dyDescent="0.25">
      <c r="A1301" t="s">
        <v>136</v>
      </c>
      <c r="B1301">
        <v>3</v>
      </c>
      <c r="C1301">
        <v>1.3698630136986301E-2</v>
      </c>
    </row>
    <row r="1302" spans="1:3" x14ac:dyDescent="0.25">
      <c r="A1302" t="s">
        <v>187</v>
      </c>
      <c r="B1302">
        <v>11</v>
      </c>
      <c r="C1302">
        <v>5.7534246575342465E-2</v>
      </c>
    </row>
    <row r="1303" spans="1:3" x14ac:dyDescent="0.25">
      <c r="A1303" t="s">
        <v>164</v>
      </c>
      <c r="B1303">
        <v>13</v>
      </c>
      <c r="C1303">
        <v>6.8493150684931503E-2</v>
      </c>
    </row>
    <row r="1304" spans="1:3" x14ac:dyDescent="0.25">
      <c r="A1304" t="s">
        <v>153</v>
      </c>
      <c r="B1304">
        <v>9</v>
      </c>
      <c r="C1304">
        <v>5.4794520547945202E-2</v>
      </c>
    </row>
    <row r="1305" spans="1:3" x14ac:dyDescent="0.25">
      <c r="A1305" t="s">
        <v>116</v>
      </c>
      <c r="B1305">
        <v>13</v>
      </c>
      <c r="C1305">
        <v>6.8493150684931503E-2</v>
      </c>
    </row>
    <row r="1306" spans="1:3" x14ac:dyDescent="0.25">
      <c r="A1306" t="s">
        <v>176</v>
      </c>
      <c r="B1306">
        <v>10</v>
      </c>
      <c r="C1306">
        <v>5.7534246575342465E-2</v>
      </c>
    </row>
    <row r="1307" spans="1:3" x14ac:dyDescent="0.25">
      <c r="A1307" t="s">
        <v>111</v>
      </c>
      <c r="B1307">
        <v>15</v>
      </c>
      <c r="C1307">
        <v>9.5890410958904104E-2</v>
      </c>
    </row>
    <row r="1308" spans="1:3" x14ac:dyDescent="0.25">
      <c r="A1308" t="s">
        <v>106</v>
      </c>
      <c r="B1308">
        <v>10</v>
      </c>
      <c r="C1308">
        <v>5.2054794520547946E-2</v>
      </c>
    </row>
    <row r="1309" spans="1:3" x14ac:dyDescent="0.25">
      <c r="A1309" t="s">
        <v>119</v>
      </c>
      <c r="B1309">
        <v>15</v>
      </c>
      <c r="C1309">
        <v>3.8356164383561646E-2</v>
      </c>
    </row>
    <row r="1310" spans="1:3" x14ac:dyDescent="0.25">
      <c r="A1310" t="s">
        <v>25</v>
      </c>
      <c r="B1310">
        <v>7</v>
      </c>
      <c r="C1310">
        <v>4.3835616438356165E-2</v>
      </c>
    </row>
    <row r="1311" spans="1:3" x14ac:dyDescent="0.25">
      <c r="A1311" t="s">
        <v>111</v>
      </c>
      <c r="B1311">
        <v>11</v>
      </c>
      <c r="C1311">
        <v>9.0410958904109592E-2</v>
      </c>
    </row>
    <row r="1312" spans="1:3" x14ac:dyDescent="0.25">
      <c r="A1312" t="s">
        <v>199</v>
      </c>
      <c r="B1312">
        <v>12</v>
      </c>
      <c r="C1312">
        <v>2.4657534246575342E-2</v>
      </c>
    </row>
    <row r="1313" spans="1:3" x14ac:dyDescent="0.25">
      <c r="A1313" t="s">
        <v>116</v>
      </c>
      <c r="B1313">
        <v>11</v>
      </c>
      <c r="C1313">
        <v>6.3013698630136991E-2</v>
      </c>
    </row>
    <row r="1314" spans="1:3" x14ac:dyDescent="0.25">
      <c r="A1314" t="s">
        <v>182</v>
      </c>
      <c r="B1314">
        <v>10</v>
      </c>
      <c r="C1314">
        <v>5.7534246575342465E-2</v>
      </c>
    </row>
    <row r="1315" spans="1:3" x14ac:dyDescent="0.25">
      <c r="A1315" t="s">
        <v>142</v>
      </c>
      <c r="B1315">
        <v>10</v>
      </c>
      <c r="C1315">
        <v>3.287671232876712E-2</v>
      </c>
    </row>
    <row r="1316" spans="1:3" x14ac:dyDescent="0.25">
      <c r="A1316" t="s">
        <v>190</v>
      </c>
      <c r="B1316">
        <v>15</v>
      </c>
      <c r="C1316">
        <v>2.4657534246575342E-2</v>
      </c>
    </row>
    <row r="1317" spans="1:3" x14ac:dyDescent="0.25">
      <c r="A1317" t="s">
        <v>161</v>
      </c>
      <c r="B1317">
        <v>12</v>
      </c>
      <c r="C1317">
        <v>3.8356164383561646E-2</v>
      </c>
    </row>
    <row r="1318" spans="1:3" x14ac:dyDescent="0.25">
      <c r="A1318" t="s">
        <v>156</v>
      </c>
      <c r="B1318">
        <v>12</v>
      </c>
      <c r="C1318">
        <v>6.8493150684931503E-2</v>
      </c>
    </row>
    <row r="1319" spans="1:3" x14ac:dyDescent="0.25">
      <c r="A1319" t="s">
        <v>180</v>
      </c>
      <c r="B1319">
        <v>11</v>
      </c>
      <c r="C1319">
        <v>3.5616438356164383E-2</v>
      </c>
    </row>
    <row r="1320" spans="1:3" x14ac:dyDescent="0.25">
      <c r="A1320" t="s">
        <v>116</v>
      </c>
      <c r="B1320">
        <v>9</v>
      </c>
      <c r="C1320">
        <v>5.7534246575342465E-2</v>
      </c>
    </row>
    <row r="1321" spans="1:3" x14ac:dyDescent="0.25">
      <c r="A1321" t="s">
        <v>43</v>
      </c>
      <c r="B1321">
        <v>11</v>
      </c>
      <c r="C1321">
        <v>4.3835616438356165E-2</v>
      </c>
    </row>
    <row r="1322" spans="1:3" x14ac:dyDescent="0.25">
      <c r="A1322" t="s">
        <v>150</v>
      </c>
      <c r="B1322">
        <v>11</v>
      </c>
      <c r="C1322">
        <v>8.7671232876712329E-2</v>
      </c>
    </row>
    <row r="1323" spans="1:3" x14ac:dyDescent="0.25">
      <c r="A1323" t="s">
        <v>45</v>
      </c>
      <c r="B1323">
        <v>10</v>
      </c>
      <c r="C1323">
        <v>5.2054794520547946E-2</v>
      </c>
    </row>
    <row r="1324" spans="1:3" x14ac:dyDescent="0.25">
      <c r="A1324" t="s">
        <v>135</v>
      </c>
      <c r="B1324">
        <v>9</v>
      </c>
      <c r="C1324">
        <v>5.7534246575342465E-2</v>
      </c>
    </row>
    <row r="1325" spans="1:3" x14ac:dyDescent="0.25">
      <c r="A1325" t="s">
        <v>169</v>
      </c>
      <c r="B1325">
        <v>15</v>
      </c>
      <c r="C1325">
        <v>2.7397260273972601E-2</v>
      </c>
    </row>
    <row r="1326" spans="1:3" x14ac:dyDescent="0.25">
      <c r="A1326" t="s">
        <v>151</v>
      </c>
      <c r="B1326">
        <v>8</v>
      </c>
      <c r="C1326">
        <v>5.7534246575342465E-2</v>
      </c>
    </row>
    <row r="1327" spans="1:3" x14ac:dyDescent="0.25">
      <c r="A1327" t="s">
        <v>154</v>
      </c>
      <c r="B1327">
        <v>13</v>
      </c>
      <c r="C1327">
        <v>2.4657534246575342E-2</v>
      </c>
    </row>
    <row r="1328" spans="1:3" x14ac:dyDescent="0.25">
      <c r="A1328" t="s">
        <v>100</v>
      </c>
      <c r="B1328">
        <v>14</v>
      </c>
      <c r="C1328">
        <v>3.5616438356164383E-2</v>
      </c>
    </row>
    <row r="1329" spans="1:3" x14ac:dyDescent="0.25">
      <c r="A1329" t="s">
        <v>163</v>
      </c>
      <c r="B1329">
        <v>8</v>
      </c>
      <c r="C1329">
        <v>5.4794520547945202E-2</v>
      </c>
    </row>
    <row r="1330" spans="1:3" x14ac:dyDescent="0.25">
      <c r="A1330" t="s">
        <v>209</v>
      </c>
      <c r="B1330">
        <v>15</v>
      </c>
      <c r="C1330">
        <v>5.4794520547945202E-2</v>
      </c>
    </row>
    <row r="1331" spans="1:3" x14ac:dyDescent="0.25">
      <c r="A1331" t="s">
        <v>108</v>
      </c>
      <c r="B1331">
        <v>20</v>
      </c>
      <c r="C1331">
        <v>3.5616438356164383E-2</v>
      </c>
    </row>
    <row r="1332" spans="1:3" x14ac:dyDescent="0.25">
      <c r="A1332" t="s">
        <v>104</v>
      </c>
      <c r="B1332">
        <v>23</v>
      </c>
      <c r="C1332">
        <v>3.5616438356164383E-2</v>
      </c>
    </row>
    <row r="1333" spans="1:3" x14ac:dyDescent="0.25">
      <c r="A1333" t="s">
        <v>133</v>
      </c>
      <c r="B1333">
        <v>16</v>
      </c>
      <c r="C1333">
        <v>7.9452054794520555E-2</v>
      </c>
    </row>
    <row r="1334" spans="1:3" x14ac:dyDescent="0.25">
      <c r="A1334" t="s">
        <v>71</v>
      </c>
      <c r="B1334">
        <v>17</v>
      </c>
      <c r="C1334">
        <v>0.11232876712328767</v>
      </c>
    </row>
    <row r="1335" spans="1:3" x14ac:dyDescent="0.25">
      <c r="A1335" t="s">
        <v>131</v>
      </c>
      <c r="B1335">
        <v>18</v>
      </c>
      <c r="C1335">
        <v>4.6575342465753428E-2</v>
      </c>
    </row>
    <row r="1336" spans="1:3" x14ac:dyDescent="0.25">
      <c r="A1336" t="s">
        <v>98</v>
      </c>
      <c r="B1336">
        <v>17</v>
      </c>
      <c r="C1336">
        <v>3.0136986301369864E-2</v>
      </c>
    </row>
    <row r="1337" spans="1:3" x14ac:dyDescent="0.25">
      <c r="A1337" t="s">
        <v>143</v>
      </c>
      <c r="B1337">
        <v>22</v>
      </c>
      <c r="C1337">
        <v>5.4794520547945202E-2</v>
      </c>
    </row>
    <row r="1338" spans="1:3" x14ac:dyDescent="0.25">
      <c r="A1338" t="s">
        <v>147</v>
      </c>
      <c r="B1338">
        <v>17</v>
      </c>
      <c r="C1338">
        <v>4.3835616438356165E-2</v>
      </c>
    </row>
    <row r="1339" spans="1:3" x14ac:dyDescent="0.25">
      <c r="A1339" t="s">
        <v>133</v>
      </c>
      <c r="B1339">
        <v>19</v>
      </c>
      <c r="C1339">
        <v>7.9452054794520555E-2</v>
      </c>
    </row>
    <row r="1340" spans="1:3" x14ac:dyDescent="0.25">
      <c r="A1340" t="s">
        <v>204</v>
      </c>
      <c r="B1340">
        <v>16</v>
      </c>
      <c r="C1340">
        <v>3.0136986301369864E-2</v>
      </c>
    </row>
    <row r="1341" spans="1:3" x14ac:dyDescent="0.25">
      <c r="A1341" t="s">
        <v>70</v>
      </c>
      <c r="B1341">
        <v>23</v>
      </c>
      <c r="C1341">
        <v>2.4657534246575342E-2</v>
      </c>
    </row>
    <row r="1342" spans="1:3" x14ac:dyDescent="0.25">
      <c r="A1342" t="s">
        <v>96</v>
      </c>
      <c r="B1342">
        <v>5</v>
      </c>
      <c r="C1342">
        <v>2.7397260273972603E-3</v>
      </c>
    </row>
    <row r="1343" spans="1:3" x14ac:dyDescent="0.25">
      <c r="A1343" t="s">
        <v>94</v>
      </c>
      <c r="B1343">
        <v>1</v>
      </c>
      <c r="C1343">
        <v>3.0136986301369864E-2</v>
      </c>
    </row>
    <row r="1344" spans="1:3" x14ac:dyDescent="0.25">
      <c r="A1344" t="s">
        <v>160</v>
      </c>
      <c r="B1344">
        <v>7</v>
      </c>
      <c r="C1344">
        <v>3.5616438356164383E-2</v>
      </c>
    </row>
    <row r="1345" spans="1:3" x14ac:dyDescent="0.25">
      <c r="A1345" t="s">
        <v>134</v>
      </c>
      <c r="B1345">
        <v>0</v>
      </c>
      <c r="C1345">
        <v>3.5616438356164383E-2</v>
      </c>
    </row>
    <row r="1346" spans="1:3" x14ac:dyDescent="0.25">
      <c r="A1346" t="s">
        <v>102</v>
      </c>
      <c r="B1346">
        <v>6</v>
      </c>
      <c r="C1346">
        <v>1.9178082191780823E-2</v>
      </c>
    </row>
    <row r="1347" spans="1:3" x14ac:dyDescent="0.25">
      <c r="A1347" t="s">
        <v>131</v>
      </c>
      <c r="B1347">
        <v>6</v>
      </c>
      <c r="C1347">
        <v>1.9178082191780823E-2</v>
      </c>
    </row>
    <row r="1348" spans="1:3" x14ac:dyDescent="0.25">
      <c r="A1348" t="s">
        <v>89</v>
      </c>
      <c r="B1348">
        <v>2</v>
      </c>
      <c r="C1348">
        <v>3.287671232876712E-2</v>
      </c>
    </row>
    <row r="1349" spans="1:3" x14ac:dyDescent="0.25">
      <c r="A1349" t="s">
        <v>156</v>
      </c>
      <c r="B1349">
        <v>1</v>
      </c>
      <c r="C1349">
        <v>3.0136986301369864E-2</v>
      </c>
    </row>
    <row r="1350" spans="1:3" x14ac:dyDescent="0.25">
      <c r="A1350" t="s">
        <v>80</v>
      </c>
      <c r="B1350">
        <v>4</v>
      </c>
      <c r="C1350">
        <v>3.5616438356164383E-2</v>
      </c>
    </row>
    <row r="1351" spans="1:3" x14ac:dyDescent="0.25">
      <c r="A1351" t="s">
        <v>200</v>
      </c>
      <c r="B1351">
        <v>11</v>
      </c>
      <c r="C1351">
        <v>5.4794520547945202E-2</v>
      </c>
    </row>
    <row r="1352" spans="1:3" x14ac:dyDescent="0.25">
      <c r="A1352" t="s">
        <v>101</v>
      </c>
      <c r="B1352">
        <v>10</v>
      </c>
      <c r="C1352">
        <v>3.287671232876712E-2</v>
      </c>
    </row>
    <row r="1353" spans="1:3" x14ac:dyDescent="0.25">
      <c r="A1353" t="s">
        <v>136</v>
      </c>
      <c r="B1353">
        <v>12</v>
      </c>
      <c r="C1353">
        <v>3.287671232876712E-2</v>
      </c>
    </row>
    <row r="1354" spans="1:3" x14ac:dyDescent="0.25">
      <c r="A1354" t="s">
        <v>157</v>
      </c>
      <c r="B1354">
        <v>8</v>
      </c>
      <c r="C1354">
        <v>3.5616438356164383E-2</v>
      </c>
    </row>
    <row r="1355" spans="1:3" x14ac:dyDescent="0.25">
      <c r="A1355" t="s">
        <v>142</v>
      </c>
      <c r="B1355">
        <v>9</v>
      </c>
      <c r="C1355">
        <v>3.287671232876712E-2</v>
      </c>
    </row>
    <row r="1356" spans="1:3" x14ac:dyDescent="0.25">
      <c r="A1356" t="s">
        <v>112</v>
      </c>
      <c r="B1356">
        <v>12</v>
      </c>
      <c r="C1356">
        <v>5.4794520547945202E-2</v>
      </c>
    </row>
    <row r="1357" spans="1:3" x14ac:dyDescent="0.25">
      <c r="A1357" t="s">
        <v>160</v>
      </c>
      <c r="B1357">
        <v>14</v>
      </c>
      <c r="C1357">
        <v>6.575342465753424E-2</v>
      </c>
    </row>
    <row r="1358" spans="1:3" x14ac:dyDescent="0.25">
      <c r="A1358" t="s">
        <v>129</v>
      </c>
      <c r="B1358">
        <v>15</v>
      </c>
      <c r="C1358">
        <v>5.4794520547945202E-2</v>
      </c>
    </row>
    <row r="1359" spans="1:3" x14ac:dyDescent="0.25">
      <c r="A1359" t="s">
        <v>102</v>
      </c>
      <c r="B1359">
        <v>8</v>
      </c>
      <c r="C1359">
        <v>3.0136986301369864E-2</v>
      </c>
    </row>
    <row r="1360" spans="1:3" x14ac:dyDescent="0.25">
      <c r="A1360" t="s">
        <v>168</v>
      </c>
      <c r="B1360">
        <v>15</v>
      </c>
      <c r="C1360">
        <v>5.2054794520547946E-2</v>
      </c>
    </row>
    <row r="1361" spans="1:3" x14ac:dyDescent="0.25">
      <c r="A1361" t="s">
        <v>202</v>
      </c>
      <c r="B1361">
        <v>14</v>
      </c>
      <c r="C1361">
        <v>4.9315068493150684E-2</v>
      </c>
    </row>
    <row r="1362" spans="1:3" x14ac:dyDescent="0.25">
      <c r="A1362" t="s">
        <v>163</v>
      </c>
      <c r="B1362">
        <v>14</v>
      </c>
      <c r="C1362">
        <v>5.4794520547945202E-2</v>
      </c>
    </row>
    <row r="1363" spans="1:3" x14ac:dyDescent="0.25">
      <c r="A1363" t="s">
        <v>135</v>
      </c>
      <c r="B1363">
        <v>8</v>
      </c>
      <c r="C1363">
        <v>4.9315068493150684E-2</v>
      </c>
    </row>
    <row r="1364" spans="1:3" x14ac:dyDescent="0.25">
      <c r="A1364" t="s">
        <v>109</v>
      </c>
      <c r="B1364">
        <v>8</v>
      </c>
      <c r="C1364">
        <v>6.3013698630136991E-2</v>
      </c>
    </row>
    <row r="1365" spans="1:3" x14ac:dyDescent="0.25">
      <c r="A1365" t="s">
        <v>195</v>
      </c>
      <c r="B1365">
        <v>8</v>
      </c>
      <c r="C1365">
        <v>3.5616438356164383E-2</v>
      </c>
    </row>
    <row r="1366" spans="1:3" x14ac:dyDescent="0.25">
      <c r="A1366" t="s">
        <v>97</v>
      </c>
      <c r="B1366">
        <v>13</v>
      </c>
      <c r="C1366">
        <v>3.287671232876712E-2</v>
      </c>
    </row>
    <row r="1367" spans="1:3" x14ac:dyDescent="0.25">
      <c r="A1367" t="s">
        <v>210</v>
      </c>
      <c r="B1367">
        <v>9</v>
      </c>
      <c r="C1367">
        <v>3.287671232876712E-2</v>
      </c>
    </row>
    <row r="1368" spans="1:3" x14ac:dyDescent="0.25">
      <c r="A1368" t="s">
        <v>164</v>
      </c>
      <c r="B1368">
        <v>12</v>
      </c>
      <c r="C1368">
        <v>6.0273972602739728E-2</v>
      </c>
    </row>
    <row r="1369" spans="1:3" x14ac:dyDescent="0.25">
      <c r="A1369" t="s">
        <v>211</v>
      </c>
      <c r="B1369">
        <v>8</v>
      </c>
      <c r="C1369">
        <v>4.6575342465753428E-2</v>
      </c>
    </row>
    <row r="1370" spans="1:3" x14ac:dyDescent="0.25">
      <c r="A1370" t="s">
        <v>68</v>
      </c>
      <c r="B1370">
        <v>9</v>
      </c>
      <c r="C1370">
        <v>5.7534246575342465E-2</v>
      </c>
    </row>
    <row r="1371" spans="1:3" x14ac:dyDescent="0.25">
      <c r="A1371" t="s">
        <v>197</v>
      </c>
      <c r="B1371">
        <v>13</v>
      </c>
      <c r="C1371">
        <v>2.4657534246575342E-2</v>
      </c>
    </row>
    <row r="1372" spans="1:3" x14ac:dyDescent="0.25">
      <c r="A1372" t="s">
        <v>174</v>
      </c>
      <c r="B1372">
        <v>15</v>
      </c>
      <c r="C1372">
        <v>9.0410958904109592E-2</v>
      </c>
    </row>
    <row r="1373" spans="1:3" x14ac:dyDescent="0.25">
      <c r="A1373" t="s">
        <v>71</v>
      </c>
      <c r="B1373">
        <v>14</v>
      </c>
      <c r="C1373">
        <v>5.4794520547945202E-2</v>
      </c>
    </row>
    <row r="1374" spans="1:3" x14ac:dyDescent="0.25">
      <c r="A1374" t="s">
        <v>167</v>
      </c>
      <c r="B1374">
        <v>10</v>
      </c>
      <c r="C1374">
        <v>5.2054794520547946E-2</v>
      </c>
    </row>
    <row r="1375" spans="1:3" x14ac:dyDescent="0.25">
      <c r="A1375" t="s">
        <v>202</v>
      </c>
      <c r="B1375">
        <v>15</v>
      </c>
      <c r="C1375">
        <v>4.3835616438356165E-2</v>
      </c>
    </row>
    <row r="1376" spans="1:3" x14ac:dyDescent="0.25">
      <c r="A1376" t="s">
        <v>189</v>
      </c>
      <c r="B1376">
        <v>13</v>
      </c>
      <c r="C1376">
        <v>5.4794520547945202E-2</v>
      </c>
    </row>
    <row r="1377" spans="1:3" x14ac:dyDescent="0.25">
      <c r="A1377" t="s">
        <v>142</v>
      </c>
      <c r="B1377">
        <v>18</v>
      </c>
      <c r="C1377">
        <v>3.0136986301369864E-2</v>
      </c>
    </row>
    <row r="1378" spans="1:3" x14ac:dyDescent="0.25">
      <c r="A1378" t="s">
        <v>135</v>
      </c>
      <c r="B1378">
        <v>16</v>
      </c>
      <c r="C1378">
        <v>6.3013698630136991E-2</v>
      </c>
    </row>
    <row r="1379" spans="1:3" x14ac:dyDescent="0.25">
      <c r="A1379" t="s">
        <v>143</v>
      </c>
      <c r="B1379">
        <v>21</v>
      </c>
      <c r="C1379">
        <v>5.2054794520547946E-2</v>
      </c>
    </row>
    <row r="1380" spans="1:3" x14ac:dyDescent="0.25">
      <c r="A1380" t="s">
        <v>67</v>
      </c>
      <c r="B1380">
        <v>22</v>
      </c>
      <c r="C1380">
        <v>6.3013698630136991E-2</v>
      </c>
    </row>
    <row r="1381" spans="1:3" x14ac:dyDescent="0.25">
      <c r="A1381" t="s">
        <v>115</v>
      </c>
      <c r="B1381">
        <v>17</v>
      </c>
      <c r="C1381">
        <v>5.7534246575342465E-2</v>
      </c>
    </row>
    <row r="1382" spans="1:3" x14ac:dyDescent="0.25">
      <c r="A1382" t="s">
        <v>163</v>
      </c>
      <c r="B1382">
        <v>17</v>
      </c>
      <c r="C1382">
        <v>5.7534246575342465E-2</v>
      </c>
    </row>
    <row r="1383" spans="1:3" x14ac:dyDescent="0.25">
      <c r="A1383" t="s">
        <v>116</v>
      </c>
      <c r="B1383">
        <v>17</v>
      </c>
      <c r="C1383">
        <v>8.4931506849315067E-2</v>
      </c>
    </row>
    <row r="1384" spans="1:3" x14ac:dyDescent="0.25">
      <c r="A1384" t="s">
        <v>186</v>
      </c>
      <c r="B1384">
        <v>16</v>
      </c>
      <c r="C1384">
        <v>3.5616438356164383E-2</v>
      </c>
    </row>
    <row r="1385" spans="1:3" x14ac:dyDescent="0.25">
      <c r="A1385" t="s">
        <v>128</v>
      </c>
      <c r="B1385">
        <v>18</v>
      </c>
      <c r="C1385">
        <v>2.4657534246575342E-2</v>
      </c>
    </row>
    <row r="1386" spans="1:3" x14ac:dyDescent="0.25">
      <c r="A1386" t="s">
        <v>119</v>
      </c>
      <c r="B1386">
        <v>17</v>
      </c>
      <c r="C1386">
        <v>3.5616438356164383E-2</v>
      </c>
    </row>
    <row r="1387" spans="1:3" x14ac:dyDescent="0.25">
      <c r="A1387" t="s">
        <v>174</v>
      </c>
      <c r="B1387">
        <v>21</v>
      </c>
      <c r="C1387">
        <v>6.0273972602739728E-2</v>
      </c>
    </row>
    <row r="1388" spans="1:3" x14ac:dyDescent="0.25">
      <c r="A1388" t="s">
        <v>184</v>
      </c>
      <c r="B1388">
        <v>22</v>
      </c>
      <c r="C1388">
        <v>2.4657534246575342E-2</v>
      </c>
    </row>
    <row r="1389" spans="1:3" x14ac:dyDescent="0.25">
      <c r="A1389" t="s">
        <v>70</v>
      </c>
      <c r="B1389">
        <v>18</v>
      </c>
      <c r="C1389">
        <v>2.4657534246575342E-2</v>
      </c>
    </row>
    <row r="1390" spans="1:3" x14ac:dyDescent="0.25">
      <c r="A1390" t="s">
        <v>159</v>
      </c>
      <c r="B1390">
        <v>17</v>
      </c>
      <c r="C1390">
        <v>2.1917808219178082E-2</v>
      </c>
    </row>
    <row r="1391" spans="1:3" x14ac:dyDescent="0.25">
      <c r="A1391" t="s">
        <v>173</v>
      </c>
      <c r="B1391">
        <v>16</v>
      </c>
      <c r="C1391">
        <v>3.287671232876712E-2</v>
      </c>
    </row>
    <row r="1392" spans="1:3" x14ac:dyDescent="0.25">
      <c r="A1392" t="s">
        <v>191</v>
      </c>
      <c r="B1392">
        <v>16</v>
      </c>
      <c r="C1392">
        <v>3.287671232876712E-2</v>
      </c>
    </row>
    <row r="1393" spans="1:3" x14ac:dyDescent="0.25">
      <c r="A1393" t="s">
        <v>172</v>
      </c>
      <c r="B1393">
        <v>20</v>
      </c>
      <c r="C1393">
        <v>3.287671232876712E-2</v>
      </c>
    </row>
    <row r="1394" spans="1:3" x14ac:dyDescent="0.25">
      <c r="A1394" t="s">
        <v>142</v>
      </c>
      <c r="B1394">
        <v>16</v>
      </c>
      <c r="C1394">
        <v>3.0136986301369864E-2</v>
      </c>
    </row>
    <row r="1395" spans="1:3" x14ac:dyDescent="0.25">
      <c r="A1395" t="s">
        <v>93</v>
      </c>
      <c r="B1395">
        <v>23</v>
      </c>
      <c r="C1395">
        <v>6.3013698630136991E-2</v>
      </c>
    </row>
    <row r="1396" spans="1:3" x14ac:dyDescent="0.25">
      <c r="A1396" t="s">
        <v>107</v>
      </c>
      <c r="B1396">
        <v>20</v>
      </c>
      <c r="C1396">
        <v>6.0273972602739728E-2</v>
      </c>
    </row>
    <row r="1397" spans="1:3" x14ac:dyDescent="0.25">
      <c r="A1397" t="s">
        <v>179</v>
      </c>
      <c r="B1397">
        <v>21</v>
      </c>
      <c r="C1397">
        <v>1.3698630136986301E-2</v>
      </c>
    </row>
    <row r="1398" spans="1:3" x14ac:dyDescent="0.25">
      <c r="A1398" t="s">
        <v>182</v>
      </c>
      <c r="B1398">
        <v>18</v>
      </c>
      <c r="C1398">
        <v>6.0273972602739728E-2</v>
      </c>
    </row>
    <row r="1399" spans="1:3" x14ac:dyDescent="0.25">
      <c r="A1399" t="s">
        <v>149</v>
      </c>
      <c r="B1399">
        <v>21</v>
      </c>
      <c r="C1399">
        <v>5.4794520547945202E-2</v>
      </c>
    </row>
    <row r="1400" spans="1:3" x14ac:dyDescent="0.25">
      <c r="A1400" t="s">
        <v>200</v>
      </c>
      <c r="B1400">
        <v>18</v>
      </c>
      <c r="C1400">
        <v>5.2054794520547946E-2</v>
      </c>
    </row>
    <row r="1401" spans="1:3" x14ac:dyDescent="0.25">
      <c r="A1401" t="s">
        <v>119</v>
      </c>
      <c r="B1401">
        <v>21</v>
      </c>
      <c r="C1401">
        <v>3.287671232876712E-2</v>
      </c>
    </row>
    <row r="1402" spans="1:3" x14ac:dyDescent="0.25">
      <c r="A1402" t="s">
        <v>114</v>
      </c>
      <c r="B1402">
        <v>22</v>
      </c>
      <c r="C1402">
        <v>5.7534246575342465E-2</v>
      </c>
    </row>
    <row r="1403" spans="1:3" x14ac:dyDescent="0.25">
      <c r="A1403" t="s">
        <v>116</v>
      </c>
      <c r="B1403">
        <v>22</v>
      </c>
      <c r="C1403">
        <v>6.0273972602739728E-2</v>
      </c>
    </row>
    <row r="1404" spans="1:3" x14ac:dyDescent="0.25">
      <c r="A1404" t="s">
        <v>106</v>
      </c>
      <c r="B1404">
        <v>23</v>
      </c>
      <c r="C1404">
        <v>4.3835616438356165E-2</v>
      </c>
    </row>
    <row r="1405" spans="1:3" x14ac:dyDescent="0.25">
      <c r="A1405" t="s">
        <v>32</v>
      </c>
      <c r="B1405">
        <v>22</v>
      </c>
      <c r="C1405">
        <v>4.3835616438356165E-2</v>
      </c>
    </row>
    <row r="1406" spans="1:3" x14ac:dyDescent="0.25">
      <c r="A1406" t="s">
        <v>152</v>
      </c>
      <c r="B1406">
        <v>22</v>
      </c>
      <c r="C1406">
        <v>5.2054794520547946E-2</v>
      </c>
    </row>
    <row r="1407" spans="1:3" x14ac:dyDescent="0.25">
      <c r="A1407" t="s">
        <v>21</v>
      </c>
      <c r="B1407">
        <v>7</v>
      </c>
      <c r="C1407">
        <v>4.3835616438356165E-2</v>
      </c>
    </row>
    <row r="1408" spans="1:3" x14ac:dyDescent="0.25">
      <c r="A1408" t="s">
        <v>193</v>
      </c>
      <c r="B1408">
        <v>7</v>
      </c>
      <c r="C1408">
        <v>1.3698630136986301E-2</v>
      </c>
    </row>
    <row r="1409" spans="1:3" x14ac:dyDescent="0.25">
      <c r="A1409" t="s">
        <v>67</v>
      </c>
      <c r="B1409">
        <v>2</v>
      </c>
      <c r="C1409">
        <v>3.287671232876712E-2</v>
      </c>
    </row>
    <row r="1410" spans="1:3" x14ac:dyDescent="0.25">
      <c r="A1410" t="s">
        <v>182</v>
      </c>
      <c r="B1410">
        <v>7</v>
      </c>
      <c r="C1410">
        <v>3.287671232876712E-2</v>
      </c>
    </row>
    <row r="1411" spans="1:3" x14ac:dyDescent="0.25">
      <c r="A1411" t="s">
        <v>121</v>
      </c>
      <c r="B1411">
        <v>1</v>
      </c>
      <c r="C1411">
        <v>2.7397260273972601E-2</v>
      </c>
    </row>
    <row r="1412" spans="1:3" x14ac:dyDescent="0.25">
      <c r="A1412" t="s">
        <v>177</v>
      </c>
      <c r="B1412">
        <v>2</v>
      </c>
      <c r="C1412">
        <v>1.3698630136986301E-2</v>
      </c>
    </row>
    <row r="1413" spans="1:3" x14ac:dyDescent="0.25">
      <c r="A1413" t="s">
        <v>156</v>
      </c>
      <c r="B1413">
        <v>4</v>
      </c>
      <c r="C1413">
        <v>2.4657534246575342E-2</v>
      </c>
    </row>
    <row r="1414" spans="1:3" x14ac:dyDescent="0.25">
      <c r="A1414" t="s">
        <v>81</v>
      </c>
      <c r="B1414">
        <v>5</v>
      </c>
      <c r="C1414">
        <v>4.1095890410958902E-2</v>
      </c>
    </row>
    <row r="1415" spans="1:3" x14ac:dyDescent="0.25">
      <c r="A1415" t="s">
        <v>71</v>
      </c>
      <c r="B1415">
        <v>0</v>
      </c>
      <c r="C1415">
        <v>2.7397260273972601E-2</v>
      </c>
    </row>
    <row r="1416" spans="1:3" x14ac:dyDescent="0.25">
      <c r="A1416" t="s">
        <v>116</v>
      </c>
      <c r="B1416">
        <v>14</v>
      </c>
      <c r="C1416">
        <v>5.4794520547945202E-2</v>
      </c>
    </row>
    <row r="1417" spans="1:3" x14ac:dyDescent="0.25">
      <c r="A1417" t="s">
        <v>172</v>
      </c>
      <c r="B1417">
        <v>10</v>
      </c>
      <c r="C1417">
        <v>2.7397260273972601E-2</v>
      </c>
    </row>
    <row r="1418" spans="1:3" x14ac:dyDescent="0.25">
      <c r="A1418" t="s">
        <v>132</v>
      </c>
      <c r="B1418">
        <v>11</v>
      </c>
      <c r="C1418">
        <v>2.4657534246575342E-2</v>
      </c>
    </row>
    <row r="1419" spans="1:3" x14ac:dyDescent="0.25">
      <c r="A1419" t="s">
        <v>30</v>
      </c>
      <c r="B1419">
        <v>2</v>
      </c>
      <c r="C1419">
        <v>4.3835616438356165E-2</v>
      </c>
    </row>
    <row r="1420" spans="1:3" x14ac:dyDescent="0.25">
      <c r="A1420" t="s">
        <v>149</v>
      </c>
      <c r="B1420">
        <v>9</v>
      </c>
      <c r="C1420">
        <v>4.6575342465753428E-2</v>
      </c>
    </row>
    <row r="1421" spans="1:3" x14ac:dyDescent="0.25">
      <c r="A1421" t="s">
        <v>128</v>
      </c>
      <c r="B1421">
        <v>8</v>
      </c>
      <c r="C1421">
        <v>2.4657534246575342E-2</v>
      </c>
    </row>
    <row r="1422" spans="1:3" x14ac:dyDescent="0.25">
      <c r="A1422" t="s">
        <v>34</v>
      </c>
      <c r="B1422">
        <v>0</v>
      </c>
      <c r="C1422">
        <v>4.1095890410958902E-2</v>
      </c>
    </row>
    <row r="1423" spans="1:3" x14ac:dyDescent="0.25">
      <c r="A1423" t="s">
        <v>98</v>
      </c>
      <c r="B1423">
        <v>13</v>
      </c>
      <c r="C1423">
        <v>3.287671232876712E-2</v>
      </c>
    </row>
    <row r="1424" spans="1:3" x14ac:dyDescent="0.25">
      <c r="A1424" t="s">
        <v>25</v>
      </c>
      <c r="B1424">
        <v>8</v>
      </c>
      <c r="C1424">
        <v>4.1095890410958902E-2</v>
      </c>
    </row>
    <row r="1425" spans="1:3" x14ac:dyDescent="0.25">
      <c r="A1425" t="s">
        <v>198</v>
      </c>
      <c r="B1425">
        <v>8</v>
      </c>
      <c r="C1425">
        <v>2.7397260273972601E-2</v>
      </c>
    </row>
    <row r="1426" spans="1:3" x14ac:dyDescent="0.25">
      <c r="A1426" t="s">
        <v>180</v>
      </c>
      <c r="B1426">
        <v>15</v>
      </c>
      <c r="C1426">
        <v>3.5616438356164383E-2</v>
      </c>
    </row>
    <row r="1427" spans="1:3" x14ac:dyDescent="0.25">
      <c r="A1427" t="s">
        <v>43</v>
      </c>
      <c r="B1427">
        <v>20</v>
      </c>
      <c r="C1427">
        <v>4.1095890410958902E-2</v>
      </c>
    </row>
    <row r="1428" spans="1:3" x14ac:dyDescent="0.25">
      <c r="A1428" t="s">
        <v>152</v>
      </c>
      <c r="B1428">
        <v>15</v>
      </c>
      <c r="C1428">
        <v>5.2054794520547946E-2</v>
      </c>
    </row>
    <row r="1429" spans="1:3" x14ac:dyDescent="0.25">
      <c r="A1429" t="s">
        <v>153</v>
      </c>
      <c r="B1429">
        <v>12</v>
      </c>
      <c r="C1429">
        <v>4.6575342465753428E-2</v>
      </c>
    </row>
    <row r="1430" spans="1:3" x14ac:dyDescent="0.25">
      <c r="A1430" t="s">
        <v>212</v>
      </c>
      <c r="B1430">
        <v>9</v>
      </c>
      <c r="C1430">
        <v>4.3835616438356165E-2</v>
      </c>
    </row>
    <row r="1431" spans="1:3" x14ac:dyDescent="0.25">
      <c r="A1431" t="s">
        <v>174</v>
      </c>
      <c r="B1431">
        <v>10</v>
      </c>
      <c r="C1431">
        <v>7.9452054794520555E-2</v>
      </c>
    </row>
    <row r="1432" spans="1:3" x14ac:dyDescent="0.25">
      <c r="A1432" t="s">
        <v>42</v>
      </c>
      <c r="B1432">
        <v>0</v>
      </c>
      <c r="C1432">
        <v>4.1095890410958902E-2</v>
      </c>
    </row>
    <row r="1433" spans="1:3" x14ac:dyDescent="0.25">
      <c r="A1433" t="s">
        <v>205</v>
      </c>
      <c r="B1433">
        <v>13</v>
      </c>
      <c r="C1433">
        <v>3.0136986301369864E-2</v>
      </c>
    </row>
    <row r="1434" spans="1:3" x14ac:dyDescent="0.25">
      <c r="A1434" t="s">
        <v>23</v>
      </c>
      <c r="B1434">
        <v>0</v>
      </c>
      <c r="C1434">
        <v>4.1095890410958902E-2</v>
      </c>
    </row>
    <row r="1435" spans="1:3" x14ac:dyDescent="0.25">
      <c r="A1435" t="s">
        <v>30</v>
      </c>
      <c r="B1435">
        <v>1</v>
      </c>
      <c r="C1435">
        <v>4.1095890410958902E-2</v>
      </c>
    </row>
    <row r="1436" spans="1:3" x14ac:dyDescent="0.25">
      <c r="A1436" t="s">
        <v>134</v>
      </c>
      <c r="B1436">
        <v>9</v>
      </c>
      <c r="C1436">
        <v>6.3013698630136991E-2</v>
      </c>
    </row>
    <row r="1437" spans="1:3" x14ac:dyDescent="0.25">
      <c r="A1437" t="s">
        <v>92</v>
      </c>
      <c r="B1437">
        <v>22</v>
      </c>
      <c r="C1437">
        <v>5.2054794520547946E-2</v>
      </c>
    </row>
    <row r="1438" spans="1:3" x14ac:dyDescent="0.25">
      <c r="A1438" t="s">
        <v>115</v>
      </c>
      <c r="B1438">
        <v>16</v>
      </c>
      <c r="C1438">
        <v>0.12876712328767123</v>
      </c>
    </row>
    <row r="1439" spans="1:3" x14ac:dyDescent="0.25">
      <c r="A1439" t="s">
        <v>65</v>
      </c>
      <c r="B1439">
        <v>18</v>
      </c>
      <c r="C1439">
        <v>9.5890410958904104E-2</v>
      </c>
    </row>
    <row r="1440" spans="1:3" x14ac:dyDescent="0.25">
      <c r="A1440" t="s">
        <v>140</v>
      </c>
      <c r="B1440">
        <v>17</v>
      </c>
      <c r="C1440">
        <v>2.1917808219178082E-2</v>
      </c>
    </row>
    <row r="1441" spans="1:3" x14ac:dyDescent="0.25">
      <c r="A1441" t="s">
        <v>135</v>
      </c>
      <c r="B1441">
        <v>23</v>
      </c>
      <c r="C1441">
        <v>5.7534246575342465E-2</v>
      </c>
    </row>
    <row r="1442" spans="1:3" x14ac:dyDescent="0.25">
      <c r="A1442" t="s">
        <v>174</v>
      </c>
      <c r="B1442">
        <v>19</v>
      </c>
      <c r="C1442">
        <v>6.0273972602739728E-2</v>
      </c>
    </row>
    <row r="1443" spans="1:3" x14ac:dyDescent="0.25">
      <c r="A1443" t="s">
        <v>210</v>
      </c>
      <c r="B1443">
        <v>16</v>
      </c>
      <c r="C1443">
        <v>2.7397260273972601E-2</v>
      </c>
    </row>
    <row r="1444" spans="1:3" x14ac:dyDescent="0.25">
      <c r="A1444" t="s">
        <v>94</v>
      </c>
      <c r="B1444">
        <v>22</v>
      </c>
      <c r="C1444">
        <v>4.9315068493150684E-2</v>
      </c>
    </row>
    <row r="1445" spans="1:3" x14ac:dyDescent="0.25">
      <c r="A1445" t="s">
        <v>67</v>
      </c>
      <c r="B1445">
        <v>23</v>
      </c>
      <c r="C1445">
        <v>5.7534246575342465E-2</v>
      </c>
    </row>
    <row r="1446" spans="1:3" x14ac:dyDescent="0.25">
      <c r="A1446" t="s">
        <v>87</v>
      </c>
      <c r="B1446">
        <v>16</v>
      </c>
      <c r="C1446">
        <v>2.7397260273972601E-2</v>
      </c>
    </row>
    <row r="1447" spans="1:3" x14ac:dyDescent="0.25">
      <c r="A1447" t="s">
        <v>109</v>
      </c>
      <c r="B1447">
        <v>23</v>
      </c>
      <c r="C1447">
        <v>5.4794520547945202E-2</v>
      </c>
    </row>
    <row r="1448" spans="1:3" x14ac:dyDescent="0.25">
      <c r="A1448" t="s">
        <v>144</v>
      </c>
      <c r="B1448">
        <v>21</v>
      </c>
      <c r="C1448">
        <v>4.9315068493150684E-2</v>
      </c>
    </row>
    <row r="1449" spans="1:3" x14ac:dyDescent="0.25">
      <c r="A1449" t="s">
        <v>135</v>
      </c>
      <c r="B1449">
        <v>21</v>
      </c>
      <c r="C1449">
        <v>5.4794520547945202E-2</v>
      </c>
    </row>
    <row r="1450" spans="1:3" x14ac:dyDescent="0.25">
      <c r="A1450" t="s">
        <v>195</v>
      </c>
      <c r="B1450">
        <v>16</v>
      </c>
      <c r="C1450">
        <v>3.287671232876712E-2</v>
      </c>
    </row>
    <row r="1451" spans="1:3" x14ac:dyDescent="0.25">
      <c r="A1451" t="s">
        <v>23</v>
      </c>
      <c r="B1451">
        <v>2</v>
      </c>
      <c r="C1451">
        <v>3.8356164383561646E-2</v>
      </c>
    </row>
    <row r="1452" spans="1:3" x14ac:dyDescent="0.25">
      <c r="A1452" t="s">
        <v>38</v>
      </c>
      <c r="B1452">
        <v>15</v>
      </c>
      <c r="C1452">
        <v>3.8356164383561646E-2</v>
      </c>
    </row>
    <row r="1453" spans="1:3" x14ac:dyDescent="0.25">
      <c r="A1453" t="s">
        <v>156</v>
      </c>
      <c r="B1453">
        <v>21</v>
      </c>
      <c r="C1453">
        <v>5.7534246575342465E-2</v>
      </c>
    </row>
    <row r="1454" spans="1:3" x14ac:dyDescent="0.25">
      <c r="A1454" t="s">
        <v>213</v>
      </c>
      <c r="B1454">
        <v>23</v>
      </c>
      <c r="C1454">
        <v>5.4794520547945206E-3</v>
      </c>
    </row>
    <row r="1455" spans="1:3" x14ac:dyDescent="0.25">
      <c r="A1455" t="s">
        <v>91</v>
      </c>
      <c r="B1455">
        <v>2</v>
      </c>
      <c r="C1455">
        <v>3.8356164383561646E-2</v>
      </c>
    </row>
    <row r="1456" spans="1:3" x14ac:dyDescent="0.25">
      <c r="A1456" t="s">
        <v>152</v>
      </c>
      <c r="B1456">
        <v>3</v>
      </c>
      <c r="C1456">
        <v>2.7397260273972601E-2</v>
      </c>
    </row>
    <row r="1457" spans="1:3" x14ac:dyDescent="0.25">
      <c r="A1457" t="s">
        <v>75</v>
      </c>
      <c r="B1457">
        <v>6</v>
      </c>
      <c r="C1457">
        <v>3.5616438356164383E-2</v>
      </c>
    </row>
    <row r="1458" spans="1:3" x14ac:dyDescent="0.25">
      <c r="A1458" t="s">
        <v>112</v>
      </c>
      <c r="B1458">
        <v>5</v>
      </c>
      <c r="C1458">
        <v>2.7397260273972601E-2</v>
      </c>
    </row>
    <row r="1459" spans="1:3" x14ac:dyDescent="0.25">
      <c r="A1459" t="s">
        <v>73</v>
      </c>
      <c r="B1459">
        <v>5</v>
      </c>
      <c r="C1459">
        <v>3.5616438356164383E-2</v>
      </c>
    </row>
    <row r="1460" spans="1:3" x14ac:dyDescent="0.25">
      <c r="A1460" t="s">
        <v>92</v>
      </c>
      <c r="B1460">
        <v>6</v>
      </c>
      <c r="C1460">
        <v>2.7397260273972601E-2</v>
      </c>
    </row>
    <row r="1461" spans="1:3" x14ac:dyDescent="0.25">
      <c r="A1461" t="s">
        <v>187</v>
      </c>
      <c r="B1461">
        <v>7</v>
      </c>
      <c r="C1461">
        <v>3.5616438356164383E-2</v>
      </c>
    </row>
    <row r="1462" spans="1:3" x14ac:dyDescent="0.25">
      <c r="A1462" t="s">
        <v>110</v>
      </c>
      <c r="B1462">
        <v>3</v>
      </c>
      <c r="C1462">
        <v>2.7397260273972601E-2</v>
      </c>
    </row>
    <row r="1463" spans="1:3" x14ac:dyDescent="0.25">
      <c r="A1463" t="s">
        <v>107</v>
      </c>
      <c r="B1463">
        <v>1</v>
      </c>
      <c r="C1463">
        <v>3.287671232876712E-2</v>
      </c>
    </row>
    <row r="1464" spans="1:3" x14ac:dyDescent="0.25">
      <c r="A1464" t="s">
        <v>84</v>
      </c>
      <c r="B1464">
        <v>6</v>
      </c>
      <c r="C1464">
        <v>1.9178082191780823E-2</v>
      </c>
    </row>
    <row r="1465" spans="1:3" x14ac:dyDescent="0.25">
      <c r="A1465" t="s">
        <v>67</v>
      </c>
      <c r="B1465">
        <v>6</v>
      </c>
      <c r="C1465">
        <v>3.287671232876712E-2</v>
      </c>
    </row>
    <row r="1466" spans="1:3" x14ac:dyDescent="0.25">
      <c r="A1466" t="s">
        <v>113</v>
      </c>
      <c r="B1466">
        <v>0</v>
      </c>
      <c r="C1466">
        <v>1.3698630136986301E-2</v>
      </c>
    </row>
    <row r="1467" spans="1:3" x14ac:dyDescent="0.25">
      <c r="A1467" t="s">
        <v>68</v>
      </c>
      <c r="B1467">
        <v>12</v>
      </c>
      <c r="C1467">
        <v>4.9315068493150684E-2</v>
      </c>
    </row>
    <row r="1468" spans="1:3" x14ac:dyDescent="0.25">
      <c r="A1468" t="s">
        <v>45</v>
      </c>
      <c r="B1468">
        <v>15</v>
      </c>
      <c r="C1468">
        <v>5.2054794520547946E-2</v>
      </c>
    </row>
    <row r="1469" spans="1:3" x14ac:dyDescent="0.25">
      <c r="A1469" t="s">
        <v>23</v>
      </c>
      <c r="B1469">
        <v>23</v>
      </c>
      <c r="C1469">
        <v>3.5616438356164383E-2</v>
      </c>
    </row>
    <row r="1470" spans="1:3" x14ac:dyDescent="0.25">
      <c r="A1470" t="s">
        <v>157</v>
      </c>
      <c r="B1470">
        <v>11</v>
      </c>
      <c r="C1470">
        <v>3.5616438356164383E-2</v>
      </c>
    </row>
    <row r="1471" spans="1:3" x14ac:dyDescent="0.25">
      <c r="A1471" t="s">
        <v>214</v>
      </c>
      <c r="B1471">
        <v>11</v>
      </c>
      <c r="C1471">
        <v>4.9315068493150684E-2</v>
      </c>
    </row>
    <row r="1472" spans="1:3" x14ac:dyDescent="0.25">
      <c r="A1472" t="s">
        <v>138</v>
      </c>
      <c r="B1472">
        <v>14</v>
      </c>
      <c r="C1472">
        <v>3.287671232876712E-2</v>
      </c>
    </row>
    <row r="1473" spans="1:3" x14ac:dyDescent="0.25">
      <c r="A1473" t="s">
        <v>155</v>
      </c>
      <c r="B1473">
        <v>8</v>
      </c>
      <c r="C1473">
        <v>4.9315068493150684E-2</v>
      </c>
    </row>
    <row r="1474" spans="1:3" x14ac:dyDescent="0.25">
      <c r="A1474" t="s">
        <v>200</v>
      </c>
      <c r="B1474">
        <v>8</v>
      </c>
      <c r="C1474">
        <v>4.9315068493150684E-2</v>
      </c>
    </row>
    <row r="1475" spans="1:3" x14ac:dyDescent="0.25">
      <c r="A1475" t="s">
        <v>134</v>
      </c>
      <c r="B1475">
        <v>21</v>
      </c>
      <c r="C1475">
        <v>5.4794520547945202E-2</v>
      </c>
    </row>
    <row r="1476" spans="1:3" x14ac:dyDescent="0.25">
      <c r="A1476" t="s">
        <v>214</v>
      </c>
      <c r="B1476">
        <v>17</v>
      </c>
      <c r="C1476">
        <v>4.9315068493150684E-2</v>
      </c>
    </row>
    <row r="1477" spans="1:3" x14ac:dyDescent="0.25">
      <c r="A1477" t="s">
        <v>70</v>
      </c>
      <c r="B1477">
        <v>20</v>
      </c>
      <c r="C1477">
        <v>2.1917808219178082E-2</v>
      </c>
    </row>
    <row r="1478" spans="1:3" x14ac:dyDescent="0.25">
      <c r="A1478" t="s">
        <v>154</v>
      </c>
      <c r="B1478">
        <v>16</v>
      </c>
      <c r="C1478">
        <v>2.1917808219178082E-2</v>
      </c>
    </row>
    <row r="1479" spans="1:3" x14ac:dyDescent="0.25">
      <c r="A1479" t="s">
        <v>205</v>
      </c>
      <c r="B1479">
        <v>18</v>
      </c>
      <c r="C1479">
        <v>2.7397260273972601E-2</v>
      </c>
    </row>
    <row r="1480" spans="1:3" x14ac:dyDescent="0.25">
      <c r="A1480" t="s">
        <v>25</v>
      </c>
      <c r="B1480">
        <v>14</v>
      </c>
      <c r="C1480">
        <v>3.5616438356164383E-2</v>
      </c>
    </row>
    <row r="1481" spans="1:3" x14ac:dyDescent="0.25">
      <c r="A1481" t="s">
        <v>179</v>
      </c>
      <c r="B1481">
        <v>17</v>
      </c>
      <c r="C1481">
        <v>4.3835616438356165E-2</v>
      </c>
    </row>
    <row r="1482" spans="1:3" x14ac:dyDescent="0.25">
      <c r="A1482" t="s">
        <v>203</v>
      </c>
      <c r="B1482">
        <v>19</v>
      </c>
      <c r="C1482">
        <v>3.287671232876712E-2</v>
      </c>
    </row>
    <row r="1483" spans="1:3" x14ac:dyDescent="0.25">
      <c r="A1483" t="s">
        <v>199</v>
      </c>
      <c r="B1483">
        <v>18</v>
      </c>
      <c r="C1483">
        <v>2.1917808219178082E-2</v>
      </c>
    </row>
    <row r="1484" spans="1:3" x14ac:dyDescent="0.25">
      <c r="A1484" t="s">
        <v>200</v>
      </c>
      <c r="B1484">
        <v>19</v>
      </c>
      <c r="C1484">
        <v>4.9315068493150684E-2</v>
      </c>
    </row>
    <row r="1485" spans="1:3" x14ac:dyDescent="0.25">
      <c r="A1485" t="s">
        <v>106</v>
      </c>
      <c r="B1485">
        <v>20</v>
      </c>
      <c r="C1485">
        <v>4.3835616438356165E-2</v>
      </c>
    </row>
    <row r="1486" spans="1:3" x14ac:dyDescent="0.25">
      <c r="A1486" t="s">
        <v>99</v>
      </c>
      <c r="B1486">
        <v>21</v>
      </c>
      <c r="C1486">
        <v>4.9315068493150684E-2</v>
      </c>
    </row>
    <row r="1487" spans="1:3" x14ac:dyDescent="0.25">
      <c r="A1487" t="s">
        <v>79</v>
      </c>
      <c r="B1487">
        <v>16</v>
      </c>
      <c r="C1487">
        <v>3.287671232876712E-2</v>
      </c>
    </row>
    <row r="1488" spans="1:3" x14ac:dyDescent="0.25">
      <c r="A1488" t="s">
        <v>181</v>
      </c>
      <c r="B1488">
        <v>17</v>
      </c>
      <c r="C1488">
        <v>2.1917808219178082E-2</v>
      </c>
    </row>
    <row r="1489" spans="1:3" x14ac:dyDescent="0.25">
      <c r="A1489" t="s">
        <v>107</v>
      </c>
      <c r="B1489">
        <v>22</v>
      </c>
      <c r="C1489">
        <v>5.2054794520547946E-2</v>
      </c>
    </row>
    <row r="1490" spans="1:3" x14ac:dyDescent="0.25">
      <c r="A1490" t="s">
        <v>75</v>
      </c>
      <c r="B1490">
        <v>23</v>
      </c>
      <c r="C1490">
        <v>6.0273972602739728E-2</v>
      </c>
    </row>
    <row r="1491" spans="1:3" x14ac:dyDescent="0.25">
      <c r="A1491" t="s">
        <v>111</v>
      </c>
      <c r="B1491">
        <v>23</v>
      </c>
      <c r="C1491">
        <v>3.8356164383561646E-2</v>
      </c>
    </row>
    <row r="1492" spans="1:3" x14ac:dyDescent="0.25">
      <c r="A1492" t="s">
        <v>132</v>
      </c>
      <c r="B1492">
        <v>6</v>
      </c>
      <c r="C1492">
        <v>1.3698630136986301E-2</v>
      </c>
    </row>
    <row r="1493" spans="1:3" x14ac:dyDescent="0.25">
      <c r="A1493" t="s">
        <v>149</v>
      </c>
      <c r="B1493">
        <v>0</v>
      </c>
      <c r="C1493">
        <v>3.0136986301369864E-2</v>
      </c>
    </row>
    <row r="1494" spans="1:3" x14ac:dyDescent="0.25">
      <c r="A1494" t="s">
        <v>99</v>
      </c>
      <c r="B1494">
        <v>6</v>
      </c>
      <c r="C1494">
        <v>2.7397260273972601E-2</v>
      </c>
    </row>
    <row r="1495" spans="1:3" x14ac:dyDescent="0.25">
      <c r="A1495" t="s">
        <v>186</v>
      </c>
      <c r="B1495">
        <v>7</v>
      </c>
      <c r="C1495">
        <v>1.9178082191780823E-2</v>
      </c>
    </row>
    <row r="1496" spans="1:3" x14ac:dyDescent="0.25">
      <c r="A1496" t="s">
        <v>82</v>
      </c>
      <c r="B1496">
        <v>5</v>
      </c>
      <c r="C1496">
        <v>2.7397260273972601E-2</v>
      </c>
    </row>
    <row r="1497" spans="1:3" x14ac:dyDescent="0.25">
      <c r="A1497" t="s">
        <v>138</v>
      </c>
      <c r="B1497">
        <v>7</v>
      </c>
      <c r="C1497">
        <v>1.9178082191780823E-2</v>
      </c>
    </row>
    <row r="1498" spans="1:3" x14ac:dyDescent="0.25">
      <c r="A1498" t="s">
        <v>93</v>
      </c>
      <c r="B1498">
        <v>5</v>
      </c>
      <c r="C1498">
        <v>3.287671232876712E-2</v>
      </c>
    </row>
    <row r="1499" spans="1:3" x14ac:dyDescent="0.25">
      <c r="A1499" t="s">
        <v>120</v>
      </c>
      <c r="B1499">
        <v>3</v>
      </c>
      <c r="C1499">
        <v>3.5616438356164383E-2</v>
      </c>
    </row>
    <row r="1500" spans="1:3" x14ac:dyDescent="0.25">
      <c r="A1500" t="s">
        <v>164</v>
      </c>
      <c r="B1500">
        <v>1</v>
      </c>
      <c r="C1500">
        <v>3.0136986301369864E-2</v>
      </c>
    </row>
    <row r="1501" spans="1:3" x14ac:dyDescent="0.25">
      <c r="A1501" t="s">
        <v>95</v>
      </c>
      <c r="B1501">
        <v>1</v>
      </c>
      <c r="C1501">
        <v>4.1095890410958902E-2</v>
      </c>
    </row>
    <row r="1502" spans="1:3" x14ac:dyDescent="0.25">
      <c r="A1502" t="s">
        <v>141</v>
      </c>
      <c r="B1502">
        <v>6</v>
      </c>
      <c r="C1502">
        <v>8.21917808219178E-3</v>
      </c>
    </row>
    <row r="1503" spans="1:3" x14ac:dyDescent="0.25">
      <c r="A1503" t="s">
        <v>114</v>
      </c>
      <c r="B1503">
        <v>5</v>
      </c>
      <c r="C1503">
        <v>2.4657534246575342E-2</v>
      </c>
    </row>
    <row r="1504" spans="1:3" x14ac:dyDescent="0.25">
      <c r="A1504" t="s">
        <v>28</v>
      </c>
      <c r="B1504">
        <v>2</v>
      </c>
      <c r="C1504">
        <v>3.5616438356164383E-2</v>
      </c>
    </row>
    <row r="1505" spans="1:3" x14ac:dyDescent="0.25">
      <c r="A1505" t="s">
        <v>131</v>
      </c>
      <c r="B1505">
        <v>8</v>
      </c>
      <c r="C1505">
        <v>4.6575342465753428E-2</v>
      </c>
    </row>
    <row r="1506" spans="1:3" x14ac:dyDescent="0.25">
      <c r="A1506" t="s">
        <v>150</v>
      </c>
      <c r="B1506">
        <v>10</v>
      </c>
      <c r="C1506">
        <v>7.9452054794520555E-2</v>
      </c>
    </row>
    <row r="1507" spans="1:3" x14ac:dyDescent="0.25">
      <c r="A1507" t="s">
        <v>123</v>
      </c>
      <c r="B1507">
        <v>12</v>
      </c>
      <c r="C1507">
        <v>3.0136986301369864E-2</v>
      </c>
    </row>
    <row r="1508" spans="1:3" x14ac:dyDescent="0.25">
      <c r="A1508" t="s">
        <v>182</v>
      </c>
      <c r="B1508">
        <v>12</v>
      </c>
      <c r="C1508">
        <v>4.1095890410958902E-2</v>
      </c>
    </row>
    <row r="1509" spans="1:3" x14ac:dyDescent="0.25">
      <c r="A1509" t="s">
        <v>141</v>
      </c>
      <c r="B1509">
        <v>11</v>
      </c>
      <c r="C1509">
        <v>4.9315068493150684E-2</v>
      </c>
    </row>
    <row r="1510" spans="1:3" x14ac:dyDescent="0.25">
      <c r="A1510" t="s">
        <v>190</v>
      </c>
      <c r="B1510">
        <v>9</v>
      </c>
      <c r="C1510">
        <v>2.4657534246575342E-2</v>
      </c>
    </row>
    <row r="1511" spans="1:3" x14ac:dyDescent="0.25">
      <c r="A1511" t="s">
        <v>160</v>
      </c>
      <c r="B1511">
        <v>15</v>
      </c>
      <c r="C1511">
        <v>6.3013698630136991E-2</v>
      </c>
    </row>
    <row r="1512" spans="1:3" x14ac:dyDescent="0.25">
      <c r="A1512" t="s">
        <v>104</v>
      </c>
      <c r="B1512">
        <v>12</v>
      </c>
      <c r="C1512">
        <v>4.9315068493150684E-2</v>
      </c>
    </row>
    <row r="1513" spans="1:3" x14ac:dyDescent="0.25">
      <c r="A1513" t="s">
        <v>172</v>
      </c>
      <c r="B1513">
        <v>14</v>
      </c>
      <c r="C1513">
        <v>2.7397260273972601E-2</v>
      </c>
    </row>
    <row r="1514" spans="1:3" x14ac:dyDescent="0.25">
      <c r="A1514" t="s">
        <v>172</v>
      </c>
      <c r="B1514">
        <v>12</v>
      </c>
      <c r="C1514">
        <v>2.4657534246575342E-2</v>
      </c>
    </row>
    <row r="1515" spans="1:3" x14ac:dyDescent="0.25">
      <c r="A1515" t="s">
        <v>180</v>
      </c>
      <c r="B1515">
        <v>14</v>
      </c>
      <c r="C1515">
        <v>3.287671232876712E-2</v>
      </c>
    </row>
    <row r="1516" spans="1:3" x14ac:dyDescent="0.25">
      <c r="A1516" t="s">
        <v>132</v>
      </c>
      <c r="B1516">
        <v>13</v>
      </c>
      <c r="C1516">
        <v>2.1917808219178082E-2</v>
      </c>
    </row>
    <row r="1517" spans="1:3" x14ac:dyDescent="0.25">
      <c r="A1517" t="s">
        <v>110</v>
      </c>
      <c r="B1517">
        <v>9</v>
      </c>
      <c r="C1517">
        <v>4.9315068493150684E-2</v>
      </c>
    </row>
    <row r="1518" spans="1:3" x14ac:dyDescent="0.25">
      <c r="A1518" t="s">
        <v>143</v>
      </c>
      <c r="B1518">
        <v>8</v>
      </c>
      <c r="C1518">
        <v>4.6575342465753428E-2</v>
      </c>
    </row>
    <row r="1519" spans="1:3" x14ac:dyDescent="0.25">
      <c r="A1519" t="s">
        <v>210</v>
      </c>
      <c r="B1519">
        <v>12</v>
      </c>
      <c r="C1519">
        <v>3.0136986301369864E-2</v>
      </c>
    </row>
    <row r="1520" spans="1:3" x14ac:dyDescent="0.25">
      <c r="A1520" t="s">
        <v>208</v>
      </c>
      <c r="B1520">
        <v>11</v>
      </c>
      <c r="C1520">
        <v>3.287671232876712E-2</v>
      </c>
    </row>
    <row r="1521" spans="1:3" x14ac:dyDescent="0.25">
      <c r="A1521" t="s">
        <v>70</v>
      </c>
      <c r="B1521">
        <v>9</v>
      </c>
      <c r="C1521">
        <v>2.1917808219178082E-2</v>
      </c>
    </row>
    <row r="1522" spans="1:3" x14ac:dyDescent="0.25">
      <c r="A1522" t="s">
        <v>123</v>
      </c>
      <c r="B1522">
        <v>9</v>
      </c>
      <c r="C1522">
        <v>3.0136986301369864E-2</v>
      </c>
    </row>
    <row r="1523" spans="1:3" x14ac:dyDescent="0.25">
      <c r="A1523" t="s">
        <v>70</v>
      </c>
      <c r="B1523">
        <v>10</v>
      </c>
      <c r="C1523">
        <v>2.1917808219178082E-2</v>
      </c>
    </row>
    <row r="1524" spans="1:3" x14ac:dyDescent="0.25">
      <c r="A1524" t="s">
        <v>111</v>
      </c>
      <c r="B1524">
        <v>16</v>
      </c>
      <c r="C1524">
        <v>0.17808219178082191</v>
      </c>
    </row>
    <row r="1525" spans="1:3" x14ac:dyDescent="0.25">
      <c r="A1525" t="s">
        <v>125</v>
      </c>
      <c r="B1525">
        <v>21</v>
      </c>
      <c r="C1525">
        <v>5.4794520547945202E-2</v>
      </c>
    </row>
    <row r="1526" spans="1:3" x14ac:dyDescent="0.25">
      <c r="A1526" t="s">
        <v>199</v>
      </c>
      <c r="B1526">
        <v>16</v>
      </c>
      <c r="C1526">
        <v>1.9178082191780823E-2</v>
      </c>
    </row>
    <row r="1527" spans="1:3" x14ac:dyDescent="0.25">
      <c r="A1527" t="s">
        <v>153</v>
      </c>
      <c r="B1527">
        <v>16</v>
      </c>
      <c r="C1527">
        <v>4.1095890410958902E-2</v>
      </c>
    </row>
    <row r="1528" spans="1:3" x14ac:dyDescent="0.25">
      <c r="A1528" t="s">
        <v>38</v>
      </c>
      <c r="B1528">
        <v>10</v>
      </c>
      <c r="C1528">
        <v>3.5616438356164383E-2</v>
      </c>
    </row>
    <row r="1529" spans="1:3" x14ac:dyDescent="0.25">
      <c r="A1529" t="s">
        <v>205</v>
      </c>
      <c r="B1529">
        <v>16</v>
      </c>
      <c r="C1529">
        <v>2.7397260273972601E-2</v>
      </c>
    </row>
    <row r="1530" spans="1:3" x14ac:dyDescent="0.25">
      <c r="A1530" t="s">
        <v>190</v>
      </c>
      <c r="B1530">
        <v>20</v>
      </c>
      <c r="C1530">
        <v>1.9178082191780823E-2</v>
      </c>
    </row>
    <row r="1531" spans="1:3" x14ac:dyDescent="0.25">
      <c r="A1531" t="s">
        <v>162</v>
      </c>
      <c r="B1531">
        <v>18</v>
      </c>
      <c r="C1531">
        <v>2.7397260273972601E-2</v>
      </c>
    </row>
    <row r="1532" spans="1:3" x14ac:dyDescent="0.25">
      <c r="A1532" t="s">
        <v>190</v>
      </c>
      <c r="B1532">
        <v>21</v>
      </c>
      <c r="C1532">
        <v>1.9178082191780823E-2</v>
      </c>
    </row>
    <row r="1533" spans="1:3" x14ac:dyDescent="0.25">
      <c r="A1533" t="s">
        <v>170</v>
      </c>
      <c r="B1533">
        <v>19</v>
      </c>
      <c r="C1533">
        <v>3.287671232876712E-2</v>
      </c>
    </row>
    <row r="1534" spans="1:3" x14ac:dyDescent="0.25">
      <c r="A1534" t="s">
        <v>164</v>
      </c>
      <c r="B1534">
        <v>18</v>
      </c>
      <c r="C1534">
        <v>5.2054794520547946E-2</v>
      </c>
    </row>
    <row r="1535" spans="1:3" x14ac:dyDescent="0.25">
      <c r="A1535" t="s">
        <v>179</v>
      </c>
      <c r="B1535">
        <v>22</v>
      </c>
      <c r="C1535">
        <v>1.643835616438356E-2</v>
      </c>
    </row>
    <row r="1536" spans="1:3" x14ac:dyDescent="0.25">
      <c r="A1536" t="s">
        <v>108</v>
      </c>
      <c r="B1536">
        <v>16</v>
      </c>
      <c r="C1536">
        <v>3.0136986301369864E-2</v>
      </c>
    </row>
    <row r="1537" spans="1:3" x14ac:dyDescent="0.25">
      <c r="A1537" t="s">
        <v>180</v>
      </c>
      <c r="B1537">
        <v>22</v>
      </c>
      <c r="C1537">
        <v>3.0136986301369864E-2</v>
      </c>
    </row>
    <row r="1538" spans="1:3" x14ac:dyDescent="0.25">
      <c r="A1538" t="s">
        <v>165</v>
      </c>
      <c r="B1538">
        <v>23</v>
      </c>
      <c r="C1538">
        <v>8.21917808219178E-3</v>
      </c>
    </row>
    <row r="1539" spans="1:3" x14ac:dyDescent="0.25">
      <c r="A1539" t="s">
        <v>180</v>
      </c>
      <c r="B1539">
        <v>7</v>
      </c>
      <c r="C1539">
        <v>1.9178082191780823E-2</v>
      </c>
    </row>
    <row r="1540" spans="1:3" x14ac:dyDescent="0.25">
      <c r="A1540" t="s">
        <v>76</v>
      </c>
      <c r="B1540">
        <v>1</v>
      </c>
      <c r="C1540">
        <v>3.0136986301369864E-2</v>
      </c>
    </row>
    <row r="1541" spans="1:3" x14ac:dyDescent="0.25">
      <c r="A1541" t="s">
        <v>110</v>
      </c>
      <c r="B1541">
        <v>5</v>
      </c>
      <c r="C1541">
        <v>2.4657534246575342E-2</v>
      </c>
    </row>
    <row r="1542" spans="1:3" x14ac:dyDescent="0.25">
      <c r="A1542" t="s">
        <v>130</v>
      </c>
      <c r="B1542">
        <v>2</v>
      </c>
      <c r="C1542">
        <v>3.0136986301369864E-2</v>
      </c>
    </row>
    <row r="1543" spans="1:3" x14ac:dyDescent="0.25">
      <c r="A1543" t="s">
        <v>76</v>
      </c>
      <c r="B1543">
        <v>2</v>
      </c>
      <c r="C1543">
        <v>3.0136986301369864E-2</v>
      </c>
    </row>
    <row r="1544" spans="1:3" x14ac:dyDescent="0.25">
      <c r="A1544" t="s">
        <v>176</v>
      </c>
      <c r="B1544">
        <v>8</v>
      </c>
      <c r="C1544">
        <v>4.1095890410958902E-2</v>
      </c>
    </row>
    <row r="1545" spans="1:3" x14ac:dyDescent="0.25">
      <c r="A1545" t="s">
        <v>144</v>
      </c>
      <c r="B1545">
        <v>13</v>
      </c>
      <c r="C1545">
        <v>4.1095890410958902E-2</v>
      </c>
    </row>
    <row r="1546" spans="1:3" x14ac:dyDescent="0.25">
      <c r="A1546" t="s">
        <v>179</v>
      </c>
      <c r="B1546">
        <v>15</v>
      </c>
      <c r="C1546">
        <v>4.6575342465753428E-2</v>
      </c>
    </row>
    <row r="1547" spans="1:3" x14ac:dyDescent="0.25">
      <c r="A1547" t="s">
        <v>173</v>
      </c>
      <c r="B1547">
        <v>8</v>
      </c>
      <c r="C1547">
        <v>3.287671232876712E-2</v>
      </c>
    </row>
    <row r="1548" spans="1:3" x14ac:dyDescent="0.25">
      <c r="A1548" t="s">
        <v>85</v>
      </c>
      <c r="B1548">
        <v>9</v>
      </c>
      <c r="C1548">
        <v>3.0136986301369864E-2</v>
      </c>
    </row>
    <row r="1549" spans="1:3" x14ac:dyDescent="0.25">
      <c r="A1549" t="s">
        <v>214</v>
      </c>
      <c r="B1549">
        <v>12</v>
      </c>
      <c r="C1549">
        <v>3.8356164383561646E-2</v>
      </c>
    </row>
    <row r="1550" spans="1:3" x14ac:dyDescent="0.25">
      <c r="A1550" t="s">
        <v>185</v>
      </c>
      <c r="B1550">
        <v>12</v>
      </c>
      <c r="C1550">
        <v>2.1917808219178082E-2</v>
      </c>
    </row>
    <row r="1551" spans="1:3" x14ac:dyDescent="0.25">
      <c r="A1551" t="s">
        <v>113</v>
      </c>
      <c r="B1551">
        <v>14</v>
      </c>
      <c r="C1551">
        <v>2.1917808219178082E-2</v>
      </c>
    </row>
    <row r="1552" spans="1:3" x14ac:dyDescent="0.25">
      <c r="A1552" t="s">
        <v>25</v>
      </c>
      <c r="B1552">
        <v>13</v>
      </c>
      <c r="C1552">
        <v>3.5616438356164383E-2</v>
      </c>
    </row>
    <row r="1553" spans="1:3" x14ac:dyDescent="0.25">
      <c r="A1553" t="s">
        <v>99</v>
      </c>
      <c r="B1553">
        <v>10</v>
      </c>
      <c r="C1553">
        <v>4.6575342465753428E-2</v>
      </c>
    </row>
    <row r="1554" spans="1:3" x14ac:dyDescent="0.25">
      <c r="A1554" t="s">
        <v>43</v>
      </c>
      <c r="B1554">
        <v>9</v>
      </c>
      <c r="C1554">
        <v>3.5616438356164383E-2</v>
      </c>
    </row>
    <row r="1555" spans="1:3" x14ac:dyDescent="0.25">
      <c r="A1555" t="s">
        <v>179</v>
      </c>
      <c r="B1555">
        <v>10</v>
      </c>
      <c r="C1555">
        <v>4.3835616438356165E-2</v>
      </c>
    </row>
    <row r="1556" spans="1:3" x14ac:dyDescent="0.25">
      <c r="A1556" t="s">
        <v>170</v>
      </c>
      <c r="B1556">
        <v>9</v>
      </c>
      <c r="C1556">
        <v>2.1917808219178082E-2</v>
      </c>
    </row>
    <row r="1557" spans="1:3" x14ac:dyDescent="0.25">
      <c r="A1557" t="s">
        <v>131</v>
      </c>
      <c r="B1557">
        <v>12</v>
      </c>
      <c r="C1557">
        <v>2.7397260273972601E-2</v>
      </c>
    </row>
    <row r="1558" spans="1:3" x14ac:dyDescent="0.25">
      <c r="A1558" t="s">
        <v>119</v>
      </c>
      <c r="B1558">
        <v>12</v>
      </c>
      <c r="C1558">
        <v>3.0136986301369864E-2</v>
      </c>
    </row>
    <row r="1559" spans="1:3" x14ac:dyDescent="0.25">
      <c r="A1559" t="s">
        <v>200</v>
      </c>
      <c r="B1559">
        <v>13</v>
      </c>
      <c r="C1559">
        <v>3.5616438356164383E-2</v>
      </c>
    </row>
    <row r="1560" spans="1:3" x14ac:dyDescent="0.25">
      <c r="A1560" t="s">
        <v>179</v>
      </c>
      <c r="B1560">
        <v>9</v>
      </c>
      <c r="C1560">
        <v>4.3835616438356165E-2</v>
      </c>
    </row>
    <row r="1561" spans="1:3" x14ac:dyDescent="0.25">
      <c r="A1561" t="s">
        <v>166</v>
      </c>
      <c r="B1561">
        <v>10</v>
      </c>
      <c r="C1561">
        <v>4.6575342465753428E-2</v>
      </c>
    </row>
    <row r="1562" spans="1:3" x14ac:dyDescent="0.25">
      <c r="A1562" t="s">
        <v>168</v>
      </c>
      <c r="B1562">
        <v>9</v>
      </c>
      <c r="C1562">
        <v>4.1095890410958902E-2</v>
      </c>
    </row>
    <row r="1563" spans="1:3" x14ac:dyDescent="0.25">
      <c r="A1563" t="s">
        <v>97</v>
      </c>
      <c r="B1563">
        <v>21</v>
      </c>
      <c r="C1563">
        <v>2.7397260273972601E-2</v>
      </c>
    </row>
    <row r="1564" spans="1:3" x14ac:dyDescent="0.25">
      <c r="A1564" t="s">
        <v>120</v>
      </c>
      <c r="B1564">
        <v>23</v>
      </c>
      <c r="C1564">
        <v>5.2054794520547946E-2</v>
      </c>
    </row>
    <row r="1565" spans="1:3" x14ac:dyDescent="0.25">
      <c r="A1565" t="s">
        <v>195</v>
      </c>
      <c r="B1565">
        <v>18</v>
      </c>
      <c r="C1565">
        <v>3.0136986301369864E-2</v>
      </c>
    </row>
    <row r="1566" spans="1:3" x14ac:dyDescent="0.25">
      <c r="A1566" t="s">
        <v>38</v>
      </c>
      <c r="B1566">
        <v>13</v>
      </c>
      <c r="C1566">
        <v>3.5616438356164383E-2</v>
      </c>
    </row>
    <row r="1567" spans="1:3" x14ac:dyDescent="0.25">
      <c r="A1567" t="s">
        <v>131</v>
      </c>
      <c r="B1567">
        <v>21</v>
      </c>
      <c r="C1567">
        <v>4.1095890410958902E-2</v>
      </c>
    </row>
    <row r="1568" spans="1:3" x14ac:dyDescent="0.25">
      <c r="A1568" t="s">
        <v>191</v>
      </c>
      <c r="B1568">
        <v>19</v>
      </c>
      <c r="C1568">
        <v>3.0136986301369864E-2</v>
      </c>
    </row>
    <row r="1569" spans="1:3" x14ac:dyDescent="0.25">
      <c r="A1569" t="s">
        <v>151</v>
      </c>
      <c r="B1569">
        <v>21</v>
      </c>
      <c r="C1569">
        <v>5.2054794520547946E-2</v>
      </c>
    </row>
    <row r="1570" spans="1:3" x14ac:dyDescent="0.25">
      <c r="A1570" t="s">
        <v>175</v>
      </c>
      <c r="B1570">
        <v>18</v>
      </c>
      <c r="C1570">
        <v>2.7397260273972601E-2</v>
      </c>
    </row>
    <row r="1571" spans="1:3" x14ac:dyDescent="0.25">
      <c r="A1571" t="s">
        <v>68</v>
      </c>
      <c r="B1571">
        <v>20</v>
      </c>
      <c r="C1571">
        <v>6.3013698630136991E-2</v>
      </c>
    </row>
    <row r="1572" spans="1:3" x14ac:dyDescent="0.25">
      <c r="A1572" t="s">
        <v>98</v>
      </c>
      <c r="B1572">
        <v>16</v>
      </c>
      <c r="C1572">
        <v>2.7397260273972601E-2</v>
      </c>
    </row>
    <row r="1573" spans="1:3" x14ac:dyDescent="0.25">
      <c r="A1573" t="s">
        <v>189</v>
      </c>
      <c r="B1573">
        <v>19</v>
      </c>
      <c r="C1573">
        <v>4.6575342465753428E-2</v>
      </c>
    </row>
    <row r="1574" spans="1:3" x14ac:dyDescent="0.25">
      <c r="A1574" t="s">
        <v>187</v>
      </c>
      <c r="B1574">
        <v>18</v>
      </c>
      <c r="C1574">
        <v>5.2054794520547946E-2</v>
      </c>
    </row>
    <row r="1575" spans="1:3" x14ac:dyDescent="0.25">
      <c r="A1575" t="s">
        <v>102</v>
      </c>
      <c r="B1575">
        <v>18</v>
      </c>
      <c r="C1575">
        <v>3.0136986301369864E-2</v>
      </c>
    </row>
    <row r="1576" spans="1:3" x14ac:dyDescent="0.25">
      <c r="A1576" t="s">
        <v>176</v>
      </c>
      <c r="B1576">
        <v>21</v>
      </c>
      <c r="C1576">
        <v>4.6575342465753428E-2</v>
      </c>
    </row>
    <row r="1577" spans="1:3" x14ac:dyDescent="0.25">
      <c r="A1577" t="s">
        <v>156</v>
      </c>
      <c r="B1577">
        <v>20</v>
      </c>
      <c r="C1577">
        <v>5.4794520547945202E-2</v>
      </c>
    </row>
    <row r="1578" spans="1:3" x14ac:dyDescent="0.25">
      <c r="A1578" t="s">
        <v>156</v>
      </c>
      <c r="B1578">
        <v>22</v>
      </c>
      <c r="C1578">
        <v>4.6575342465753428E-2</v>
      </c>
    </row>
    <row r="1579" spans="1:3" x14ac:dyDescent="0.25">
      <c r="A1579" t="s">
        <v>176</v>
      </c>
      <c r="B1579">
        <v>17</v>
      </c>
      <c r="C1579">
        <v>4.1095890410958902E-2</v>
      </c>
    </row>
    <row r="1580" spans="1:3" x14ac:dyDescent="0.25">
      <c r="A1580" t="s">
        <v>151</v>
      </c>
      <c r="B1580">
        <v>0</v>
      </c>
      <c r="C1580">
        <v>3.0136986301369864E-2</v>
      </c>
    </row>
    <row r="1581" spans="1:3" x14ac:dyDescent="0.25">
      <c r="A1581" t="s">
        <v>92</v>
      </c>
      <c r="B1581">
        <v>4</v>
      </c>
      <c r="C1581">
        <v>2.4657534246575342E-2</v>
      </c>
    </row>
    <row r="1582" spans="1:3" x14ac:dyDescent="0.25">
      <c r="A1582" t="s">
        <v>107</v>
      </c>
      <c r="B1582">
        <v>4</v>
      </c>
      <c r="C1582">
        <v>3.0136986301369864E-2</v>
      </c>
    </row>
    <row r="1583" spans="1:3" x14ac:dyDescent="0.25">
      <c r="A1583" t="s">
        <v>98</v>
      </c>
      <c r="B1583">
        <v>0</v>
      </c>
      <c r="C1583">
        <v>1.3698630136986301E-2</v>
      </c>
    </row>
    <row r="1584" spans="1:3" x14ac:dyDescent="0.25">
      <c r="A1584" t="s">
        <v>65</v>
      </c>
      <c r="B1584">
        <v>5</v>
      </c>
      <c r="C1584">
        <v>2.4657534246575342E-2</v>
      </c>
    </row>
    <row r="1585" spans="1:3" x14ac:dyDescent="0.25">
      <c r="A1585" t="s">
        <v>201</v>
      </c>
      <c r="B1585">
        <v>0</v>
      </c>
      <c r="C1585">
        <v>2.4657534246575342E-2</v>
      </c>
    </row>
    <row r="1586" spans="1:3" x14ac:dyDescent="0.25">
      <c r="A1586" t="s">
        <v>182</v>
      </c>
      <c r="B1586">
        <v>5</v>
      </c>
      <c r="C1586">
        <v>2.7397260273972601E-2</v>
      </c>
    </row>
    <row r="1587" spans="1:3" x14ac:dyDescent="0.25">
      <c r="A1587" t="s">
        <v>189</v>
      </c>
      <c r="B1587">
        <v>1</v>
      </c>
      <c r="C1587">
        <v>2.4657534246575342E-2</v>
      </c>
    </row>
    <row r="1588" spans="1:3" x14ac:dyDescent="0.25">
      <c r="A1588" t="s">
        <v>111</v>
      </c>
      <c r="B1588">
        <v>10</v>
      </c>
      <c r="C1588">
        <v>7.3972602739726029E-2</v>
      </c>
    </row>
    <row r="1589" spans="1:3" x14ac:dyDescent="0.25">
      <c r="A1589" t="s">
        <v>166</v>
      </c>
      <c r="B1589">
        <v>8</v>
      </c>
      <c r="C1589">
        <v>4.3835616438356165E-2</v>
      </c>
    </row>
    <row r="1590" spans="1:3" x14ac:dyDescent="0.25">
      <c r="A1590" t="s">
        <v>109</v>
      </c>
      <c r="B1590">
        <v>10</v>
      </c>
      <c r="C1590">
        <v>6.0273972602739728E-2</v>
      </c>
    </row>
    <row r="1591" spans="1:3" x14ac:dyDescent="0.25">
      <c r="A1591" t="s">
        <v>83</v>
      </c>
      <c r="B1591">
        <v>11</v>
      </c>
      <c r="C1591">
        <v>3.0136986301369864E-2</v>
      </c>
    </row>
    <row r="1592" spans="1:3" x14ac:dyDescent="0.25">
      <c r="A1592" t="s">
        <v>176</v>
      </c>
      <c r="B1592">
        <v>9</v>
      </c>
      <c r="C1592">
        <v>3.5616438356164383E-2</v>
      </c>
    </row>
    <row r="1593" spans="1:3" x14ac:dyDescent="0.25">
      <c r="A1593" t="s">
        <v>131</v>
      </c>
      <c r="B1593">
        <v>10</v>
      </c>
      <c r="C1593">
        <v>3.287671232876712E-2</v>
      </c>
    </row>
    <row r="1594" spans="1:3" x14ac:dyDescent="0.25">
      <c r="A1594" t="s">
        <v>68</v>
      </c>
      <c r="B1594">
        <v>14</v>
      </c>
      <c r="C1594">
        <v>4.3835616438356165E-2</v>
      </c>
    </row>
    <row r="1595" spans="1:3" x14ac:dyDescent="0.25">
      <c r="A1595" t="s">
        <v>182</v>
      </c>
      <c r="B1595">
        <v>11</v>
      </c>
      <c r="C1595">
        <v>3.8356164383561646E-2</v>
      </c>
    </row>
    <row r="1596" spans="1:3" x14ac:dyDescent="0.25">
      <c r="A1596" t="s">
        <v>70</v>
      </c>
      <c r="B1596">
        <v>14</v>
      </c>
      <c r="C1596">
        <v>2.1917808219178082E-2</v>
      </c>
    </row>
    <row r="1597" spans="1:3" x14ac:dyDescent="0.25">
      <c r="A1597" t="s">
        <v>210</v>
      </c>
      <c r="B1597">
        <v>15</v>
      </c>
      <c r="C1597">
        <v>3.0136986301369864E-2</v>
      </c>
    </row>
    <row r="1598" spans="1:3" x14ac:dyDescent="0.25">
      <c r="A1598" t="s">
        <v>85</v>
      </c>
      <c r="B1598">
        <v>15</v>
      </c>
      <c r="C1598">
        <v>3.0136986301369864E-2</v>
      </c>
    </row>
    <row r="1599" spans="1:3" x14ac:dyDescent="0.25">
      <c r="A1599" t="s">
        <v>177</v>
      </c>
      <c r="B1599">
        <v>12</v>
      </c>
      <c r="C1599">
        <v>3.0136986301369864E-2</v>
      </c>
    </row>
    <row r="1600" spans="1:3" x14ac:dyDescent="0.25">
      <c r="A1600" t="s">
        <v>174</v>
      </c>
      <c r="B1600">
        <v>11</v>
      </c>
      <c r="C1600">
        <v>7.3972602739726029E-2</v>
      </c>
    </row>
    <row r="1601" spans="1:3" x14ac:dyDescent="0.25">
      <c r="A1601" t="s">
        <v>159</v>
      </c>
      <c r="B1601">
        <v>12</v>
      </c>
      <c r="C1601">
        <v>2.1917808219178082E-2</v>
      </c>
    </row>
    <row r="1602" spans="1:3" x14ac:dyDescent="0.25">
      <c r="A1602" t="s">
        <v>158</v>
      </c>
      <c r="B1602">
        <v>14</v>
      </c>
      <c r="C1602">
        <v>4.3835616438356165E-2</v>
      </c>
    </row>
    <row r="1603" spans="1:3" x14ac:dyDescent="0.25">
      <c r="A1603" t="s">
        <v>179</v>
      </c>
      <c r="B1603">
        <v>11</v>
      </c>
      <c r="C1603">
        <v>4.3835616438356165E-2</v>
      </c>
    </row>
    <row r="1604" spans="1:3" x14ac:dyDescent="0.25">
      <c r="A1604" t="s">
        <v>189</v>
      </c>
      <c r="B1604">
        <v>10</v>
      </c>
      <c r="C1604">
        <v>3.5616438356164383E-2</v>
      </c>
    </row>
    <row r="1605" spans="1:3" x14ac:dyDescent="0.25">
      <c r="A1605" t="s">
        <v>198</v>
      </c>
      <c r="B1605">
        <v>11</v>
      </c>
      <c r="C1605">
        <v>2.1917808219178082E-2</v>
      </c>
    </row>
    <row r="1606" spans="1:3" x14ac:dyDescent="0.25">
      <c r="A1606" t="s">
        <v>112</v>
      </c>
      <c r="B1606">
        <v>23</v>
      </c>
      <c r="C1606">
        <v>4.1095890410958902E-2</v>
      </c>
    </row>
    <row r="1607" spans="1:3" x14ac:dyDescent="0.25">
      <c r="A1607" t="s">
        <v>139</v>
      </c>
      <c r="B1607">
        <v>17</v>
      </c>
      <c r="C1607">
        <v>3.5616438356164383E-2</v>
      </c>
    </row>
    <row r="1608" spans="1:3" x14ac:dyDescent="0.25">
      <c r="A1608" t="s">
        <v>113</v>
      </c>
      <c r="B1608">
        <v>21</v>
      </c>
      <c r="C1608">
        <v>1.9178082191780823E-2</v>
      </c>
    </row>
    <row r="1609" spans="1:3" x14ac:dyDescent="0.25">
      <c r="A1609" t="s">
        <v>87</v>
      </c>
      <c r="B1609">
        <v>20</v>
      </c>
      <c r="C1609">
        <v>2.7397260273972601E-2</v>
      </c>
    </row>
    <row r="1610" spans="1:3" x14ac:dyDescent="0.25">
      <c r="A1610" t="s">
        <v>136</v>
      </c>
      <c r="B1610">
        <v>22</v>
      </c>
      <c r="C1610">
        <v>2.7397260273972601E-2</v>
      </c>
    </row>
    <row r="1611" spans="1:3" x14ac:dyDescent="0.25">
      <c r="A1611" t="s">
        <v>128</v>
      </c>
      <c r="B1611">
        <v>19</v>
      </c>
      <c r="C1611">
        <v>1.9178082191780823E-2</v>
      </c>
    </row>
    <row r="1612" spans="1:3" x14ac:dyDescent="0.25">
      <c r="A1612" t="s">
        <v>136</v>
      </c>
      <c r="B1612">
        <v>20</v>
      </c>
      <c r="C1612">
        <v>2.7397260273972601E-2</v>
      </c>
    </row>
    <row r="1613" spans="1:3" x14ac:dyDescent="0.25">
      <c r="A1613" t="s">
        <v>177</v>
      </c>
      <c r="B1613">
        <v>16</v>
      </c>
      <c r="C1613">
        <v>2.7397260273972601E-2</v>
      </c>
    </row>
    <row r="1614" spans="1:3" x14ac:dyDescent="0.25">
      <c r="A1614" t="s">
        <v>167</v>
      </c>
      <c r="B1614">
        <v>17</v>
      </c>
      <c r="C1614">
        <v>3.5616438356164383E-2</v>
      </c>
    </row>
    <row r="1615" spans="1:3" x14ac:dyDescent="0.25">
      <c r="A1615" t="s">
        <v>200</v>
      </c>
      <c r="B1615">
        <v>17</v>
      </c>
      <c r="C1615">
        <v>3.5616438356164383E-2</v>
      </c>
    </row>
    <row r="1616" spans="1:3" x14ac:dyDescent="0.25">
      <c r="A1616" t="s">
        <v>105</v>
      </c>
      <c r="B1616">
        <v>22</v>
      </c>
      <c r="C1616">
        <v>5.2054794520547946E-2</v>
      </c>
    </row>
    <row r="1617" spans="1:3" x14ac:dyDescent="0.25">
      <c r="A1617" t="s">
        <v>187</v>
      </c>
      <c r="B1617">
        <v>19</v>
      </c>
      <c r="C1617">
        <v>4.9315068493150684E-2</v>
      </c>
    </row>
    <row r="1618" spans="1:3" x14ac:dyDescent="0.25">
      <c r="A1618" t="s">
        <v>162</v>
      </c>
      <c r="B1618">
        <v>23</v>
      </c>
      <c r="C1618">
        <v>2.4657534246575342E-2</v>
      </c>
    </row>
    <row r="1619" spans="1:3" x14ac:dyDescent="0.25">
      <c r="A1619" t="s">
        <v>106</v>
      </c>
      <c r="B1619">
        <v>0</v>
      </c>
      <c r="C1619">
        <v>1.643835616438356E-2</v>
      </c>
    </row>
    <row r="1620" spans="1:3" x14ac:dyDescent="0.25">
      <c r="A1620" t="s">
        <v>115</v>
      </c>
      <c r="B1620">
        <v>3</v>
      </c>
      <c r="C1620">
        <v>2.4657534246575342E-2</v>
      </c>
    </row>
    <row r="1621" spans="1:3" x14ac:dyDescent="0.25">
      <c r="A1621" t="s">
        <v>76</v>
      </c>
      <c r="B1621">
        <v>5</v>
      </c>
      <c r="C1621">
        <v>3.0136986301369864E-2</v>
      </c>
    </row>
    <row r="1622" spans="1:3" x14ac:dyDescent="0.25">
      <c r="A1622" t="s">
        <v>170</v>
      </c>
      <c r="B1622">
        <v>5</v>
      </c>
      <c r="C1622">
        <v>2.7397260273972603E-3</v>
      </c>
    </row>
    <row r="1623" spans="1:3" x14ac:dyDescent="0.25">
      <c r="A1623" t="s">
        <v>129</v>
      </c>
      <c r="B1623">
        <v>5</v>
      </c>
      <c r="C1623">
        <v>2.7397260273972601E-2</v>
      </c>
    </row>
    <row r="1624" spans="1:3" x14ac:dyDescent="0.25">
      <c r="A1624" t="s">
        <v>163</v>
      </c>
      <c r="B1624">
        <v>2</v>
      </c>
      <c r="C1624">
        <v>2.7397260273972601E-2</v>
      </c>
    </row>
    <row r="1625" spans="1:3" x14ac:dyDescent="0.25">
      <c r="A1625" t="s">
        <v>157</v>
      </c>
      <c r="B1625">
        <v>7</v>
      </c>
      <c r="C1625">
        <v>1.9178082191780823E-2</v>
      </c>
    </row>
    <row r="1626" spans="1:3" x14ac:dyDescent="0.25">
      <c r="A1626" t="s">
        <v>95</v>
      </c>
      <c r="B1626">
        <v>2</v>
      </c>
      <c r="C1626">
        <v>4.1095890410958902E-2</v>
      </c>
    </row>
    <row r="1627" spans="1:3" x14ac:dyDescent="0.25">
      <c r="A1627" t="s">
        <v>153</v>
      </c>
      <c r="B1627">
        <v>7</v>
      </c>
      <c r="C1627">
        <v>4.6575342465753428E-2</v>
      </c>
    </row>
    <row r="1628" spans="1:3" x14ac:dyDescent="0.25">
      <c r="A1628" t="s">
        <v>174</v>
      </c>
      <c r="B1628">
        <v>13</v>
      </c>
      <c r="C1628">
        <v>7.1232876712328766E-2</v>
      </c>
    </row>
    <row r="1629" spans="1:3" x14ac:dyDescent="0.25">
      <c r="A1629" t="s">
        <v>167</v>
      </c>
      <c r="B1629">
        <v>14</v>
      </c>
      <c r="C1629">
        <v>4.3835616438356165E-2</v>
      </c>
    </row>
    <row r="1630" spans="1:3" x14ac:dyDescent="0.25">
      <c r="A1630" t="s">
        <v>113</v>
      </c>
      <c r="B1630">
        <v>13</v>
      </c>
      <c r="C1630">
        <v>2.1917808219178082E-2</v>
      </c>
    </row>
    <row r="1631" spans="1:3" x14ac:dyDescent="0.25">
      <c r="A1631" t="s">
        <v>43</v>
      </c>
      <c r="B1631">
        <v>8</v>
      </c>
      <c r="C1631">
        <v>3.287671232876712E-2</v>
      </c>
    </row>
    <row r="1632" spans="1:3" x14ac:dyDescent="0.25">
      <c r="A1632" t="s">
        <v>189</v>
      </c>
      <c r="B1632">
        <v>14</v>
      </c>
      <c r="C1632">
        <v>3.287671232876712E-2</v>
      </c>
    </row>
    <row r="1633" spans="1:3" x14ac:dyDescent="0.25">
      <c r="A1633" t="s">
        <v>179</v>
      </c>
      <c r="B1633">
        <v>12</v>
      </c>
      <c r="C1633">
        <v>4.1095890410958902E-2</v>
      </c>
    </row>
    <row r="1634" spans="1:3" x14ac:dyDescent="0.25">
      <c r="A1634" t="s">
        <v>190</v>
      </c>
      <c r="B1634">
        <v>11</v>
      </c>
      <c r="C1634">
        <v>2.1917808219178082E-2</v>
      </c>
    </row>
    <row r="1635" spans="1:3" x14ac:dyDescent="0.25">
      <c r="A1635" t="s">
        <v>164</v>
      </c>
      <c r="B1635">
        <v>10</v>
      </c>
      <c r="C1635">
        <v>4.9315068493150684E-2</v>
      </c>
    </row>
    <row r="1636" spans="1:3" x14ac:dyDescent="0.25">
      <c r="A1636" t="s">
        <v>43</v>
      </c>
      <c r="B1636">
        <v>14</v>
      </c>
      <c r="C1636">
        <v>3.287671232876712E-2</v>
      </c>
    </row>
    <row r="1637" spans="1:3" x14ac:dyDescent="0.25">
      <c r="A1637" t="s">
        <v>150</v>
      </c>
      <c r="B1637">
        <v>13</v>
      </c>
      <c r="C1637">
        <v>7.3972602739726029E-2</v>
      </c>
    </row>
    <row r="1638" spans="1:3" x14ac:dyDescent="0.25">
      <c r="A1638" t="s">
        <v>167</v>
      </c>
      <c r="B1638">
        <v>11</v>
      </c>
      <c r="C1638">
        <v>3.8356164383561646E-2</v>
      </c>
    </row>
    <row r="1639" spans="1:3" x14ac:dyDescent="0.25">
      <c r="A1639" t="s">
        <v>122</v>
      </c>
      <c r="B1639">
        <v>12</v>
      </c>
      <c r="C1639">
        <v>3.8356164383561646E-2</v>
      </c>
    </row>
    <row r="1640" spans="1:3" x14ac:dyDescent="0.25">
      <c r="A1640" t="s">
        <v>211</v>
      </c>
      <c r="B1640">
        <v>9</v>
      </c>
      <c r="C1640">
        <v>3.5616438356164383E-2</v>
      </c>
    </row>
    <row r="1641" spans="1:3" x14ac:dyDescent="0.25">
      <c r="A1641" t="s">
        <v>70</v>
      </c>
      <c r="B1641">
        <v>13</v>
      </c>
      <c r="C1641">
        <v>2.1917808219178082E-2</v>
      </c>
    </row>
    <row r="1642" spans="1:3" x14ac:dyDescent="0.25">
      <c r="A1642" t="s">
        <v>171</v>
      </c>
      <c r="B1642">
        <v>13</v>
      </c>
      <c r="C1642">
        <v>3.287671232876712E-2</v>
      </c>
    </row>
    <row r="1643" spans="1:3" x14ac:dyDescent="0.25">
      <c r="A1643" t="s">
        <v>209</v>
      </c>
      <c r="B1643">
        <v>13</v>
      </c>
      <c r="C1643">
        <v>4.6575342465753428E-2</v>
      </c>
    </row>
    <row r="1644" spans="1:3" x14ac:dyDescent="0.25">
      <c r="A1644" t="s">
        <v>187</v>
      </c>
      <c r="B1644">
        <v>10</v>
      </c>
      <c r="C1644">
        <v>4.1095890410958902E-2</v>
      </c>
    </row>
    <row r="1645" spans="1:3" x14ac:dyDescent="0.25">
      <c r="A1645" t="s">
        <v>43</v>
      </c>
      <c r="B1645">
        <v>7</v>
      </c>
      <c r="C1645">
        <v>3.287671232876712E-2</v>
      </c>
    </row>
    <row r="1646" spans="1:3" x14ac:dyDescent="0.25">
      <c r="A1646" t="s">
        <v>79</v>
      </c>
      <c r="B1646">
        <v>10</v>
      </c>
      <c r="C1646">
        <v>3.0136986301369864E-2</v>
      </c>
    </row>
    <row r="1647" spans="1:3" x14ac:dyDescent="0.25">
      <c r="A1647" t="s">
        <v>38</v>
      </c>
      <c r="B1647">
        <v>18</v>
      </c>
      <c r="C1647">
        <v>3.287671232876712E-2</v>
      </c>
    </row>
    <row r="1648" spans="1:3" x14ac:dyDescent="0.25">
      <c r="A1648" t="s">
        <v>163</v>
      </c>
      <c r="B1648">
        <v>21</v>
      </c>
      <c r="C1648">
        <v>4.9315068493150684E-2</v>
      </c>
    </row>
    <row r="1649" spans="1:3" x14ac:dyDescent="0.25">
      <c r="A1649" t="s">
        <v>147</v>
      </c>
      <c r="B1649">
        <v>18</v>
      </c>
      <c r="C1649">
        <v>4.1095890410958902E-2</v>
      </c>
    </row>
    <row r="1650" spans="1:3" x14ac:dyDescent="0.25">
      <c r="A1650" t="s">
        <v>129</v>
      </c>
      <c r="B1650">
        <v>22</v>
      </c>
      <c r="C1650">
        <v>5.2054794520547946E-2</v>
      </c>
    </row>
    <row r="1651" spans="1:3" x14ac:dyDescent="0.25">
      <c r="A1651" t="s">
        <v>215</v>
      </c>
      <c r="B1651">
        <v>17</v>
      </c>
      <c r="C1651">
        <v>1.9178082191780823E-2</v>
      </c>
    </row>
    <row r="1652" spans="1:3" x14ac:dyDescent="0.25">
      <c r="A1652" t="s">
        <v>196</v>
      </c>
      <c r="B1652">
        <v>16</v>
      </c>
      <c r="C1652">
        <v>2.4657534246575342E-2</v>
      </c>
    </row>
    <row r="1653" spans="1:3" x14ac:dyDescent="0.25">
      <c r="A1653" t="s">
        <v>185</v>
      </c>
      <c r="B1653">
        <v>19</v>
      </c>
      <c r="C1653">
        <v>3.0136986301369864E-2</v>
      </c>
    </row>
    <row r="1654" spans="1:3" x14ac:dyDescent="0.25">
      <c r="A1654" t="s">
        <v>160</v>
      </c>
      <c r="B1654">
        <v>20</v>
      </c>
      <c r="C1654">
        <v>4.1095890410958902E-2</v>
      </c>
    </row>
    <row r="1655" spans="1:3" x14ac:dyDescent="0.25">
      <c r="A1655" t="s">
        <v>160</v>
      </c>
      <c r="B1655">
        <v>21</v>
      </c>
      <c r="C1655">
        <v>4.1095890410958902E-2</v>
      </c>
    </row>
    <row r="1656" spans="1:3" x14ac:dyDescent="0.25">
      <c r="A1656" t="s">
        <v>44</v>
      </c>
      <c r="B1656">
        <v>10</v>
      </c>
      <c r="C1656">
        <v>3.287671232876712E-2</v>
      </c>
    </row>
    <row r="1657" spans="1:3" x14ac:dyDescent="0.25">
      <c r="A1657" t="s">
        <v>118</v>
      </c>
      <c r="B1657">
        <v>17</v>
      </c>
      <c r="C1657">
        <v>3.0136986301369864E-2</v>
      </c>
    </row>
    <row r="1658" spans="1:3" x14ac:dyDescent="0.25">
      <c r="A1658" t="s">
        <v>123</v>
      </c>
      <c r="B1658">
        <v>20</v>
      </c>
      <c r="C1658">
        <v>2.4657534246575342E-2</v>
      </c>
    </row>
    <row r="1659" spans="1:3" x14ac:dyDescent="0.25">
      <c r="A1659" t="s">
        <v>175</v>
      </c>
      <c r="B1659">
        <v>20</v>
      </c>
      <c r="C1659">
        <v>1.0958904109589041E-2</v>
      </c>
    </row>
    <row r="1660" spans="1:3" x14ac:dyDescent="0.25">
      <c r="A1660" t="s">
        <v>179</v>
      </c>
      <c r="B1660">
        <v>20</v>
      </c>
      <c r="C1660">
        <v>2.7397260273972601E-2</v>
      </c>
    </row>
    <row r="1661" spans="1:3" x14ac:dyDescent="0.25">
      <c r="A1661" t="s">
        <v>165</v>
      </c>
      <c r="B1661">
        <v>21</v>
      </c>
      <c r="C1661">
        <v>5.4794520547945206E-3</v>
      </c>
    </row>
    <row r="1662" spans="1:3" x14ac:dyDescent="0.25">
      <c r="A1662" t="s">
        <v>216</v>
      </c>
      <c r="B1662">
        <v>17</v>
      </c>
      <c r="C1662">
        <v>3.287671232876712E-2</v>
      </c>
    </row>
    <row r="1663" spans="1:3" x14ac:dyDescent="0.25">
      <c r="A1663" t="s">
        <v>71</v>
      </c>
      <c r="B1663">
        <v>21</v>
      </c>
      <c r="C1663">
        <v>8.7671232876712329E-2</v>
      </c>
    </row>
    <row r="1664" spans="1:3" x14ac:dyDescent="0.25">
      <c r="A1664" t="s">
        <v>28</v>
      </c>
      <c r="B1664">
        <v>6</v>
      </c>
      <c r="C1664">
        <v>3.287671232876712E-2</v>
      </c>
    </row>
    <row r="1665" spans="1:3" x14ac:dyDescent="0.25">
      <c r="A1665" t="s">
        <v>130</v>
      </c>
      <c r="B1665">
        <v>23</v>
      </c>
      <c r="C1665">
        <v>5.2054794520547946E-2</v>
      </c>
    </row>
    <row r="1666" spans="1:3" x14ac:dyDescent="0.25">
      <c r="A1666" t="s">
        <v>173</v>
      </c>
      <c r="B1666">
        <v>18</v>
      </c>
      <c r="C1666">
        <v>2.7397260273972601E-2</v>
      </c>
    </row>
    <row r="1667" spans="1:3" x14ac:dyDescent="0.25">
      <c r="A1667" t="s">
        <v>121</v>
      </c>
      <c r="B1667">
        <v>23</v>
      </c>
      <c r="C1667">
        <v>1.9178082191780823E-2</v>
      </c>
    </row>
    <row r="1668" spans="1:3" x14ac:dyDescent="0.25">
      <c r="A1668" t="s">
        <v>136</v>
      </c>
      <c r="B1668">
        <v>17</v>
      </c>
      <c r="C1668">
        <v>2.4657534246575342E-2</v>
      </c>
    </row>
    <row r="1669" spans="1:3" x14ac:dyDescent="0.25">
      <c r="A1669" t="s">
        <v>149</v>
      </c>
      <c r="B1669">
        <v>6</v>
      </c>
      <c r="C1669">
        <v>2.4657534246575342E-2</v>
      </c>
    </row>
    <row r="1670" spans="1:3" x14ac:dyDescent="0.25">
      <c r="A1670" t="s">
        <v>99</v>
      </c>
      <c r="B1670">
        <v>5</v>
      </c>
      <c r="C1670">
        <v>2.4657534246575342E-2</v>
      </c>
    </row>
    <row r="1671" spans="1:3" x14ac:dyDescent="0.25">
      <c r="A1671" t="s">
        <v>80</v>
      </c>
      <c r="B1671">
        <v>2</v>
      </c>
      <c r="C1671">
        <v>2.7397260273972601E-2</v>
      </c>
    </row>
    <row r="1672" spans="1:3" x14ac:dyDescent="0.25">
      <c r="A1672" t="s">
        <v>138</v>
      </c>
      <c r="B1672">
        <v>5</v>
      </c>
      <c r="C1672">
        <v>1.643835616438356E-2</v>
      </c>
    </row>
    <row r="1673" spans="1:3" x14ac:dyDescent="0.25">
      <c r="A1673" t="s">
        <v>135</v>
      </c>
      <c r="B1673">
        <v>2</v>
      </c>
      <c r="C1673">
        <v>2.7397260273972601E-2</v>
      </c>
    </row>
    <row r="1674" spans="1:3" x14ac:dyDescent="0.25">
      <c r="A1674" t="s">
        <v>78</v>
      </c>
      <c r="B1674">
        <v>13</v>
      </c>
      <c r="C1674">
        <v>3.0136986301369864E-2</v>
      </c>
    </row>
    <row r="1675" spans="1:3" x14ac:dyDescent="0.25">
      <c r="A1675" t="s">
        <v>188</v>
      </c>
      <c r="B1675">
        <v>15</v>
      </c>
      <c r="C1675">
        <v>3.0136986301369864E-2</v>
      </c>
    </row>
    <row r="1676" spans="1:3" x14ac:dyDescent="0.25">
      <c r="A1676" t="s">
        <v>148</v>
      </c>
      <c r="B1676">
        <v>12</v>
      </c>
      <c r="C1676">
        <v>2.1917808219178082E-2</v>
      </c>
    </row>
    <row r="1677" spans="1:3" x14ac:dyDescent="0.25">
      <c r="A1677" t="s">
        <v>194</v>
      </c>
      <c r="B1677">
        <v>10</v>
      </c>
      <c r="C1677">
        <v>3.8356164383561646E-2</v>
      </c>
    </row>
    <row r="1678" spans="1:3" x14ac:dyDescent="0.25">
      <c r="A1678" t="s">
        <v>189</v>
      </c>
      <c r="B1678">
        <v>12</v>
      </c>
      <c r="C1678">
        <v>3.287671232876712E-2</v>
      </c>
    </row>
    <row r="1679" spans="1:3" x14ac:dyDescent="0.25">
      <c r="A1679" t="s">
        <v>214</v>
      </c>
      <c r="B1679">
        <v>15</v>
      </c>
      <c r="C1679">
        <v>3.287671232876712E-2</v>
      </c>
    </row>
    <row r="1680" spans="1:3" x14ac:dyDescent="0.25">
      <c r="A1680" t="s">
        <v>214</v>
      </c>
      <c r="B1680">
        <v>8</v>
      </c>
      <c r="C1680">
        <v>3.0136986301369864E-2</v>
      </c>
    </row>
    <row r="1681" spans="1:3" x14ac:dyDescent="0.25">
      <c r="A1681" t="s">
        <v>78</v>
      </c>
      <c r="B1681">
        <v>9</v>
      </c>
      <c r="C1681">
        <v>3.0136986301369864E-2</v>
      </c>
    </row>
    <row r="1682" spans="1:3" x14ac:dyDescent="0.25">
      <c r="A1682" t="s">
        <v>194</v>
      </c>
      <c r="B1682">
        <v>13</v>
      </c>
      <c r="C1682">
        <v>3.8356164383561646E-2</v>
      </c>
    </row>
    <row r="1683" spans="1:3" x14ac:dyDescent="0.25">
      <c r="A1683" t="s">
        <v>173</v>
      </c>
      <c r="B1683">
        <v>11</v>
      </c>
      <c r="C1683">
        <v>3.0136986301369864E-2</v>
      </c>
    </row>
    <row r="1684" spans="1:3" x14ac:dyDescent="0.25">
      <c r="A1684" t="s">
        <v>189</v>
      </c>
      <c r="B1684">
        <v>11</v>
      </c>
      <c r="C1684">
        <v>2.7397260273972601E-2</v>
      </c>
    </row>
    <row r="1685" spans="1:3" x14ac:dyDescent="0.25">
      <c r="A1685" t="s">
        <v>43</v>
      </c>
      <c r="B1685">
        <v>21</v>
      </c>
      <c r="C1685">
        <v>3.287671232876712E-2</v>
      </c>
    </row>
    <row r="1686" spans="1:3" x14ac:dyDescent="0.25">
      <c r="A1686" t="s">
        <v>191</v>
      </c>
      <c r="B1686">
        <v>15</v>
      </c>
      <c r="C1686">
        <v>3.0136986301369864E-2</v>
      </c>
    </row>
    <row r="1687" spans="1:3" x14ac:dyDescent="0.25">
      <c r="A1687" t="s">
        <v>145</v>
      </c>
      <c r="B1687">
        <v>14</v>
      </c>
      <c r="C1687">
        <v>2.7397260273972601E-2</v>
      </c>
    </row>
    <row r="1688" spans="1:3" x14ac:dyDescent="0.25">
      <c r="A1688" t="s">
        <v>122</v>
      </c>
      <c r="B1688">
        <v>19</v>
      </c>
      <c r="C1688">
        <v>5.2054794520547946E-2</v>
      </c>
    </row>
    <row r="1689" spans="1:3" x14ac:dyDescent="0.25">
      <c r="A1689" t="s">
        <v>155</v>
      </c>
      <c r="B1689">
        <v>22</v>
      </c>
      <c r="C1689">
        <v>3.287671232876712E-2</v>
      </c>
    </row>
    <row r="1690" spans="1:3" x14ac:dyDescent="0.25">
      <c r="A1690" t="s">
        <v>162</v>
      </c>
      <c r="B1690">
        <v>17</v>
      </c>
      <c r="C1690">
        <v>2.1917808219178082E-2</v>
      </c>
    </row>
    <row r="1691" spans="1:3" x14ac:dyDescent="0.25">
      <c r="A1691" t="s">
        <v>83</v>
      </c>
      <c r="B1691">
        <v>18</v>
      </c>
      <c r="C1691">
        <v>2.1917808219178082E-2</v>
      </c>
    </row>
    <row r="1692" spans="1:3" x14ac:dyDescent="0.25">
      <c r="A1692" t="s">
        <v>200</v>
      </c>
      <c r="B1692">
        <v>16</v>
      </c>
      <c r="C1692">
        <v>2.7397260273972601E-2</v>
      </c>
    </row>
    <row r="1693" spans="1:3" x14ac:dyDescent="0.25">
      <c r="A1693" t="s">
        <v>207</v>
      </c>
      <c r="B1693">
        <v>16</v>
      </c>
      <c r="C1693">
        <v>2.7397260273972601E-2</v>
      </c>
    </row>
    <row r="1694" spans="1:3" x14ac:dyDescent="0.25">
      <c r="A1694" t="s">
        <v>176</v>
      </c>
      <c r="B1694">
        <v>19</v>
      </c>
      <c r="C1694">
        <v>2.7397260273972601E-2</v>
      </c>
    </row>
    <row r="1695" spans="1:3" x14ac:dyDescent="0.25">
      <c r="A1695" t="s">
        <v>205</v>
      </c>
      <c r="B1695">
        <v>19</v>
      </c>
      <c r="C1695">
        <v>2.1917808219178082E-2</v>
      </c>
    </row>
    <row r="1696" spans="1:3" x14ac:dyDescent="0.25">
      <c r="A1696" t="s">
        <v>161</v>
      </c>
      <c r="B1696">
        <v>19</v>
      </c>
      <c r="C1696">
        <v>2.7397260273972601E-2</v>
      </c>
    </row>
    <row r="1697" spans="1:3" x14ac:dyDescent="0.25">
      <c r="A1697" t="s">
        <v>97</v>
      </c>
      <c r="B1697">
        <v>18</v>
      </c>
      <c r="C1697">
        <v>2.1917808219178082E-2</v>
      </c>
    </row>
    <row r="1698" spans="1:3" x14ac:dyDescent="0.25">
      <c r="A1698" t="s">
        <v>169</v>
      </c>
      <c r="B1698">
        <v>17</v>
      </c>
      <c r="C1698">
        <v>3.8356164383561646E-2</v>
      </c>
    </row>
    <row r="1699" spans="1:3" x14ac:dyDescent="0.25">
      <c r="A1699" t="s">
        <v>131</v>
      </c>
      <c r="B1699">
        <v>20</v>
      </c>
      <c r="C1699">
        <v>3.5616438356164383E-2</v>
      </c>
    </row>
    <row r="1700" spans="1:3" x14ac:dyDescent="0.25">
      <c r="A1700" t="s">
        <v>171</v>
      </c>
      <c r="B1700">
        <v>16</v>
      </c>
      <c r="C1700">
        <v>3.5616438356164383E-2</v>
      </c>
    </row>
    <row r="1701" spans="1:3" x14ac:dyDescent="0.25">
      <c r="A1701" t="s">
        <v>95</v>
      </c>
      <c r="B1701">
        <v>20</v>
      </c>
      <c r="C1701">
        <v>0.12328767123287671</v>
      </c>
    </row>
    <row r="1702" spans="1:3" x14ac:dyDescent="0.25">
      <c r="A1702" t="s">
        <v>164</v>
      </c>
      <c r="B1702">
        <v>21</v>
      </c>
      <c r="C1702">
        <v>4.6575342465753428E-2</v>
      </c>
    </row>
    <row r="1703" spans="1:3" x14ac:dyDescent="0.25">
      <c r="A1703" t="s">
        <v>211</v>
      </c>
      <c r="B1703">
        <v>17</v>
      </c>
      <c r="C1703">
        <v>4.9315068493150684E-2</v>
      </c>
    </row>
    <row r="1704" spans="1:3" x14ac:dyDescent="0.25">
      <c r="A1704" t="s">
        <v>78</v>
      </c>
      <c r="B1704">
        <v>23</v>
      </c>
      <c r="C1704">
        <v>2.1917808219178082E-2</v>
      </c>
    </row>
    <row r="1705" spans="1:3" x14ac:dyDescent="0.25">
      <c r="A1705" t="s">
        <v>214</v>
      </c>
      <c r="B1705">
        <v>16</v>
      </c>
      <c r="C1705">
        <v>2.7397260273972601E-2</v>
      </c>
    </row>
    <row r="1706" spans="1:3" x14ac:dyDescent="0.25">
      <c r="A1706" t="s">
        <v>195</v>
      </c>
      <c r="B1706">
        <v>21</v>
      </c>
      <c r="C1706">
        <v>2.4657534246575342E-2</v>
      </c>
    </row>
    <row r="1707" spans="1:3" x14ac:dyDescent="0.25">
      <c r="A1707" t="s">
        <v>68</v>
      </c>
      <c r="B1707">
        <v>5</v>
      </c>
      <c r="C1707">
        <v>2.4657534246575342E-2</v>
      </c>
    </row>
    <row r="1708" spans="1:3" x14ac:dyDescent="0.25">
      <c r="A1708" t="s">
        <v>191</v>
      </c>
      <c r="B1708">
        <v>0</v>
      </c>
      <c r="C1708">
        <v>1.643835616438356E-2</v>
      </c>
    </row>
    <row r="1709" spans="1:3" x14ac:dyDescent="0.25">
      <c r="A1709" t="s">
        <v>195</v>
      </c>
      <c r="B1709">
        <v>0</v>
      </c>
      <c r="C1709">
        <v>1.643835616438356E-2</v>
      </c>
    </row>
    <row r="1710" spans="1:3" x14ac:dyDescent="0.25">
      <c r="A1710" t="s">
        <v>157</v>
      </c>
      <c r="B1710">
        <v>0</v>
      </c>
      <c r="C1710">
        <v>1.643835616438356E-2</v>
      </c>
    </row>
    <row r="1711" spans="1:3" x14ac:dyDescent="0.25">
      <c r="A1711" t="s">
        <v>142</v>
      </c>
      <c r="B1711">
        <v>3</v>
      </c>
      <c r="C1711">
        <v>1.3698630136986301E-2</v>
      </c>
    </row>
    <row r="1712" spans="1:3" x14ac:dyDescent="0.25">
      <c r="A1712" t="s">
        <v>166</v>
      </c>
      <c r="B1712">
        <v>3</v>
      </c>
      <c r="C1712">
        <v>8.21917808219178E-3</v>
      </c>
    </row>
    <row r="1713" spans="1:3" x14ac:dyDescent="0.25">
      <c r="A1713" t="s">
        <v>71</v>
      </c>
      <c r="B1713">
        <v>4</v>
      </c>
      <c r="C1713">
        <v>2.4657534246575342E-2</v>
      </c>
    </row>
    <row r="1714" spans="1:3" x14ac:dyDescent="0.25">
      <c r="A1714" t="s">
        <v>200</v>
      </c>
      <c r="B1714">
        <v>7</v>
      </c>
      <c r="C1714">
        <v>2.4657534246575342E-2</v>
      </c>
    </row>
    <row r="1715" spans="1:3" x14ac:dyDescent="0.25">
      <c r="A1715" t="s">
        <v>128</v>
      </c>
      <c r="B1715">
        <v>7</v>
      </c>
      <c r="C1715">
        <v>1.3698630136986301E-2</v>
      </c>
    </row>
    <row r="1716" spans="1:3" x14ac:dyDescent="0.25">
      <c r="A1716" t="s">
        <v>89</v>
      </c>
      <c r="B1716">
        <v>5</v>
      </c>
      <c r="C1716">
        <v>2.4657534246575342E-2</v>
      </c>
    </row>
    <row r="1717" spans="1:3" x14ac:dyDescent="0.25">
      <c r="A1717" t="s">
        <v>192</v>
      </c>
      <c r="B1717">
        <v>5</v>
      </c>
      <c r="C1717">
        <v>1.3698630136986301E-2</v>
      </c>
    </row>
    <row r="1718" spans="1:3" x14ac:dyDescent="0.25">
      <c r="A1718" t="s">
        <v>146</v>
      </c>
      <c r="B1718">
        <v>0</v>
      </c>
      <c r="C1718">
        <v>1.3698630136986301E-2</v>
      </c>
    </row>
    <row r="1719" spans="1:3" x14ac:dyDescent="0.25">
      <c r="A1719" t="s">
        <v>76</v>
      </c>
      <c r="B1719">
        <v>4</v>
      </c>
      <c r="C1719">
        <v>2.4657534246575342E-2</v>
      </c>
    </row>
    <row r="1720" spans="1:3" x14ac:dyDescent="0.25">
      <c r="A1720" t="s">
        <v>68</v>
      </c>
      <c r="B1720">
        <v>4</v>
      </c>
      <c r="C1720">
        <v>2.4657534246575342E-2</v>
      </c>
    </row>
    <row r="1721" spans="1:3" x14ac:dyDescent="0.25">
      <c r="A1721" t="s">
        <v>67</v>
      </c>
      <c r="B1721">
        <v>3</v>
      </c>
      <c r="C1721">
        <v>2.7397260273972601E-2</v>
      </c>
    </row>
    <row r="1722" spans="1:3" x14ac:dyDescent="0.25">
      <c r="A1722" t="s">
        <v>180</v>
      </c>
      <c r="B1722">
        <v>8</v>
      </c>
      <c r="C1722">
        <v>2.7397260273972601E-2</v>
      </c>
    </row>
    <row r="1723" spans="1:3" x14ac:dyDescent="0.25">
      <c r="A1723" t="s">
        <v>162</v>
      </c>
      <c r="B1723">
        <v>15</v>
      </c>
      <c r="C1723">
        <v>2.7397260273972601E-2</v>
      </c>
    </row>
    <row r="1724" spans="1:3" x14ac:dyDescent="0.25">
      <c r="A1724" t="s">
        <v>210</v>
      </c>
      <c r="B1724">
        <v>8</v>
      </c>
      <c r="C1724">
        <v>2.4657534246575342E-2</v>
      </c>
    </row>
    <row r="1725" spans="1:3" x14ac:dyDescent="0.25">
      <c r="A1725" t="s">
        <v>135</v>
      </c>
      <c r="B1725">
        <v>14</v>
      </c>
      <c r="C1725">
        <v>3.5616438356164383E-2</v>
      </c>
    </row>
    <row r="1726" spans="1:3" x14ac:dyDescent="0.25">
      <c r="A1726" t="s">
        <v>160</v>
      </c>
      <c r="B1726">
        <v>13</v>
      </c>
      <c r="C1726">
        <v>6.0273972602739728E-2</v>
      </c>
    </row>
    <row r="1727" spans="1:3" x14ac:dyDescent="0.25">
      <c r="A1727" t="s">
        <v>25</v>
      </c>
      <c r="B1727">
        <v>20</v>
      </c>
      <c r="C1727">
        <v>3.287671232876712E-2</v>
      </c>
    </row>
    <row r="1728" spans="1:3" x14ac:dyDescent="0.25">
      <c r="A1728" t="s">
        <v>184</v>
      </c>
      <c r="B1728">
        <v>10</v>
      </c>
      <c r="C1728">
        <v>2.1917808219178082E-2</v>
      </c>
    </row>
    <row r="1729" spans="1:3" x14ac:dyDescent="0.25">
      <c r="A1729" t="s">
        <v>202</v>
      </c>
      <c r="B1729">
        <v>9</v>
      </c>
      <c r="C1729">
        <v>3.5616438356164383E-2</v>
      </c>
    </row>
    <row r="1730" spans="1:3" x14ac:dyDescent="0.25">
      <c r="A1730" t="s">
        <v>209</v>
      </c>
      <c r="B1730">
        <v>10</v>
      </c>
      <c r="C1730">
        <v>4.1095890410958902E-2</v>
      </c>
    </row>
    <row r="1731" spans="1:3" x14ac:dyDescent="0.25">
      <c r="A1731" t="s">
        <v>101</v>
      </c>
      <c r="B1731">
        <v>15</v>
      </c>
      <c r="C1731">
        <v>2.4657534246575342E-2</v>
      </c>
    </row>
    <row r="1732" spans="1:3" x14ac:dyDescent="0.25">
      <c r="A1732" t="s">
        <v>170</v>
      </c>
      <c r="B1732">
        <v>11</v>
      </c>
      <c r="C1732">
        <v>2.1917808219178082E-2</v>
      </c>
    </row>
    <row r="1733" spans="1:3" x14ac:dyDescent="0.25">
      <c r="A1733" t="s">
        <v>102</v>
      </c>
      <c r="B1733">
        <v>17</v>
      </c>
      <c r="C1733">
        <v>2.7397260273972601E-2</v>
      </c>
    </row>
    <row r="1734" spans="1:3" x14ac:dyDescent="0.25">
      <c r="A1734" t="s">
        <v>214</v>
      </c>
      <c r="B1734">
        <v>18</v>
      </c>
      <c r="C1734">
        <v>2.7397260273972601E-2</v>
      </c>
    </row>
    <row r="1735" spans="1:3" x14ac:dyDescent="0.25">
      <c r="A1735" t="s">
        <v>142</v>
      </c>
      <c r="B1735">
        <v>21</v>
      </c>
      <c r="C1735">
        <v>1.9178082191780823E-2</v>
      </c>
    </row>
    <row r="1736" spans="1:3" x14ac:dyDescent="0.25">
      <c r="A1736" t="s">
        <v>142</v>
      </c>
      <c r="B1736">
        <v>19</v>
      </c>
      <c r="C1736">
        <v>1.9178082191780823E-2</v>
      </c>
    </row>
    <row r="1737" spans="1:3" x14ac:dyDescent="0.25">
      <c r="A1737" t="s">
        <v>105</v>
      </c>
      <c r="B1737">
        <v>23</v>
      </c>
      <c r="C1737">
        <v>4.9315068493150684E-2</v>
      </c>
    </row>
    <row r="1738" spans="1:3" x14ac:dyDescent="0.25">
      <c r="A1738" t="s">
        <v>152</v>
      </c>
      <c r="B1738">
        <v>23</v>
      </c>
      <c r="C1738">
        <v>2.7397260273972601E-2</v>
      </c>
    </row>
    <row r="1739" spans="1:3" x14ac:dyDescent="0.25">
      <c r="A1739" t="s">
        <v>133</v>
      </c>
      <c r="B1739">
        <v>18</v>
      </c>
      <c r="C1739">
        <v>9.3150684931506855E-2</v>
      </c>
    </row>
    <row r="1740" spans="1:3" x14ac:dyDescent="0.25">
      <c r="A1740" t="s">
        <v>201</v>
      </c>
      <c r="B1740">
        <v>16</v>
      </c>
      <c r="C1740">
        <v>3.5616438356164383E-2</v>
      </c>
    </row>
    <row r="1741" spans="1:3" x14ac:dyDescent="0.25">
      <c r="A1741" t="s">
        <v>202</v>
      </c>
      <c r="B1741">
        <v>17</v>
      </c>
      <c r="C1741">
        <v>4.3835616438356165E-2</v>
      </c>
    </row>
    <row r="1742" spans="1:3" x14ac:dyDescent="0.25">
      <c r="A1742" t="s">
        <v>134</v>
      </c>
      <c r="B1742">
        <v>23</v>
      </c>
      <c r="C1742">
        <v>3.287671232876712E-2</v>
      </c>
    </row>
    <row r="1743" spans="1:3" x14ac:dyDescent="0.25">
      <c r="A1743" t="s">
        <v>200</v>
      </c>
      <c r="B1743">
        <v>23</v>
      </c>
      <c r="C1743">
        <v>2.7397260273972601E-2</v>
      </c>
    </row>
    <row r="1744" spans="1:3" x14ac:dyDescent="0.25">
      <c r="A1744" t="s">
        <v>209</v>
      </c>
      <c r="B1744">
        <v>18</v>
      </c>
      <c r="C1744">
        <v>4.3835616438356165E-2</v>
      </c>
    </row>
    <row r="1745" spans="1:3" x14ac:dyDescent="0.25">
      <c r="A1745" t="s">
        <v>30</v>
      </c>
      <c r="B1745">
        <v>6</v>
      </c>
      <c r="C1745">
        <v>3.0136986301369864E-2</v>
      </c>
    </row>
    <row r="1746" spans="1:3" x14ac:dyDescent="0.25">
      <c r="A1746" t="s">
        <v>200</v>
      </c>
      <c r="B1746">
        <v>20</v>
      </c>
      <c r="C1746">
        <v>2.4657534246575342E-2</v>
      </c>
    </row>
    <row r="1747" spans="1:3" x14ac:dyDescent="0.25">
      <c r="A1747" t="s">
        <v>120</v>
      </c>
      <c r="B1747">
        <v>22</v>
      </c>
      <c r="C1747">
        <v>4.3835616438356165E-2</v>
      </c>
    </row>
    <row r="1748" spans="1:3" x14ac:dyDescent="0.25">
      <c r="A1748" t="s">
        <v>137</v>
      </c>
      <c r="B1748">
        <v>17</v>
      </c>
      <c r="C1748">
        <v>3.5616438356164383E-2</v>
      </c>
    </row>
    <row r="1749" spans="1:3" x14ac:dyDescent="0.25">
      <c r="A1749" t="s">
        <v>80</v>
      </c>
      <c r="B1749">
        <v>5</v>
      </c>
      <c r="C1749">
        <v>2.4657534246575342E-2</v>
      </c>
    </row>
    <row r="1750" spans="1:3" x14ac:dyDescent="0.25">
      <c r="A1750" t="s">
        <v>152</v>
      </c>
      <c r="B1750">
        <v>5</v>
      </c>
      <c r="C1750">
        <v>2.4657534246575342E-2</v>
      </c>
    </row>
    <row r="1751" spans="1:3" x14ac:dyDescent="0.25">
      <c r="A1751" t="s">
        <v>109</v>
      </c>
      <c r="B1751">
        <v>4</v>
      </c>
      <c r="C1751">
        <v>2.7397260273972601E-2</v>
      </c>
    </row>
    <row r="1752" spans="1:3" x14ac:dyDescent="0.25">
      <c r="A1752" t="s">
        <v>127</v>
      </c>
      <c r="B1752">
        <v>4</v>
      </c>
      <c r="C1752">
        <v>5.4794520547945206E-3</v>
      </c>
    </row>
    <row r="1753" spans="1:3" x14ac:dyDescent="0.25">
      <c r="A1753" t="s">
        <v>81</v>
      </c>
      <c r="B1753">
        <v>1</v>
      </c>
      <c r="C1753">
        <v>2.4657534246575342E-2</v>
      </c>
    </row>
    <row r="1754" spans="1:3" x14ac:dyDescent="0.25">
      <c r="A1754" t="s">
        <v>67</v>
      </c>
      <c r="B1754">
        <v>4</v>
      </c>
      <c r="C1754">
        <v>2.4657534246575342E-2</v>
      </c>
    </row>
    <row r="1755" spans="1:3" x14ac:dyDescent="0.25">
      <c r="A1755" t="s">
        <v>81</v>
      </c>
      <c r="B1755">
        <v>6</v>
      </c>
      <c r="C1755">
        <v>2.4657534246575342E-2</v>
      </c>
    </row>
    <row r="1756" spans="1:3" x14ac:dyDescent="0.25">
      <c r="A1756" t="s">
        <v>188</v>
      </c>
      <c r="B1756">
        <v>7</v>
      </c>
      <c r="C1756">
        <v>1.3698630136986301E-2</v>
      </c>
    </row>
    <row r="1757" spans="1:3" x14ac:dyDescent="0.25">
      <c r="A1757" t="s">
        <v>127</v>
      </c>
      <c r="B1757">
        <v>7</v>
      </c>
      <c r="C1757">
        <v>5.4794520547945206E-3</v>
      </c>
    </row>
    <row r="1758" spans="1:3" x14ac:dyDescent="0.25">
      <c r="A1758" t="s">
        <v>32</v>
      </c>
      <c r="B1758">
        <v>2</v>
      </c>
      <c r="C1758">
        <v>3.0136986301369864E-2</v>
      </c>
    </row>
    <row r="1759" spans="1:3" x14ac:dyDescent="0.25">
      <c r="A1759" t="s">
        <v>203</v>
      </c>
      <c r="B1759">
        <v>11</v>
      </c>
      <c r="C1759">
        <v>2.7397260273972601E-2</v>
      </c>
    </row>
    <row r="1760" spans="1:3" x14ac:dyDescent="0.25">
      <c r="A1760" t="s">
        <v>150</v>
      </c>
      <c r="B1760">
        <v>8</v>
      </c>
      <c r="C1760">
        <v>7.1232876712328766E-2</v>
      </c>
    </row>
    <row r="1761" spans="1:3" x14ac:dyDescent="0.25">
      <c r="A1761" t="s">
        <v>169</v>
      </c>
      <c r="B1761">
        <v>11</v>
      </c>
      <c r="C1761">
        <v>1.643835616438356E-2</v>
      </c>
    </row>
    <row r="1762" spans="1:3" x14ac:dyDescent="0.25">
      <c r="A1762" t="s">
        <v>194</v>
      </c>
      <c r="B1762">
        <v>15</v>
      </c>
      <c r="C1762">
        <v>3.5616438356164383E-2</v>
      </c>
    </row>
    <row r="1763" spans="1:3" x14ac:dyDescent="0.25">
      <c r="A1763" t="s">
        <v>43</v>
      </c>
      <c r="B1763">
        <v>23</v>
      </c>
      <c r="C1763">
        <v>2.7397260273972601E-2</v>
      </c>
    </row>
    <row r="1764" spans="1:3" x14ac:dyDescent="0.25">
      <c r="A1764" t="s">
        <v>189</v>
      </c>
      <c r="B1764">
        <v>18</v>
      </c>
      <c r="C1764">
        <v>2.4657534246575342E-2</v>
      </c>
    </row>
    <row r="1765" spans="1:3" x14ac:dyDescent="0.25">
      <c r="A1765" t="s">
        <v>145</v>
      </c>
      <c r="B1765">
        <v>19</v>
      </c>
      <c r="C1765">
        <v>1.9178082191780823E-2</v>
      </c>
    </row>
    <row r="1766" spans="1:3" x14ac:dyDescent="0.25">
      <c r="A1766" t="s">
        <v>138</v>
      </c>
      <c r="B1766">
        <v>23</v>
      </c>
      <c r="C1766">
        <v>2.4657534246575342E-2</v>
      </c>
    </row>
    <row r="1767" spans="1:3" x14ac:dyDescent="0.25">
      <c r="A1767" t="s">
        <v>30</v>
      </c>
      <c r="B1767">
        <v>4</v>
      </c>
      <c r="C1767">
        <v>2.7397260273972601E-2</v>
      </c>
    </row>
    <row r="1768" spans="1:3" x14ac:dyDescent="0.25">
      <c r="A1768" t="s">
        <v>201</v>
      </c>
      <c r="B1768">
        <v>19</v>
      </c>
      <c r="C1768">
        <v>3.287671232876712E-2</v>
      </c>
    </row>
    <row r="1769" spans="1:3" x14ac:dyDescent="0.25">
      <c r="A1769" t="s">
        <v>163</v>
      </c>
      <c r="B1769">
        <v>19</v>
      </c>
      <c r="C1769">
        <v>3.8356164383561646E-2</v>
      </c>
    </row>
    <row r="1770" spans="1:3" x14ac:dyDescent="0.25">
      <c r="A1770" t="s">
        <v>187</v>
      </c>
      <c r="B1770">
        <v>21</v>
      </c>
      <c r="C1770">
        <v>3.8356164383561646E-2</v>
      </c>
    </row>
    <row r="1771" spans="1:3" x14ac:dyDescent="0.25">
      <c r="A1771" t="s">
        <v>132</v>
      </c>
      <c r="B1771">
        <v>22</v>
      </c>
      <c r="C1771">
        <v>1.9178082191780823E-2</v>
      </c>
    </row>
    <row r="1772" spans="1:3" x14ac:dyDescent="0.25">
      <c r="A1772" t="s">
        <v>79</v>
      </c>
      <c r="B1772">
        <v>23</v>
      </c>
      <c r="C1772">
        <v>2.4657534246575342E-2</v>
      </c>
    </row>
    <row r="1773" spans="1:3" x14ac:dyDescent="0.25">
      <c r="A1773" t="s">
        <v>68</v>
      </c>
      <c r="B1773">
        <v>21</v>
      </c>
      <c r="C1773">
        <v>6.8493150684931503E-2</v>
      </c>
    </row>
    <row r="1774" spans="1:3" x14ac:dyDescent="0.25">
      <c r="A1774" t="s">
        <v>144</v>
      </c>
      <c r="B1774">
        <v>23</v>
      </c>
      <c r="C1774">
        <v>2.4657534246575342E-2</v>
      </c>
    </row>
    <row r="1775" spans="1:3" x14ac:dyDescent="0.25">
      <c r="A1775" t="s">
        <v>166</v>
      </c>
      <c r="B1775">
        <v>21</v>
      </c>
      <c r="C1775">
        <v>3.8356164383561646E-2</v>
      </c>
    </row>
    <row r="1776" spans="1:3" x14ac:dyDescent="0.25">
      <c r="A1776" t="s">
        <v>202</v>
      </c>
      <c r="B1776">
        <v>16</v>
      </c>
      <c r="C1776">
        <v>4.3835616438356165E-2</v>
      </c>
    </row>
    <row r="1777" spans="1:3" x14ac:dyDescent="0.25">
      <c r="A1777" t="s">
        <v>101</v>
      </c>
      <c r="B1777">
        <v>20</v>
      </c>
      <c r="C1777">
        <v>1.9178082191780823E-2</v>
      </c>
    </row>
    <row r="1778" spans="1:3" x14ac:dyDescent="0.25">
      <c r="A1778" t="s">
        <v>153</v>
      </c>
      <c r="B1778">
        <v>0</v>
      </c>
      <c r="C1778">
        <v>2.1917808219178082E-2</v>
      </c>
    </row>
    <row r="1779" spans="1:3" x14ac:dyDescent="0.25">
      <c r="A1779" t="s">
        <v>111</v>
      </c>
      <c r="B1779">
        <v>6</v>
      </c>
      <c r="C1779">
        <v>3.5616438356164383E-2</v>
      </c>
    </row>
    <row r="1780" spans="1:3" x14ac:dyDescent="0.25">
      <c r="A1780" t="s">
        <v>107</v>
      </c>
      <c r="B1780">
        <v>5</v>
      </c>
      <c r="C1780">
        <v>1.9178082191780823E-2</v>
      </c>
    </row>
    <row r="1781" spans="1:3" x14ac:dyDescent="0.25">
      <c r="A1781" t="s">
        <v>93</v>
      </c>
      <c r="B1781">
        <v>1</v>
      </c>
      <c r="C1781">
        <v>1.9178082191780823E-2</v>
      </c>
    </row>
    <row r="1782" spans="1:3" x14ac:dyDescent="0.25">
      <c r="A1782" t="s">
        <v>70</v>
      </c>
      <c r="B1782">
        <v>1</v>
      </c>
      <c r="C1782">
        <v>1.3698630136986301E-2</v>
      </c>
    </row>
    <row r="1783" spans="1:3" x14ac:dyDescent="0.25">
      <c r="A1783" t="s">
        <v>122</v>
      </c>
      <c r="B1783">
        <v>4</v>
      </c>
      <c r="C1783">
        <v>1.9178082191780823E-2</v>
      </c>
    </row>
    <row r="1784" spans="1:3" x14ac:dyDescent="0.25">
      <c r="A1784" t="s">
        <v>209</v>
      </c>
      <c r="B1784">
        <v>7</v>
      </c>
      <c r="C1784">
        <v>2.4657534246575342E-2</v>
      </c>
    </row>
    <row r="1785" spans="1:3" x14ac:dyDescent="0.25">
      <c r="A1785" t="s">
        <v>176</v>
      </c>
      <c r="B1785">
        <v>14</v>
      </c>
      <c r="C1785">
        <v>2.4657534246575342E-2</v>
      </c>
    </row>
    <row r="1786" spans="1:3" x14ac:dyDescent="0.25">
      <c r="A1786" t="s">
        <v>137</v>
      </c>
      <c r="B1786">
        <v>11</v>
      </c>
      <c r="C1786">
        <v>3.5616438356164383E-2</v>
      </c>
    </row>
    <row r="1787" spans="1:3" x14ac:dyDescent="0.25">
      <c r="A1787" t="s">
        <v>83</v>
      </c>
      <c r="B1787">
        <v>9</v>
      </c>
      <c r="C1787">
        <v>2.4657534246575342E-2</v>
      </c>
    </row>
    <row r="1788" spans="1:3" x14ac:dyDescent="0.25">
      <c r="A1788" t="s">
        <v>171</v>
      </c>
      <c r="B1788">
        <v>10</v>
      </c>
      <c r="C1788">
        <v>1.0958904109589041E-2</v>
      </c>
    </row>
    <row r="1789" spans="1:3" x14ac:dyDescent="0.25">
      <c r="A1789" t="s">
        <v>217</v>
      </c>
      <c r="B1789">
        <v>8</v>
      </c>
      <c r="C1789">
        <v>2.4657534246575342E-2</v>
      </c>
    </row>
    <row r="1790" spans="1:3" x14ac:dyDescent="0.25">
      <c r="A1790" t="s">
        <v>175</v>
      </c>
      <c r="B1790">
        <v>14</v>
      </c>
      <c r="C1790">
        <v>4.1095890410958902E-2</v>
      </c>
    </row>
    <row r="1791" spans="1:3" x14ac:dyDescent="0.25">
      <c r="A1791" t="s">
        <v>189</v>
      </c>
      <c r="B1791">
        <v>15</v>
      </c>
      <c r="C1791">
        <v>2.4657534246575342E-2</v>
      </c>
    </row>
    <row r="1792" spans="1:3" x14ac:dyDescent="0.25">
      <c r="A1792" t="s">
        <v>182</v>
      </c>
      <c r="B1792">
        <v>14</v>
      </c>
      <c r="C1792">
        <v>3.5616438356164383E-2</v>
      </c>
    </row>
    <row r="1793" spans="1:3" x14ac:dyDescent="0.25">
      <c r="A1793" t="s">
        <v>168</v>
      </c>
      <c r="B1793">
        <v>8</v>
      </c>
      <c r="C1793">
        <v>3.287671232876712E-2</v>
      </c>
    </row>
    <row r="1794" spans="1:3" x14ac:dyDescent="0.25">
      <c r="A1794" t="s">
        <v>168</v>
      </c>
      <c r="B1794">
        <v>14</v>
      </c>
      <c r="C1794">
        <v>3.287671232876712E-2</v>
      </c>
    </row>
    <row r="1795" spans="1:3" x14ac:dyDescent="0.25">
      <c r="A1795" t="s">
        <v>152</v>
      </c>
      <c r="B1795">
        <v>12</v>
      </c>
      <c r="C1795">
        <v>2.4657534246575342E-2</v>
      </c>
    </row>
    <row r="1796" spans="1:3" x14ac:dyDescent="0.25">
      <c r="A1796" t="s">
        <v>184</v>
      </c>
      <c r="B1796">
        <v>11</v>
      </c>
      <c r="C1796">
        <v>2.1917808219178082E-2</v>
      </c>
    </row>
    <row r="1797" spans="1:3" x14ac:dyDescent="0.25">
      <c r="A1797" t="s">
        <v>175</v>
      </c>
      <c r="B1797">
        <v>8</v>
      </c>
      <c r="C1797">
        <v>3.8356164383561646E-2</v>
      </c>
    </row>
    <row r="1798" spans="1:3" x14ac:dyDescent="0.25">
      <c r="A1798" t="s">
        <v>149</v>
      </c>
      <c r="B1798">
        <v>14</v>
      </c>
      <c r="C1798">
        <v>3.8356164383561646E-2</v>
      </c>
    </row>
    <row r="1799" spans="1:3" x14ac:dyDescent="0.25">
      <c r="A1799" t="s">
        <v>187</v>
      </c>
      <c r="B1799">
        <v>9</v>
      </c>
      <c r="C1799">
        <v>3.8356164383561646E-2</v>
      </c>
    </row>
    <row r="1800" spans="1:3" x14ac:dyDescent="0.25">
      <c r="A1800" t="s">
        <v>166</v>
      </c>
      <c r="B1800">
        <v>11</v>
      </c>
      <c r="C1800">
        <v>4.1095890410958902E-2</v>
      </c>
    </row>
    <row r="1801" spans="1:3" x14ac:dyDescent="0.25">
      <c r="A1801" t="s">
        <v>45</v>
      </c>
      <c r="B1801">
        <v>16</v>
      </c>
      <c r="C1801">
        <v>3.287671232876712E-2</v>
      </c>
    </row>
    <row r="1802" spans="1:3" x14ac:dyDescent="0.25">
      <c r="A1802" t="s">
        <v>107</v>
      </c>
      <c r="B1802">
        <v>23</v>
      </c>
      <c r="C1802">
        <v>4.1095890410958902E-2</v>
      </c>
    </row>
    <row r="1803" spans="1:3" x14ac:dyDescent="0.25">
      <c r="A1803" t="s">
        <v>83</v>
      </c>
      <c r="B1803">
        <v>17</v>
      </c>
      <c r="C1803">
        <v>1.9178082191780823E-2</v>
      </c>
    </row>
    <row r="1804" spans="1:3" x14ac:dyDescent="0.25">
      <c r="A1804" t="s">
        <v>168</v>
      </c>
      <c r="B1804">
        <v>21</v>
      </c>
      <c r="C1804">
        <v>4.1095890410958902E-2</v>
      </c>
    </row>
    <row r="1805" spans="1:3" x14ac:dyDescent="0.25">
      <c r="A1805" t="s">
        <v>102</v>
      </c>
      <c r="B1805">
        <v>23</v>
      </c>
      <c r="C1805">
        <v>2.7397260273972601E-2</v>
      </c>
    </row>
    <row r="1806" spans="1:3" x14ac:dyDescent="0.25">
      <c r="A1806" t="s">
        <v>130</v>
      </c>
      <c r="B1806">
        <v>21</v>
      </c>
      <c r="C1806">
        <v>4.9315068493150684E-2</v>
      </c>
    </row>
    <row r="1807" spans="1:3" x14ac:dyDescent="0.25">
      <c r="A1807" t="s">
        <v>140</v>
      </c>
      <c r="B1807">
        <v>16</v>
      </c>
      <c r="C1807">
        <v>1.9178082191780823E-2</v>
      </c>
    </row>
    <row r="1808" spans="1:3" x14ac:dyDescent="0.25">
      <c r="A1808" t="s">
        <v>196</v>
      </c>
      <c r="B1808">
        <v>18</v>
      </c>
      <c r="C1808">
        <v>1.9178082191780823E-2</v>
      </c>
    </row>
    <row r="1809" spans="1:3" x14ac:dyDescent="0.25">
      <c r="A1809" t="s">
        <v>158</v>
      </c>
      <c r="B1809">
        <v>22</v>
      </c>
      <c r="C1809">
        <v>3.287671232876712E-2</v>
      </c>
    </row>
    <row r="1810" spans="1:3" x14ac:dyDescent="0.25">
      <c r="A1810" t="s">
        <v>183</v>
      </c>
      <c r="B1810">
        <v>17</v>
      </c>
      <c r="C1810">
        <v>1.9178082191780823E-2</v>
      </c>
    </row>
    <row r="1811" spans="1:3" x14ac:dyDescent="0.25">
      <c r="A1811" t="s">
        <v>177</v>
      </c>
      <c r="B1811">
        <v>20</v>
      </c>
      <c r="C1811">
        <v>1.9178082191780823E-2</v>
      </c>
    </row>
    <row r="1812" spans="1:3" x14ac:dyDescent="0.25">
      <c r="A1812" t="s">
        <v>97</v>
      </c>
      <c r="B1812">
        <v>19</v>
      </c>
      <c r="C1812">
        <v>1.9178082191780823E-2</v>
      </c>
    </row>
    <row r="1813" spans="1:3" x14ac:dyDescent="0.25">
      <c r="A1813" t="s">
        <v>38</v>
      </c>
      <c r="B1813">
        <v>9</v>
      </c>
      <c r="C1813">
        <v>2.7397260273972601E-2</v>
      </c>
    </row>
    <row r="1814" spans="1:3" x14ac:dyDescent="0.25">
      <c r="A1814" t="s">
        <v>28</v>
      </c>
      <c r="B1814">
        <v>1</v>
      </c>
      <c r="C1814">
        <v>2.7397260273972601E-2</v>
      </c>
    </row>
    <row r="1815" spans="1:3" x14ac:dyDescent="0.25">
      <c r="A1815" t="s">
        <v>42</v>
      </c>
      <c r="B1815">
        <v>6</v>
      </c>
      <c r="C1815">
        <v>2.7397260273972601E-2</v>
      </c>
    </row>
    <row r="1816" spans="1:3" x14ac:dyDescent="0.25">
      <c r="A1816" t="s">
        <v>86</v>
      </c>
      <c r="B1816">
        <v>23</v>
      </c>
      <c r="C1816">
        <v>1.9178082191780823E-2</v>
      </c>
    </row>
    <row r="1817" spans="1:3" x14ac:dyDescent="0.25">
      <c r="A1817" t="s">
        <v>196</v>
      </c>
      <c r="B1817">
        <v>19</v>
      </c>
      <c r="C1817">
        <v>1.9178082191780823E-2</v>
      </c>
    </row>
    <row r="1818" spans="1:3" x14ac:dyDescent="0.25">
      <c r="A1818" t="s">
        <v>211</v>
      </c>
      <c r="B1818">
        <v>18</v>
      </c>
      <c r="C1818">
        <v>4.1095890410958902E-2</v>
      </c>
    </row>
    <row r="1819" spans="1:3" x14ac:dyDescent="0.25">
      <c r="A1819" t="s">
        <v>134</v>
      </c>
      <c r="B1819">
        <v>6</v>
      </c>
      <c r="C1819">
        <v>2.1917808219178082E-2</v>
      </c>
    </row>
    <row r="1820" spans="1:3" x14ac:dyDescent="0.25">
      <c r="A1820" t="s">
        <v>95</v>
      </c>
      <c r="B1820">
        <v>6</v>
      </c>
      <c r="C1820">
        <v>3.5616438356164383E-2</v>
      </c>
    </row>
    <row r="1821" spans="1:3" x14ac:dyDescent="0.25">
      <c r="A1821" t="s">
        <v>179</v>
      </c>
      <c r="B1821">
        <v>0</v>
      </c>
      <c r="C1821">
        <v>2.1917808219178082E-2</v>
      </c>
    </row>
    <row r="1822" spans="1:3" x14ac:dyDescent="0.25">
      <c r="A1822" t="s">
        <v>160</v>
      </c>
      <c r="B1822">
        <v>6</v>
      </c>
      <c r="C1822">
        <v>2.1917808219178082E-2</v>
      </c>
    </row>
    <row r="1823" spans="1:3" x14ac:dyDescent="0.25">
      <c r="A1823" t="s">
        <v>196</v>
      </c>
      <c r="B1823">
        <v>7</v>
      </c>
      <c r="C1823">
        <v>1.3698630136986301E-2</v>
      </c>
    </row>
    <row r="1824" spans="1:3" x14ac:dyDescent="0.25">
      <c r="A1824" t="s">
        <v>119</v>
      </c>
      <c r="B1824">
        <v>9</v>
      </c>
      <c r="C1824">
        <v>2.7397260273972601E-2</v>
      </c>
    </row>
    <row r="1825" spans="1:3" x14ac:dyDescent="0.25">
      <c r="A1825" t="s">
        <v>102</v>
      </c>
      <c r="B1825">
        <v>13</v>
      </c>
      <c r="C1825">
        <v>2.1917808219178082E-2</v>
      </c>
    </row>
    <row r="1826" spans="1:3" x14ac:dyDescent="0.25">
      <c r="A1826" t="s">
        <v>211</v>
      </c>
      <c r="B1826">
        <v>14</v>
      </c>
      <c r="C1826">
        <v>3.287671232876712E-2</v>
      </c>
    </row>
    <row r="1827" spans="1:3" x14ac:dyDescent="0.25">
      <c r="A1827" t="s">
        <v>173</v>
      </c>
      <c r="B1827">
        <v>15</v>
      </c>
      <c r="C1827">
        <v>2.7397260273972601E-2</v>
      </c>
    </row>
    <row r="1828" spans="1:3" x14ac:dyDescent="0.25">
      <c r="A1828" t="s">
        <v>70</v>
      </c>
      <c r="B1828">
        <v>12</v>
      </c>
      <c r="C1828">
        <v>2.1917808219178082E-2</v>
      </c>
    </row>
    <row r="1829" spans="1:3" x14ac:dyDescent="0.25">
      <c r="A1829" t="s">
        <v>148</v>
      </c>
      <c r="B1829">
        <v>11</v>
      </c>
      <c r="C1829">
        <v>2.1917808219178082E-2</v>
      </c>
    </row>
    <row r="1830" spans="1:3" x14ac:dyDescent="0.25">
      <c r="A1830" t="s">
        <v>174</v>
      </c>
      <c r="B1830">
        <v>9</v>
      </c>
      <c r="C1830">
        <v>6.0273972602739728E-2</v>
      </c>
    </row>
    <row r="1831" spans="1:3" x14ac:dyDescent="0.25">
      <c r="A1831" t="s">
        <v>179</v>
      </c>
      <c r="B1831">
        <v>8</v>
      </c>
      <c r="C1831">
        <v>3.287671232876712E-2</v>
      </c>
    </row>
    <row r="1832" spans="1:3" x14ac:dyDescent="0.25">
      <c r="A1832" t="s">
        <v>167</v>
      </c>
      <c r="B1832">
        <v>13</v>
      </c>
      <c r="C1832">
        <v>3.5616438356164383E-2</v>
      </c>
    </row>
    <row r="1833" spans="1:3" x14ac:dyDescent="0.25">
      <c r="A1833" t="s">
        <v>168</v>
      </c>
      <c r="B1833">
        <v>12</v>
      </c>
      <c r="C1833">
        <v>3.0136986301369864E-2</v>
      </c>
    </row>
    <row r="1834" spans="1:3" x14ac:dyDescent="0.25">
      <c r="A1834" t="s">
        <v>211</v>
      </c>
      <c r="B1834">
        <v>10</v>
      </c>
      <c r="C1834">
        <v>3.0136986301369864E-2</v>
      </c>
    </row>
    <row r="1835" spans="1:3" x14ac:dyDescent="0.25">
      <c r="A1835" t="s">
        <v>182</v>
      </c>
      <c r="B1835">
        <v>21</v>
      </c>
      <c r="C1835">
        <v>4.1095890410958902E-2</v>
      </c>
    </row>
    <row r="1836" spans="1:3" x14ac:dyDescent="0.25">
      <c r="A1836" t="s">
        <v>141</v>
      </c>
      <c r="B1836">
        <v>17</v>
      </c>
      <c r="C1836">
        <v>3.0136986301369864E-2</v>
      </c>
    </row>
    <row r="1837" spans="1:3" x14ac:dyDescent="0.25">
      <c r="A1837" t="s">
        <v>163</v>
      </c>
      <c r="B1837">
        <v>20</v>
      </c>
      <c r="C1837">
        <v>3.5616438356164383E-2</v>
      </c>
    </row>
    <row r="1838" spans="1:3" x14ac:dyDescent="0.25">
      <c r="A1838" t="s">
        <v>150</v>
      </c>
      <c r="B1838">
        <v>18</v>
      </c>
      <c r="C1838">
        <v>8.7671232876712329E-2</v>
      </c>
    </row>
    <row r="1839" spans="1:3" x14ac:dyDescent="0.25">
      <c r="A1839" t="s">
        <v>45</v>
      </c>
      <c r="B1839">
        <v>19</v>
      </c>
      <c r="C1839">
        <v>3.0136986301369864E-2</v>
      </c>
    </row>
    <row r="1840" spans="1:3" x14ac:dyDescent="0.25">
      <c r="A1840" t="s">
        <v>180</v>
      </c>
      <c r="B1840">
        <v>17</v>
      </c>
      <c r="C1840">
        <v>2.4657534246575342E-2</v>
      </c>
    </row>
    <row r="1841" spans="1:3" x14ac:dyDescent="0.25">
      <c r="A1841" t="s">
        <v>97</v>
      </c>
      <c r="B1841">
        <v>16</v>
      </c>
      <c r="C1841">
        <v>1.9178082191780823E-2</v>
      </c>
    </row>
    <row r="1842" spans="1:3" x14ac:dyDescent="0.25">
      <c r="A1842" t="s">
        <v>42</v>
      </c>
      <c r="B1842">
        <v>7</v>
      </c>
      <c r="C1842">
        <v>2.7397260273972601E-2</v>
      </c>
    </row>
    <row r="1843" spans="1:3" x14ac:dyDescent="0.25">
      <c r="A1843" t="s">
        <v>182</v>
      </c>
      <c r="B1843">
        <v>23</v>
      </c>
      <c r="C1843">
        <v>3.8356164383561646E-2</v>
      </c>
    </row>
    <row r="1844" spans="1:3" x14ac:dyDescent="0.25">
      <c r="A1844" t="s">
        <v>182</v>
      </c>
      <c r="B1844">
        <v>20</v>
      </c>
      <c r="C1844">
        <v>3.8356164383561646E-2</v>
      </c>
    </row>
    <row r="1845" spans="1:3" x14ac:dyDescent="0.25">
      <c r="A1845" t="s">
        <v>216</v>
      </c>
      <c r="B1845">
        <v>16</v>
      </c>
      <c r="C1845">
        <v>2.4657534246575342E-2</v>
      </c>
    </row>
    <row r="1846" spans="1:3" x14ac:dyDescent="0.25">
      <c r="A1846" t="s">
        <v>133</v>
      </c>
      <c r="B1846">
        <v>1</v>
      </c>
      <c r="C1846">
        <v>3.0136986301369864E-2</v>
      </c>
    </row>
    <row r="1847" spans="1:3" x14ac:dyDescent="0.25">
      <c r="A1847" t="s">
        <v>43</v>
      </c>
      <c r="B1847">
        <v>16</v>
      </c>
      <c r="C1847">
        <v>2.7397260273972601E-2</v>
      </c>
    </row>
    <row r="1848" spans="1:3" x14ac:dyDescent="0.25">
      <c r="A1848" t="s">
        <v>99</v>
      </c>
      <c r="B1848">
        <v>2</v>
      </c>
      <c r="C1848">
        <v>2.1917808219178082E-2</v>
      </c>
    </row>
    <row r="1849" spans="1:3" x14ac:dyDescent="0.25">
      <c r="A1849" t="s">
        <v>148</v>
      </c>
      <c r="B1849">
        <v>14</v>
      </c>
      <c r="C1849">
        <v>2.1917808219178082E-2</v>
      </c>
    </row>
    <row r="1850" spans="1:3" x14ac:dyDescent="0.25">
      <c r="A1850" t="s">
        <v>163</v>
      </c>
      <c r="B1850">
        <v>12</v>
      </c>
      <c r="C1850">
        <v>3.287671232876712E-2</v>
      </c>
    </row>
    <row r="1851" spans="1:3" x14ac:dyDescent="0.25">
      <c r="A1851" t="s">
        <v>196</v>
      </c>
      <c r="B1851">
        <v>12</v>
      </c>
      <c r="C1851">
        <v>2.4657534246575342E-2</v>
      </c>
    </row>
    <row r="1852" spans="1:3" x14ac:dyDescent="0.25">
      <c r="A1852" t="s">
        <v>217</v>
      </c>
      <c r="B1852">
        <v>10</v>
      </c>
      <c r="C1852">
        <v>2.1917808219178082E-2</v>
      </c>
    </row>
    <row r="1853" spans="1:3" x14ac:dyDescent="0.25">
      <c r="A1853" t="s">
        <v>124</v>
      </c>
      <c r="B1853">
        <v>10</v>
      </c>
      <c r="C1853">
        <v>2.1917808219178082E-2</v>
      </c>
    </row>
    <row r="1854" spans="1:3" x14ac:dyDescent="0.25">
      <c r="A1854" t="s">
        <v>130</v>
      </c>
      <c r="B1854">
        <v>10</v>
      </c>
      <c r="C1854">
        <v>5.7534246575342465E-2</v>
      </c>
    </row>
    <row r="1855" spans="1:3" x14ac:dyDescent="0.25">
      <c r="A1855" t="s">
        <v>181</v>
      </c>
      <c r="B1855">
        <v>11</v>
      </c>
      <c r="C1855">
        <v>2.1917808219178082E-2</v>
      </c>
    </row>
    <row r="1856" spans="1:3" x14ac:dyDescent="0.25">
      <c r="A1856" t="s">
        <v>202</v>
      </c>
      <c r="B1856">
        <v>8</v>
      </c>
      <c r="C1856">
        <v>3.0136986301369864E-2</v>
      </c>
    </row>
    <row r="1857" spans="1:3" x14ac:dyDescent="0.25">
      <c r="A1857" t="s">
        <v>184</v>
      </c>
      <c r="B1857">
        <v>13</v>
      </c>
      <c r="C1857">
        <v>2.1917808219178082E-2</v>
      </c>
    </row>
    <row r="1858" spans="1:3" x14ac:dyDescent="0.25">
      <c r="A1858" t="s">
        <v>217</v>
      </c>
      <c r="B1858">
        <v>12</v>
      </c>
      <c r="C1858">
        <v>2.1917808219178082E-2</v>
      </c>
    </row>
    <row r="1859" spans="1:3" x14ac:dyDescent="0.25">
      <c r="A1859" t="s">
        <v>211</v>
      </c>
      <c r="B1859">
        <v>11</v>
      </c>
      <c r="C1859">
        <v>2.7397260273972601E-2</v>
      </c>
    </row>
    <row r="1860" spans="1:3" x14ac:dyDescent="0.25">
      <c r="A1860" t="s">
        <v>218</v>
      </c>
      <c r="B1860">
        <v>9</v>
      </c>
      <c r="C1860">
        <v>1.9178082191780823E-2</v>
      </c>
    </row>
    <row r="1861" spans="1:3" x14ac:dyDescent="0.25">
      <c r="A1861" t="s">
        <v>175</v>
      </c>
      <c r="B1861">
        <v>12</v>
      </c>
      <c r="C1861">
        <v>3.0136986301369864E-2</v>
      </c>
    </row>
    <row r="1862" spans="1:3" x14ac:dyDescent="0.25">
      <c r="A1862" t="s">
        <v>196</v>
      </c>
      <c r="B1862">
        <v>10</v>
      </c>
      <c r="C1862">
        <v>2.4657534246575342E-2</v>
      </c>
    </row>
    <row r="1863" spans="1:3" x14ac:dyDescent="0.25">
      <c r="A1863" t="s">
        <v>211</v>
      </c>
      <c r="B1863">
        <v>15</v>
      </c>
      <c r="C1863">
        <v>2.4657534246575342E-2</v>
      </c>
    </row>
    <row r="1864" spans="1:3" x14ac:dyDescent="0.25">
      <c r="A1864" t="s">
        <v>175</v>
      </c>
      <c r="B1864">
        <v>13</v>
      </c>
      <c r="C1864">
        <v>2.7397260273972601E-2</v>
      </c>
    </row>
    <row r="1865" spans="1:3" x14ac:dyDescent="0.25">
      <c r="A1865" t="s">
        <v>202</v>
      </c>
      <c r="B1865">
        <v>19</v>
      </c>
      <c r="C1865">
        <v>3.8356164383561646E-2</v>
      </c>
    </row>
    <row r="1866" spans="1:3" x14ac:dyDescent="0.25">
      <c r="A1866" t="s">
        <v>141</v>
      </c>
      <c r="B1866">
        <v>21</v>
      </c>
      <c r="C1866">
        <v>3.0136986301369864E-2</v>
      </c>
    </row>
    <row r="1867" spans="1:3" x14ac:dyDescent="0.25">
      <c r="A1867" t="s">
        <v>186</v>
      </c>
      <c r="B1867">
        <v>19</v>
      </c>
      <c r="C1867">
        <v>2.4657534246575342E-2</v>
      </c>
    </row>
    <row r="1868" spans="1:3" x14ac:dyDescent="0.25">
      <c r="A1868" t="s">
        <v>157</v>
      </c>
      <c r="B1868">
        <v>19</v>
      </c>
      <c r="C1868">
        <v>2.4657534246575342E-2</v>
      </c>
    </row>
    <row r="1869" spans="1:3" x14ac:dyDescent="0.25">
      <c r="A1869" t="s">
        <v>134</v>
      </c>
      <c r="B1869">
        <v>22</v>
      </c>
      <c r="C1869">
        <v>3.287671232876712E-2</v>
      </c>
    </row>
    <row r="1870" spans="1:3" x14ac:dyDescent="0.25">
      <c r="A1870" t="s">
        <v>146</v>
      </c>
      <c r="B1870">
        <v>21</v>
      </c>
      <c r="C1870">
        <v>1.9178082191780823E-2</v>
      </c>
    </row>
    <row r="1871" spans="1:3" x14ac:dyDescent="0.25">
      <c r="A1871" t="s">
        <v>190</v>
      </c>
      <c r="B1871">
        <v>16</v>
      </c>
      <c r="C1871">
        <v>1.9178082191780823E-2</v>
      </c>
    </row>
    <row r="1872" spans="1:3" x14ac:dyDescent="0.25">
      <c r="A1872" t="s">
        <v>123</v>
      </c>
      <c r="B1872">
        <v>21</v>
      </c>
      <c r="C1872">
        <v>1.9178082191780823E-2</v>
      </c>
    </row>
    <row r="1873" spans="1:3" x14ac:dyDescent="0.25">
      <c r="A1873" t="s">
        <v>198</v>
      </c>
      <c r="B1873">
        <v>16</v>
      </c>
      <c r="C1873">
        <v>2.4657534246575342E-2</v>
      </c>
    </row>
    <row r="1874" spans="1:3" x14ac:dyDescent="0.25">
      <c r="A1874" t="s">
        <v>208</v>
      </c>
      <c r="B1874">
        <v>19</v>
      </c>
      <c r="C1874">
        <v>2.1917808219178082E-2</v>
      </c>
    </row>
    <row r="1875" spans="1:3" x14ac:dyDescent="0.25">
      <c r="A1875" t="s">
        <v>43</v>
      </c>
      <c r="B1875">
        <v>1</v>
      </c>
      <c r="C1875">
        <v>2.7397260273972601E-2</v>
      </c>
    </row>
    <row r="1876" spans="1:3" x14ac:dyDescent="0.25">
      <c r="A1876" t="s">
        <v>143</v>
      </c>
      <c r="B1876">
        <v>2</v>
      </c>
      <c r="C1876">
        <v>2.1917808219178082E-2</v>
      </c>
    </row>
    <row r="1877" spans="1:3" x14ac:dyDescent="0.25">
      <c r="A1877" t="s">
        <v>151</v>
      </c>
      <c r="B1877">
        <v>6</v>
      </c>
      <c r="C1877">
        <v>1.9178082191780823E-2</v>
      </c>
    </row>
    <row r="1878" spans="1:3" x14ac:dyDescent="0.25">
      <c r="A1878" t="s">
        <v>135</v>
      </c>
      <c r="B1878">
        <v>5</v>
      </c>
      <c r="C1878">
        <v>1.643835616438356E-2</v>
      </c>
    </row>
    <row r="1879" spans="1:3" x14ac:dyDescent="0.25">
      <c r="A1879" t="s">
        <v>163</v>
      </c>
      <c r="B1879">
        <v>0</v>
      </c>
      <c r="C1879">
        <v>2.4657534246575342E-2</v>
      </c>
    </row>
    <row r="1880" spans="1:3" x14ac:dyDescent="0.25">
      <c r="A1880" t="s">
        <v>137</v>
      </c>
      <c r="B1880">
        <v>4</v>
      </c>
      <c r="C1880">
        <v>8.21917808219178E-3</v>
      </c>
    </row>
    <row r="1881" spans="1:3" x14ac:dyDescent="0.25">
      <c r="A1881" t="s">
        <v>111</v>
      </c>
      <c r="B1881">
        <v>1</v>
      </c>
      <c r="C1881">
        <v>3.0136986301369864E-2</v>
      </c>
    </row>
    <row r="1882" spans="1:3" x14ac:dyDescent="0.25">
      <c r="A1882" t="s">
        <v>143</v>
      </c>
      <c r="B1882">
        <v>0</v>
      </c>
      <c r="C1882">
        <v>2.1917808219178082E-2</v>
      </c>
    </row>
    <row r="1883" spans="1:3" x14ac:dyDescent="0.25">
      <c r="A1883" t="s">
        <v>208</v>
      </c>
      <c r="B1883">
        <v>0</v>
      </c>
      <c r="C1883">
        <v>1.3698630136986301E-2</v>
      </c>
    </row>
    <row r="1884" spans="1:3" x14ac:dyDescent="0.25">
      <c r="A1884" t="s">
        <v>219</v>
      </c>
      <c r="B1884">
        <v>13</v>
      </c>
      <c r="C1884">
        <v>2.1917808219178082E-2</v>
      </c>
    </row>
    <row r="1885" spans="1:3" x14ac:dyDescent="0.25">
      <c r="A1885" t="s">
        <v>175</v>
      </c>
      <c r="B1885">
        <v>9</v>
      </c>
      <c r="C1885">
        <v>2.7397260273972601E-2</v>
      </c>
    </row>
    <row r="1886" spans="1:3" x14ac:dyDescent="0.25">
      <c r="A1886" t="s">
        <v>146</v>
      </c>
      <c r="B1886">
        <v>9</v>
      </c>
      <c r="C1886">
        <v>2.4657534246575342E-2</v>
      </c>
    </row>
    <row r="1887" spans="1:3" x14ac:dyDescent="0.25">
      <c r="A1887" t="s">
        <v>191</v>
      </c>
      <c r="B1887">
        <v>12</v>
      </c>
      <c r="C1887">
        <v>2.7397260273972601E-2</v>
      </c>
    </row>
    <row r="1888" spans="1:3" x14ac:dyDescent="0.25">
      <c r="A1888" t="s">
        <v>186</v>
      </c>
      <c r="B1888">
        <v>10</v>
      </c>
      <c r="C1888">
        <v>2.7397260273972601E-2</v>
      </c>
    </row>
    <row r="1889" spans="1:3" x14ac:dyDescent="0.25">
      <c r="A1889" t="s">
        <v>42</v>
      </c>
      <c r="B1889">
        <v>2</v>
      </c>
      <c r="C1889">
        <v>2.4657534246575342E-2</v>
      </c>
    </row>
    <row r="1890" spans="1:3" x14ac:dyDescent="0.25">
      <c r="A1890" t="s">
        <v>101</v>
      </c>
      <c r="B1890">
        <v>14</v>
      </c>
      <c r="C1890">
        <v>2.4657534246575342E-2</v>
      </c>
    </row>
    <row r="1891" spans="1:3" x14ac:dyDescent="0.25">
      <c r="A1891" t="s">
        <v>179</v>
      </c>
      <c r="B1891">
        <v>13</v>
      </c>
      <c r="C1891">
        <v>2.7397260273972601E-2</v>
      </c>
    </row>
    <row r="1892" spans="1:3" x14ac:dyDescent="0.25">
      <c r="A1892" t="s">
        <v>184</v>
      </c>
      <c r="B1892">
        <v>8</v>
      </c>
      <c r="C1892">
        <v>1.9178082191780823E-2</v>
      </c>
    </row>
    <row r="1893" spans="1:3" x14ac:dyDescent="0.25">
      <c r="A1893" t="s">
        <v>195</v>
      </c>
      <c r="B1893">
        <v>10</v>
      </c>
      <c r="C1893">
        <v>2.4657534246575342E-2</v>
      </c>
    </row>
    <row r="1894" spans="1:3" x14ac:dyDescent="0.25">
      <c r="A1894" t="s">
        <v>202</v>
      </c>
      <c r="B1894">
        <v>10</v>
      </c>
      <c r="C1894">
        <v>2.1917808219178082E-2</v>
      </c>
    </row>
    <row r="1895" spans="1:3" x14ac:dyDescent="0.25">
      <c r="A1895" t="s">
        <v>32</v>
      </c>
      <c r="B1895">
        <v>1</v>
      </c>
      <c r="C1895">
        <v>2.4657534246575342E-2</v>
      </c>
    </row>
    <row r="1896" spans="1:3" x14ac:dyDescent="0.25">
      <c r="A1896" t="s">
        <v>173</v>
      </c>
      <c r="B1896">
        <v>12</v>
      </c>
      <c r="C1896">
        <v>2.4657534246575342E-2</v>
      </c>
    </row>
    <row r="1897" spans="1:3" x14ac:dyDescent="0.25">
      <c r="A1897" t="s">
        <v>211</v>
      </c>
      <c r="B1897">
        <v>12</v>
      </c>
      <c r="C1897">
        <v>2.1917808219178082E-2</v>
      </c>
    </row>
    <row r="1898" spans="1:3" x14ac:dyDescent="0.25">
      <c r="A1898" t="s">
        <v>43</v>
      </c>
      <c r="B1898">
        <v>19</v>
      </c>
      <c r="C1898">
        <v>2.4657534246575342E-2</v>
      </c>
    </row>
    <row r="1899" spans="1:3" x14ac:dyDescent="0.25">
      <c r="A1899" t="s">
        <v>25</v>
      </c>
      <c r="B1899">
        <v>0</v>
      </c>
      <c r="C1899">
        <v>2.4657534246575342E-2</v>
      </c>
    </row>
    <row r="1900" spans="1:3" x14ac:dyDescent="0.25">
      <c r="A1900" t="s">
        <v>172</v>
      </c>
      <c r="B1900">
        <v>15</v>
      </c>
      <c r="C1900">
        <v>2.1917808219178082E-2</v>
      </c>
    </row>
    <row r="1901" spans="1:3" x14ac:dyDescent="0.25">
      <c r="A1901" t="s">
        <v>184</v>
      </c>
      <c r="B1901">
        <v>9</v>
      </c>
      <c r="C1901">
        <v>1.9178082191780823E-2</v>
      </c>
    </row>
    <row r="1902" spans="1:3" x14ac:dyDescent="0.25">
      <c r="A1902" t="s">
        <v>207</v>
      </c>
      <c r="B1902">
        <v>9</v>
      </c>
      <c r="C1902">
        <v>2.4657534246575342E-2</v>
      </c>
    </row>
    <row r="1903" spans="1:3" x14ac:dyDescent="0.25">
      <c r="A1903" t="s">
        <v>85</v>
      </c>
      <c r="B1903">
        <v>17</v>
      </c>
      <c r="C1903">
        <v>1.9178082191780823E-2</v>
      </c>
    </row>
    <row r="1904" spans="1:3" x14ac:dyDescent="0.25">
      <c r="A1904" t="s">
        <v>199</v>
      </c>
      <c r="B1904">
        <v>19</v>
      </c>
      <c r="C1904">
        <v>1.9178082191780823E-2</v>
      </c>
    </row>
    <row r="1905" spans="1:3" x14ac:dyDescent="0.25">
      <c r="A1905" t="s">
        <v>106</v>
      </c>
      <c r="B1905">
        <v>22</v>
      </c>
      <c r="C1905">
        <v>3.8356164383561646E-2</v>
      </c>
    </row>
    <row r="1906" spans="1:3" x14ac:dyDescent="0.25">
      <c r="A1906" t="s">
        <v>115</v>
      </c>
      <c r="B1906">
        <v>23</v>
      </c>
      <c r="C1906">
        <v>2.1917808219178082E-2</v>
      </c>
    </row>
    <row r="1907" spans="1:3" x14ac:dyDescent="0.25">
      <c r="A1907" t="s">
        <v>94</v>
      </c>
      <c r="B1907">
        <v>5</v>
      </c>
      <c r="C1907">
        <v>2.1917808219178082E-2</v>
      </c>
    </row>
    <row r="1908" spans="1:3" x14ac:dyDescent="0.25">
      <c r="A1908" t="s">
        <v>132</v>
      </c>
      <c r="B1908">
        <v>0</v>
      </c>
      <c r="C1908">
        <v>1.3698630136986301E-2</v>
      </c>
    </row>
    <row r="1909" spans="1:3" x14ac:dyDescent="0.25">
      <c r="A1909" t="s">
        <v>168</v>
      </c>
      <c r="B1909">
        <v>2</v>
      </c>
      <c r="C1909">
        <v>1.643835616438356E-2</v>
      </c>
    </row>
    <row r="1910" spans="1:3" x14ac:dyDescent="0.25">
      <c r="A1910" t="s">
        <v>138</v>
      </c>
      <c r="B1910">
        <v>6</v>
      </c>
      <c r="C1910">
        <v>1.3698630136986301E-2</v>
      </c>
    </row>
    <row r="1911" spans="1:3" x14ac:dyDescent="0.25">
      <c r="A1911" t="s">
        <v>73</v>
      </c>
      <c r="B1911">
        <v>3</v>
      </c>
      <c r="C1911">
        <v>2.1917808219178082E-2</v>
      </c>
    </row>
    <row r="1912" spans="1:3" x14ac:dyDescent="0.25">
      <c r="A1912" t="s">
        <v>125</v>
      </c>
      <c r="B1912">
        <v>6</v>
      </c>
      <c r="C1912">
        <v>1.9178082191780823E-2</v>
      </c>
    </row>
    <row r="1913" spans="1:3" x14ac:dyDescent="0.25">
      <c r="A1913" t="s">
        <v>172</v>
      </c>
      <c r="B1913">
        <v>1</v>
      </c>
      <c r="C1913">
        <v>1.0958904109589041E-2</v>
      </c>
    </row>
    <row r="1914" spans="1:3" x14ac:dyDescent="0.25">
      <c r="A1914" t="s">
        <v>98</v>
      </c>
      <c r="B1914">
        <v>7</v>
      </c>
      <c r="C1914">
        <v>1.3698630136986301E-2</v>
      </c>
    </row>
    <row r="1915" spans="1:3" x14ac:dyDescent="0.25">
      <c r="A1915" t="s">
        <v>21</v>
      </c>
      <c r="B1915">
        <v>6</v>
      </c>
      <c r="C1915">
        <v>2.4657534246575342E-2</v>
      </c>
    </row>
    <row r="1916" spans="1:3" x14ac:dyDescent="0.25">
      <c r="A1916" t="s">
        <v>220</v>
      </c>
      <c r="B1916">
        <v>11</v>
      </c>
      <c r="C1916">
        <v>1.9178082191780823E-2</v>
      </c>
    </row>
    <row r="1917" spans="1:3" x14ac:dyDescent="0.25">
      <c r="A1917" t="s">
        <v>128</v>
      </c>
      <c r="B1917">
        <v>10</v>
      </c>
      <c r="C1917">
        <v>1.9178082191780823E-2</v>
      </c>
    </row>
    <row r="1918" spans="1:3" x14ac:dyDescent="0.25">
      <c r="A1918" t="s">
        <v>101</v>
      </c>
      <c r="B1918">
        <v>12</v>
      </c>
      <c r="C1918">
        <v>2.4657534246575342E-2</v>
      </c>
    </row>
    <row r="1919" spans="1:3" x14ac:dyDescent="0.25">
      <c r="A1919" t="s">
        <v>174</v>
      </c>
      <c r="B1919">
        <v>8</v>
      </c>
      <c r="C1919">
        <v>5.4794520547945202E-2</v>
      </c>
    </row>
    <row r="1920" spans="1:3" x14ac:dyDescent="0.25">
      <c r="A1920" t="s">
        <v>200</v>
      </c>
      <c r="B1920">
        <v>14</v>
      </c>
      <c r="C1920">
        <v>2.1917808219178082E-2</v>
      </c>
    </row>
    <row r="1921" spans="1:3" x14ac:dyDescent="0.25">
      <c r="A1921" t="s">
        <v>78</v>
      </c>
      <c r="B1921">
        <v>14</v>
      </c>
      <c r="C1921">
        <v>2.4657534246575342E-2</v>
      </c>
    </row>
    <row r="1922" spans="1:3" x14ac:dyDescent="0.25">
      <c r="A1922" t="s">
        <v>201</v>
      </c>
      <c r="B1922">
        <v>8</v>
      </c>
      <c r="C1922">
        <v>5.7534246575342465E-2</v>
      </c>
    </row>
    <row r="1923" spans="1:3" x14ac:dyDescent="0.25">
      <c r="A1923" t="s">
        <v>175</v>
      </c>
      <c r="B1923">
        <v>11</v>
      </c>
      <c r="C1923">
        <v>2.4657534246575342E-2</v>
      </c>
    </row>
    <row r="1924" spans="1:3" x14ac:dyDescent="0.25">
      <c r="A1924" t="s">
        <v>201</v>
      </c>
      <c r="B1924">
        <v>14</v>
      </c>
      <c r="C1924">
        <v>4.6575342465753428E-2</v>
      </c>
    </row>
    <row r="1925" spans="1:3" x14ac:dyDescent="0.25">
      <c r="A1925" t="s">
        <v>207</v>
      </c>
      <c r="B1925">
        <v>10</v>
      </c>
      <c r="C1925">
        <v>2.4657534246575342E-2</v>
      </c>
    </row>
    <row r="1926" spans="1:3" x14ac:dyDescent="0.25">
      <c r="A1926" t="s">
        <v>175</v>
      </c>
      <c r="B1926">
        <v>15</v>
      </c>
      <c r="C1926">
        <v>2.4657534246575342E-2</v>
      </c>
    </row>
    <row r="1927" spans="1:3" x14ac:dyDescent="0.25">
      <c r="A1927" t="s">
        <v>191</v>
      </c>
      <c r="B1927">
        <v>13</v>
      </c>
      <c r="C1927">
        <v>2.4657534246575342E-2</v>
      </c>
    </row>
    <row r="1928" spans="1:3" x14ac:dyDescent="0.25">
      <c r="A1928" t="s">
        <v>32</v>
      </c>
      <c r="B1928">
        <v>3</v>
      </c>
      <c r="C1928">
        <v>2.4657534246575342E-2</v>
      </c>
    </row>
    <row r="1929" spans="1:3" x14ac:dyDescent="0.25">
      <c r="A1929" t="s">
        <v>83</v>
      </c>
      <c r="B1929">
        <v>13</v>
      </c>
      <c r="C1929">
        <v>2.4657534246575342E-2</v>
      </c>
    </row>
    <row r="1930" spans="1:3" x14ac:dyDescent="0.25">
      <c r="A1930" t="s">
        <v>136</v>
      </c>
      <c r="B1930">
        <v>14</v>
      </c>
      <c r="C1930">
        <v>2.4657534246575342E-2</v>
      </c>
    </row>
    <row r="1931" spans="1:3" x14ac:dyDescent="0.25">
      <c r="A1931" t="s">
        <v>214</v>
      </c>
      <c r="B1931">
        <v>14</v>
      </c>
      <c r="C1931">
        <v>2.1917808219178082E-2</v>
      </c>
    </row>
    <row r="1932" spans="1:3" x14ac:dyDescent="0.25">
      <c r="A1932" t="s">
        <v>202</v>
      </c>
      <c r="B1932">
        <v>12</v>
      </c>
      <c r="C1932">
        <v>2.1917808219178082E-2</v>
      </c>
    </row>
    <row r="1933" spans="1:3" x14ac:dyDescent="0.25">
      <c r="A1933" t="s">
        <v>213</v>
      </c>
      <c r="B1933">
        <v>10</v>
      </c>
      <c r="C1933">
        <v>2.4657534246575342E-2</v>
      </c>
    </row>
    <row r="1934" spans="1:3" x14ac:dyDescent="0.25">
      <c r="A1934" t="s">
        <v>162</v>
      </c>
      <c r="B1934">
        <v>21</v>
      </c>
      <c r="C1934">
        <v>1.9178082191780823E-2</v>
      </c>
    </row>
    <row r="1935" spans="1:3" x14ac:dyDescent="0.25">
      <c r="A1935" t="s">
        <v>155</v>
      </c>
      <c r="B1935">
        <v>23</v>
      </c>
      <c r="C1935">
        <v>2.1917808219178082E-2</v>
      </c>
    </row>
    <row r="1936" spans="1:3" x14ac:dyDescent="0.25">
      <c r="A1936" t="s">
        <v>148</v>
      </c>
      <c r="B1936">
        <v>18</v>
      </c>
      <c r="C1936">
        <v>1.9178082191780823E-2</v>
      </c>
    </row>
    <row r="1937" spans="1:3" x14ac:dyDescent="0.25">
      <c r="A1937" t="s">
        <v>176</v>
      </c>
      <c r="B1937">
        <v>23</v>
      </c>
      <c r="C1937">
        <v>2.1917808219178082E-2</v>
      </c>
    </row>
    <row r="1938" spans="1:3" x14ac:dyDescent="0.25">
      <c r="A1938" t="s">
        <v>164</v>
      </c>
      <c r="B1938">
        <v>16</v>
      </c>
      <c r="C1938">
        <v>4.3835616438356165E-2</v>
      </c>
    </row>
    <row r="1939" spans="1:3" x14ac:dyDescent="0.25">
      <c r="A1939" t="s">
        <v>157</v>
      </c>
      <c r="B1939">
        <v>17</v>
      </c>
      <c r="C1939">
        <v>2.1917808219178082E-2</v>
      </c>
    </row>
    <row r="1940" spans="1:3" x14ac:dyDescent="0.25">
      <c r="A1940" t="s">
        <v>25</v>
      </c>
      <c r="B1940">
        <v>23</v>
      </c>
      <c r="C1940">
        <v>2.4657534246575342E-2</v>
      </c>
    </row>
    <row r="1941" spans="1:3" x14ac:dyDescent="0.25">
      <c r="A1941" t="s">
        <v>217</v>
      </c>
      <c r="B1941">
        <v>16</v>
      </c>
      <c r="C1941">
        <v>2.1917808219178082E-2</v>
      </c>
    </row>
    <row r="1942" spans="1:3" x14ac:dyDescent="0.25">
      <c r="A1942" t="s">
        <v>137</v>
      </c>
      <c r="B1942">
        <v>20</v>
      </c>
      <c r="C1942">
        <v>2.7397260273972601E-2</v>
      </c>
    </row>
    <row r="1943" spans="1:3" x14ac:dyDescent="0.25">
      <c r="A1943" t="s">
        <v>209</v>
      </c>
      <c r="B1943">
        <v>19</v>
      </c>
      <c r="C1943">
        <v>3.287671232876712E-2</v>
      </c>
    </row>
    <row r="1944" spans="1:3" x14ac:dyDescent="0.25">
      <c r="A1944" t="s">
        <v>145</v>
      </c>
      <c r="B1944">
        <v>21</v>
      </c>
      <c r="C1944">
        <v>1.9178082191780823E-2</v>
      </c>
    </row>
    <row r="1945" spans="1:3" x14ac:dyDescent="0.25">
      <c r="A1945" t="s">
        <v>221</v>
      </c>
      <c r="B1945">
        <v>17</v>
      </c>
      <c r="C1945">
        <v>3.5616438356164383E-2</v>
      </c>
    </row>
    <row r="1946" spans="1:3" x14ac:dyDescent="0.25">
      <c r="A1946" t="s">
        <v>182</v>
      </c>
      <c r="B1946">
        <v>19</v>
      </c>
      <c r="C1946">
        <v>3.8356164383561646E-2</v>
      </c>
    </row>
    <row r="1947" spans="1:3" x14ac:dyDescent="0.25">
      <c r="A1947" t="s">
        <v>75</v>
      </c>
      <c r="B1947">
        <v>1</v>
      </c>
      <c r="C1947">
        <v>3.0136986301369864E-2</v>
      </c>
    </row>
    <row r="1948" spans="1:3" x14ac:dyDescent="0.25">
      <c r="A1948" t="s">
        <v>110</v>
      </c>
      <c r="B1948">
        <v>0</v>
      </c>
      <c r="C1948">
        <v>2.1917808219178082E-2</v>
      </c>
    </row>
    <row r="1949" spans="1:3" x14ac:dyDescent="0.25">
      <c r="A1949" t="s">
        <v>203</v>
      </c>
      <c r="B1949">
        <v>1</v>
      </c>
      <c r="C1949">
        <v>1.3698630136986301E-2</v>
      </c>
    </row>
    <row r="1950" spans="1:3" x14ac:dyDescent="0.25">
      <c r="A1950" t="s">
        <v>149</v>
      </c>
      <c r="B1950">
        <v>2</v>
      </c>
      <c r="C1950">
        <v>1.9178082191780823E-2</v>
      </c>
    </row>
    <row r="1951" spans="1:3" x14ac:dyDescent="0.25">
      <c r="A1951" t="s">
        <v>120</v>
      </c>
      <c r="B1951">
        <v>5</v>
      </c>
      <c r="C1951">
        <v>2.7397260273972601E-2</v>
      </c>
    </row>
    <row r="1952" spans="1:3" x14ac:dyDescent="0.25">
      <c r="A1952" t="s">
        <v>155</v>
      </c>
      <c r="B1952">
        <v>1</v>
      </c>
      <c r="C1952">
        <v>2.1917808219178082E-2</v>
      </c>
    </row>
    <row r="1953" spans="1:3" x14ac:dyDescent="0.25">
      <c r="A1953" t="s">
        <v>190</v>
      </c>
      <c r="B1953">
        <v>7</v>
      </c>
      <c r="C1953">
        <v>1.0958904109589041E-2</v>
      </c>
    </row>
    <row r="1954" spans="1:3" x14ac:dyDescent="0.25">
      <c r="A1954" t="s">
        <v>67</v>
      </c>
      <c r="B1954">
        <v>5</v>
      </c>
      <c r="C1954">
        <v>1.643835616438356E-2</v>
      </c>
    </row>
    <row r="1955" spans="1:3" x14ac:dyDescent="0.25">
      <c r="A1955" t="s">
        <v>115</v>
      </c>
      <c r="B1955">
        <v>1</v>
      </c>
      <c r="C1955">
        <v>2.1917808219178082E-2</v>
      </c>
    </row>
    <row r="1956" spans="1:3" x14ac:dyDescent="0.25">
      <c r="A1956" t="s">
        <v>154</v>
      </c>
      <c r="B1956">
        <v>4</v>
      </c>
      <c r="C1956">
        <v>1.0958904109589041E-2</v>
      </c>
    </row>
    <row r="1957" spans="1:3" x14ac:dyDescent="0.25">
      <c r="A1957" t="s">
        <v>171</v>
      </c>
      <c r="B1957">
        <v>8</v>
      </c>
      <c r="C1957">
        <v>3.5616438356164383E-2</v>
      </c>
    </row>
    <row r="1958" spans="1:3" x14ac:dyDescent="0.25">
      <c r="A1958" t="s">
        <v>85</v>
      </c>
      <c r="B1958">
        <v>13</v>
      </c>
      <c r="C1958">
        <v>2.1917808219178082E-2</v>
      </c>
    </row>
    <row r="1959" spans="1:3" x14ac:dyDescent="0.25">
      <c r="A1959" t="s">
        <v>113</v>
      </c>
      <c r="B1959">
        <v>9</v>
      </c>
      <c r="C1959">
        <v>1.9178082191780823E-2</v>
      </c>
    </row>
    <row r="1960" spans="1:3" x14ac:dyDescent="0.25">
      <c r="A1960" t="s">
        <v>87</v>
      </c>
      <c r="B1960">
        <v>8</v>
      </c>
      <c r="C1960">
        <v>2.1917808219178082E-2</v>
      </c>
    </row>
    <row r="1961" spans="1:3" x14ac:dyDescent="0.25">
      <c r="A1961" t="s">
        <v>199</v>
      </c>
      <c r="B1961">
        <v>10</v>
      </c>
      <c r="C1961">
        <v>1.9178082191780823E-2</v>
      </c>
    </row>
    <row r="1962" spans="1:3" x14ac:dyDescent="0.25">
      <c r="A1962" t="s">
        <v>187</v>
      </c>
      <c r="B1962">
        <v>15</v>
      </c>
      <c r="C1962">
        <v>3.287671232876712E-2</v>
      </c>
    </row>
    <row r="1963" spans="1:3" x14ac:dyDescent="0.25">
      <c r="A1963" t="s">
        <v>137</v>
      </c>
      <c r="B1963">
        <v>12</v>
      </c>
      <c r="C1963">
        <v>3.5616438356164383E-2</v>
      </c>
    </row>
    <row r="1964" spans="1:3" x14ac:dyDescent="0.25">
      <c r="A1964" t="s">
        <v>149</v>
      </c>
      <c r="B1964">
        <v>11</v>
      </c>
      <c r="C1964">
        <v>3.287671232876712E-2</v>
      </c>
    </row>
    <row r="1965" spans="1:3" x14ac:dyDescent="0.25">
      <c r="A1965" t="s">
        <v>111</v>
      </c>
      <c r="B1965">
        <v>12</v>
      </c>
      <c r="C1965">
        <v>6.8493150684931503E-2</v>
      </c>
    </row>
    <row r="1966" spans="1:3" x14ac:dyDescent="0.25">
      <c r="A1966" t="s">
        <v>137</v>
      </c>
      <c r="B1966">
        <v>8</v>
      </c>
      <c r="C1966">
        <v>3.287671232876712E-2</v>
      </c>
    </row>
    <row r="1967" spans="1:3" x14ac:dyDescent="0.25">
      <c r="A1967" t="s">
        <v>100</v>
      </c>
      <c r="B1967">
        <v>12</v>
      </c>
      <c r="C1967">
        <v>2.4657534246575342E-2</v>
      </c>
    </row>
    <row r="1968" spans="1:3" x14ac:dyDescent="0.25">
      <c r="A1968" t="s">
        <v>128</v>
      </c>
      <c r="B1968">
        <v>21</v>
      </c>
      <c r="C1968">
        <v>1.9178082191780823E-2</v>
      </c>
    </row>
    <row r="1969" spans="1:3" x14ac:dyDescent="0.25">
      <c r="A1969" t="s">
        <v>96</v>
      </c>
      <c r="B1969">
        <v>21</v>
      </c>
      <c r="C1969">
        <v>2.4657534246575342E-2</v>
      </c>
    </row>
    <row r="1970" spans="1:3" x14ac:dyDescent="0.25">
      <c r="A1970" t="s">
        <v>44</v>
      </c>
      <c r="B1970">
        <v>18</v>
      </c>
      <c r="C1970">
        <v>2.1917808219178082E-2</v>
      </c>
    </row>
    <row r="1971" spans="1:3" x14ac:dyDescent="0.25">
      <c r="A1971" t="s">
        <v>100</v>
      </c>
      <c r="B1971">
        <v>19</v>
      </c>
      <c r="C1971">
        <v>2.1917808219178082E-2</v>
      </c>
    </row>
    <row r="1972" spans="1:3" x14ac:dyDescent="0.25">
      <c r="A1972" t="s">
        <v>146</v>
      </c>
      <c r="B1972">
        <v>20</v>
      </c>
      <c r="C1972">
        <v>1.9178082191780823E-2</v>
      </c>
    </row>
    <row r="1973" spans="1:3" x14ac:dyDescent="0.25">
      <c r="A1973" t="s">
        <v>222</v>
      </c>
      <c r="B1973">
        <v>17</v>
      </c>
      <c r="C1973">
        <v>2.7397260273972603E-3</v>
      </c>
    </row>
    <row r="1974" spans="1:3" x14ac:dyDescent="0.25">
      <c r="A1974" t="s">
        <v>222</v>
      </c>
      <c r="B1974">
        <v>18</v>
      </c>
      <c r="C1974">
        <v>8.21917808219178E-3</v>
      </c>
    </row>
    <row r="1975" spans="1:3" x14ac:dyDescent="0.25">
      <c r="A1975" t="s">
        <v>192</v>
      </c>
      <c r="B1975">
        <v>17</v>
      </c>
      <c r="C1975">
        <v>1.643835616438356E-2</v>
      </c>
    </row>
    <row r="1976" spans="1:3" x14ac:dyDescent="0.25">
      <c r="A1976" t="s">
        <v>85</v>
      </c>
      <c r="B1976">
        <v>19</v>
      </c>
      <c r="C1976">
        <v>1.643835616438356E-2</v>
      </c>
    </row>
    <row r="1977" spans="1:3" x14ac:dyDescent="0.25">
      <c r="A1977" t="s">
        <v>201</v>
      </c>
      <c r="B1977">
        <v>22</v>
      </c>
      <c r="C1977">
        <v>3.0136986301369864E-2</v>
      </c>
    </row>
    <row r="1978" spans="1:3" x14ac:dyDescent="0.25">
      <c r="A1978" t="s">
        <v>93</v>
      </c>
      <c r="B1978">
        <v>22</v>
      </c>
      <c r="C1978">
        <v>3.5616438356164383E-2</v>
      </c>
    </row>
    <row r="1979" spans="1:3" x14ac:dyDescent="0.25">
      <c r="A1979" t="s">
        <v>122</v>
      </c>
      <c r="B1979">
        <v>20</v>
      </c>
      <c r="C1979">
        <v>3.5616438356164383E-2</v>
      </c>
    </row>
    <row r="1980" spans="1:3" x14ac:dyDescent="0.25">
      <c r="A1980" t="s">
        <v>133</v>
      </c>
      <c r="B1980">
        <v>22</v>
      </c>
      <c r="C1980">
        <v>4.1095890410958902E-2</v>
      </c>
    </row>
    <row r="1981" spans="1:3" x14ac:dyDescent="0.25">
      <c r="A1981" t="s">
        <v>203</v>
      </c>
      <c r="B1981">
        <v>17</v>
      </c>
      <c r="C1981">
        <v>2.1917808219178082E-2</v>
      </c>
    </row>
    <row r="1982" spans="1:3" x14ac:dyDescent="0.25">
      <c r="A1982" t="s">
        <v>34</v>
      </c>
      <c r="B1982">
        <v>4</v>
      </c>
      <c r="C1982">
        <v>2.1917808219178082E-2</v>
      </c>
    </row>
    <row r="1983" spans="1:3" x14ac:dyDescent="0.25">
      <c r="A1983" t="s">
        <v>65</v>
      </c>
      <c r="B1983">
        <v>3</v>
      </c>
      <c r="C1983">
        <v>1.9178082191780823E-2</v>
      </c>
    </row>
    <row r="1984" spans="1:3" x14ac:dyDescent="0.25">
      <c r="A1984" t="s">
        <v>184</v>
      </c>
      <c r="B1984">
        <v>7</v>
      </c>
      <c r="C1984">
        <v>1.0958904109589041E-2</v>
      </c>
    </row>
    <row r="1985" spans="1:3" x14ac:dyDescent="0.25">
      <c r="A1985" t="s">
        <v>120</v>
      </c>
      <c r="B1985">
        <v>4</v>
      </c>
      <c r="C1985">
        <v>2.4657534246575342E-2</v>
      </c>
    </row>
    <row r="1986" spans="1:3" x14ac:dyDescent="0.25">
      <c r="A1986" t="s">
        <v>84</v>
      </c>
      <c r="B1986">
        <v>3</v>
      </c>
      <c r="C1986">
        <v>1.3698630136986301E-2</v>
      </c>
    </row>
    <row r="1987" spans="1:3" x14ac:dyDescent="0.25">
      <c r="A1987" t="s">
        <v>110</v>
      </c>
      <c r="B1987">
        <v>2</v>
      </c>
      <c r="C1987">
        <v>2.1917808219178082E-2</v>
      </c>
    </row>
    <row r="1988" spans="1:3" x14ac:dyDescent="0.25">
      <c r="A1988" t="s">
        <v>145</v>
      </c>
      <c r="B1988">
        <v>1</v>
      </c>
      <c r="C1988">
        <v>1.3698630136986301E-2</v>
      </c>
    </row>
    <row r="1989" spans="1:3" x14ac:dyDescent="0.25">
      <c r="A1989" t="s">
        <v>153</v>
      </c>
      <c r="B1989">
        <v>4</v>
      </c>
      <c r="C1989">
        <v>1.0958904109589041E-2</v>
      </c>
    </row>
    <row r="1990" spans="1:3" x14ac:dyDescent="0.25">
      <c r="A1990" t="s">
        <v>144</v>
      </c>
      <c r="B1990">
        <v>4</v>
      </c>
      <c r="C1990">
        <v>1.9178082191780823E-2</v>
      </c>
    </row>
    <row r="1991" spans="1:3" x14ac:dyDescent="0.25">
      <c r="A1991" t="s">
        <v>104</v>
      </c>
      <c r="B1991">
        <v>4</v>
      </c>
      <c r="C1991">
        <v>1.0958904109589041E-2</v>
      </c>
    </row>
    <row r="1992" spans="1:3" x14ac:dyDescent="0.25">
      <c r="A1992" t="s">
        <v>121</v>
      </c>
      <c r="B1992">
        <v>6</v>
      </c>
      <c r="C1992">
        <v>1.9178082191780823E-2</v>
      </c>
    </row>
    <row r="1993" spans="1:3" x14ac:dyDescent="0.25">
      <c r="A1993" t="s">
        <v>183</v>
      </c>
      <c r="B1993">
        <v>11</v>
      </c>
      <c r="C1993">
        <v>1.9178082191780823E-2</v>
      </c>
    </row>
    <row r="1994" spans="1:3" x14ac:dyDescent="0.25">
      <c r="A1994" t="s">
        <v>221</v>
      </c>
      <c r="B1994">
        <v>14</v>
      </c>
      <c r="C1994">
        <v>5.2054794520547946E-2</v>
      </c>
    </row>
    <row r="1995" spans="1:3" x14ac:dyDescent="0.25">
      <c r="A1995" t="s">
        <v>196</v>
      </c>
      <c r="B1995">
        <v>9</v>
      </c>
      <c r="C1995">
        <v>2.1917808219178082E-2</v>
      </c>
    </row>
    <row r="1996" spans="1:3" x14ac:dyDescent="0.25">
      <c r="A1996" t="s">
        <v>128</v>
      </c>
      <c r="B1996">
        <v>14</v>
      </c>
      <c r="C1996">
        <v>1.9178082191780823E-2</v>
      </c>
    </row>
    <row r="1997" spans="1:3" x14ac:dyDescent="0.25">
      <c r="A1997" t="s">
        <v>153</v>
      </c>
      <c r="B1997">
        <v>8</v>
      </c>
      <c r="C1997">
        <v>3.287671232876712E-2</v>
      </c>
    </row>
    <row r="1998" spans="1:3" x14ac:dyDescent="0.25">
      <c r="A1998" t="s">
        <v>198</v>
      </c>
      <c r="B1998">
        <v>19</v>
      </c>
      <c r="C1998">
        <v>2.4657534246575342E-2</v>
      </c>
    </row>
    <row r="1999" spans="1:3" x14ac:dyDescent="0.25">
      <c r="A1999" t="s">
        <v>204</v>
      </c>
      <c r="B1999">
        <v>21</v>
      </c>
      <c r="C1999">
        <v>1.643835616438356E-2</v>
      </c>
    </row>
    <row r="2000" spans="1:3" x14ac:dyDescent="0.25">
      <c r="A2000" t="s">
        <v>187</v>
      </c>
      <c r="B2000">
        <v>20</v>
      </c>
      <c r="C2000">
        <v>3.287671232876712E-2</v>
      </c>
    </row>
    <row r="2001" spans="1:3" x14ac:dyDescent="0.25">
      <c r="A2001" t="s">
        <v>188</v>
      </c>
      <c r="B2001">
        <v>16</v>
      </c>
      <c r="C2001">
        <v>2.1917808219178082E-2</v>
      </c>
    </row>
    <row r="2002" spans="1:3" x14ac:dyDescent="0.25">
      <c r="A2002" t="s">
        <v>175</v>
      </c>
      <c r="B2002">
        <v>19</v>
      </c>
      <c r="C2002">
        <v>3.5616438356164383E-2</v>
      </c>
    </row>
    <row r="2003" spans="1:3" x14ac:dyDescent="0.25">
      <c r="A2003" t="s">
        <v>217</v>
      </c>
      <c r="B2003">
        <v>17</v>
      </c>
      <c r="C2003">
        <v>2.1917808219178082E-2</v>
      </c>
    </row>
    <row r="2004" spans="1:3" x14ac:dyDescent="0.25">
      <c r="A2004" t="s">
        <v>131</v>
      </c>
      <c r="B2004">
        <v>22</v>
      </c>
      <c r="C2004">
        <v>3.0136986301369864E-2</v>
      </c>
    </row>
    <row r="2005" spans="1:3" x14ac:dyDescent="0.25">
      <c r="A2005" t="s">
        <v>159</v>
      </c>
      <c r="B2005">
        <v>19</v>
      </c>
      <c r="C2005">
        <v>1.9178082191780823E-2</v>
      </c>
    </row>
    <row r="2006" spans="1:3" x14ac:dyDescent="0.25">
      <c r="A2006" t="s">
        <v>152</v>
      </c>
      <c r="B2006">
        <v>20</v>
      </c>
      <c r="C2006">
        <v>2.1917808219178082E-2</v>
      </c>
    </row>
    <row r="2007" spans="1:3" x14ac:dyDescent="0.25">
      <c r="A2007" t="s">
        <v>164</v>
      </c>
      <c r="B2007">
        <v>22</v>
      </c>
      <c r="C2007">
        <v>3.8356164383561646E-2</v>
      </c>
    </row>
    <row r="2008" spans="1:3" x14ac:dyDescent="0.25">
      <c r="A2008" t="s">
        <v>125</v>
      </c>
      <c r="B2008">
        <v>4</v>
      </c>
      <c r="C2008">
        <v>1.9178082191780823E-2</v>
      </c>
    </row>
    <row r="2009" spans="1:3" x14ac:dyDescent="0.25">
      <c r="A2009" t="s">
        <v>79</v>
      </c>
      <c r="B2009">
        <v>2</v>
      </c>
      <c r="C2009">
        <v>1.3698630136986301E-2</v>
      </c>
    </row>
    <row r="2010" spans="1:3" x14ac:dyDescent="0.25">
      <c r="A2010" t="s">
        <v>120</v>
      </c>
      <c r="B2010">
        <v>2</v>
      </c>
      <c r="C2010">
        <v>2.4657534246575342E-2</v>
      </c>
    </row>
    <row r="2011" spans="1:3" x14ac:dyDescent="0.25">
      <c r="A2011" t="s">
        <v>105</v>
      </c>
      <c r="B2011">
        <v>1</v>
      </c>
      <c r="C2011">
        <v>2.7397260273972601E-2</v>
      </c>
    </row>
    <row r="2012" spans="1:3" x14ac:dyDescent="0.25">
      <c r="A2012" t="s">
        <v>91</v>
      </c>
      <c r="B2012">
        <v>4</v>
      </c>
      <c r="C2012">
        <v>2.1917808219178082E-2</v>
      </c>
    </row>
    <row r="2013" spans="1:3" x14ac:dyDescent="0.25">
      <c r="A2013" t="s">
        <v>108</v>
      </c>
      <c r="B2013">
        <v>6</v>
      </c>
      <c r="C2013">
        <v>1.3698630136986301E-2</v>
      </c>
    </row>
    <row r="2014" spans="1:3" x14ac:dyDescent="0.25">
      <c r="A2014" t="s">
        <v>25</v>
      </c>
      <c r="B2014">
        <v>21</v>
      </c>
      <c r="C2014">
        <v>2.1917808219178082E-2</v>
      </c>
    </row>
    <row r="2015" spans="1:3" x14ac:dyDescent="0.25">
      <c r="A2015" t="s">
        <v>117</v>
      </c>
      <c r="B2015">
        <v>3</v>
      </c>
      <c r="C2015">
        <v>2.1917808219178082E-2</v>
      </c>
    </row>
    <row r="2016" spans="1:3" x14ac:dyDescent="0.25">
      <c r="A2016" t="s">
        <v>215</v>
      </c>
      <c r="B2016">
        <v>0</v>
      </c>
      <c r="C2016">
        <v>1.0958904109589041E-2</v>
      </c>
    </row>
    <row r="2017" spans="1:3" x14ac:dyDescent="0.25">
      <c r="A2017" t="s">
        <v>125</v>
      </c>
      <c r="B2017">
        <v>1</v>
      </c>
      <c r="C2017">
        <v>1.9178082191780823E-2</v>
      </c>
    </row>
    <row r="2018" spans="1:3" x14ac:dyDescent="0.25">
      <c r="A2018" t="s">
        <v>173</v>
      </c>
      <c r="B2018">
        <v>1</v>
      </c>
      <c r="C2018">
        <v>1.3698630136986301E-2</v>
      </c>
    </row>
    <row r="2019" spans="1:3" x14ac:dyDescent="0.25">
      <c r="A2019" t="s">
        <v>190</v>
      </c>
      <c r="B2019">
        <v>13</v>
      </c>
      <c r="C2019">
        <v>1.9178082191780823E-2</v>
      </c>
    </row>
    <row r="2020" spans="1:3" x14ac:dyDescent="0.25">
      <c r="A2020" t="s">
        <v>188</v>
      </c>
      <c r="B2020">
        <v>10</v>
      </c>
      <c r="C2020">
        <v>2.4657534246575342E-2</v>
      </c>
    </row>
    <row r="2021" spans="1:3" x14ac:dyDescent="0.25">
      <c r="A2021" t="s">
        <v>160</v>
      </c>
      <c r="B2021">
        <v>9</v>
      </c>
      <c r="C2021">
        <v>4.6575342465753428E-2</v>
      </c>
    </row>
    <row r="2022" spans="1:3" x14ac:dyDescent="0.25">
      <c r="A2022" t="s">
        <v>133</v>
      </c>
      <c r="B2022">
        <v>10</v>
      </c>
      <c r="C2022">
        <v>6.0273972602739728E-2</v>
      </c>
    </row>
    <row r="2023" spans="1:3" x14ac:dyDescent="0.25">
      <c r="A2023" t="s">
        <v>128</v>
      </c>
      <c r="B2023">
        <v>12</v>
      </c>
      <c r="C2023">
        <v>1.9178082191780823E-2</v>
      </c>
    </row>
    <row r="2024" spans="1:3" x14ac:dyDescent="0.25">
      <c r="A2024" t="s">
        <v>170</v>
      </c>
      <c r="B2024">
        <v>8</v>
      </c>
      <c r="C2024">
        <v>1.9178082191780823E-2</v>
      </c>
    </row>
    <row r="2025" spans="1:3" x14ac:dyDescent="0.25">
      <c r="A2025" t="s">
        <v>223</v>
      </c>
      <c r="B2025">
        <v>9</v>
      </c>
      <c r="C2025">
        <v>1.9178082191780823E-2</v>
      </c>
    </row>
    <row r="2026" spans="1:3" x14ac:dyDescent="0.25">
      <c r="A2026" t="s">
        <v>165</v>
      </c>
      <c r="B2026">
        <v>8</v>
      </c>
      <c r="C2026">
        <v>2.1917808219178082E-2</v>
      </c>
    </row>
    <row r="2027" spans="1:3" x14ac:dyDescent="0.25">
      <c r="A2027" t="s">
        <v>224</v>
      </c>
      <c r="B2027">
        <v>9</v>
      </c>
      <c r="C2027">
        <v>2.1917808219178082E-2</v>
      </c>
    </row>
    <row r="2028" spans="1:3" x14ac:dyDescent="0.25">
      <c r="A2028" t="s">
        <v>160</v>
      </c>
      <c r="B2028">
        <v>12</v>
      </c>
      <c r="C2028">
        <v>4.6575342465753428E-2</v>
      </c>
    </row>
    <row r="2029" spans="1:3" x14ac:dyDescent="0.25">
      <c r="A2029" t="s">
        <v>147</v>
      </c>
      <c r="B2029">
        <v>15</v>
      </c>
      <c r="C2029">
        <v>4.1095890410958902E-2</v>
      </c>
    </row>
    <row r="2030" spans="1:3" x14ac:dyDescent="0.25">
      <c r="A2030" t="s">
        <v>192</v>
      </c>
      <c r="B2030">
        <v>12</v>
      </c>
      <c r="C2030">
        <v>2.1917808219178082E-2</v>
      </c>
    </row>
    <row r="2031" spans="1:3" x14ac:dyDescent="0.25">
      <c r="A2031" t="s">
        <v>208</v>
      </c>
      <c r="B2031">
        <v>21</v>
      </c>
      <c r="C2031">
        <v>2.1917808219178082E-2</v>
      </c>
    </row>
    <row r="2032" spans="1:3" x14ac:dyDescent="0.25">
      <c r="A2032" t="s">
        <v>213</v>
      </c>
      <c r="B2032">
        <v>16</v>
      </c>
      <c r="C2032">
        <v>1.0958904109589041E-2</v>
      </c>
    </row>
    <row r="2033" spans="1:3" x14ac:dyDescent="0.25">
      <c r="A2033" t="s">
        <v>204</v>
      </c>
      <c r="B2033">
        <v>23</v>
      </c>
      <c r="C2033">
        <v>1.643835616438356E-2</v>
      </c>
    </row>
    <row r="2034" spans="1:3" x14ac:dyDescent="0.25">
      <c r="A2034" t="s">
        <v>213</v>
      </c>
      <c r="B2034">
        <v>17</v>
      </c>
      <c r="C2034">
        <v>8.21917808219178E-3</v>
      </c>
    </row>
    <row r="2035" spans="1:3" x14ac:dyDescent="0.25">
      <c r="A2035" t="s">
        <v>139</v>
      </c>
      <c r="B2035">
        <v>22</v>
      </c>
      <c r="C2035">
        <v>2.1917808219178082E-2</v>
      </c>
    </row>
    <row r="2036" spans="1:3" x14ac:dyDescent="0.25">
      <c r="A2036" t="s">
        <v>42</v>
      </c>
      <c r="B2036">
        <v>23</v>
      </c>
      <c r="C2036">
        <v>2.1917808219178082E-2</v>
      </c>
    </row>
    <row r="2037" spans="1:3" x14ac:dyDescent="0.25">
      <c r="A2037" t="s">
        <v>214</v>
      </c>
      <c r="B2037">
        <v>20</v>
      </c>
      <c r="C2037">
        <v>2.1917808219178082E-2</v>
      </c>
    </row>
    <row r="2038" spans="1:3" x14ac:dyDescent="0.25">
      <c r="A2038" t="s">
        <v>191</v>
      </c>
      <c r="B2038">
        <v>7</v>
      </c>
      <c r="C2038">
        <v>1.3698630136986301E-2</v>
      </c>
    </row>
    <row r="2039" spans="1:3" x14ac:dyDescent="0.25">
      <c r="A2039" t="s">
        <v>135</v>
      </c>
      <c r="B2039">
        <v>0</v>
      </c>
      <c r="C2039">
        <v>1.643835616438356E-2</v>
      </c>
    </row>
    <row r="2040" spans="1:3" x14ac:dyDescent="0.25">
      <c r="A2040" t="s">
        <v>164</v>
      </c>
      <c r="B2040">
        <v>7</v>
      </c>
      <c r="C2040">
        <v>2.1917808219178082E-2</v>
      </c>
    </row>
    <row r="2041" spans="1:3" x14ac:dyDescent="0.25">
      <c r="A2041" t="s">
        <v>87</v>
      </c>
      <c r="B2041">
        <v>6</v>
      </c>
      <c r="C2041">
        <v>1.0958904109589041E-2</v>
      </c>
    </row>
    <row r="2042" spans="1:3" x14ac:dyDescent="0.25">
      <c r="A2042" t="s">
        <v>97</v>
      </c>
      <c r="B2042">
        <v>7</v>
      </c>
      <c r="C2042">
        <v>1.0958904109589041E-2</v>
      </c>
    </row>
    <row r="2043" spans="1:3" x14ac:dyDescent="0.25">
      <c r="A2043" t="s">
        <v>193</v>
      </c>
      <c r="B2043">
        <v>5</v>
      </c>
      <c r="C2043">
        <v>1.0958904109589041E-2</v>
      </c>
    </row>
    <row r="2044" spans="1:3" x14ac:dyDescent="0.25">
      <c r="A2044" t="s">
        <v>181</v>
      </c>
      <c r="B2044">
        <v>10</v>
      </c>
      <c r="C2044">
        <v>1.9178082191780823E-2</v>
      </c>
    </row>
    <row r="2045" spans="1:3" x14ac:dyDescent="0.25">
      <c r="A2045" t="s">
        <v>136</v>
      </c>
      <c r="B2045">
        <v>8</v>
      </c>
      <c r="C2045">
        <v>2.1917808219178082E-2</v>
      </c>
    </row>
    <row r="2046" spans="1:3" x14ac:dyDescent="0.25">
      <c r="A2046" t="s">
        <v>146</v>
      </c>
      <c r="B2046">
        <v>13</v>
      </c>
      <c r="C2046">
        <v>2.1917808219178082E-2</v>
      </c>
    </row>
    <row r="2047" spans="1:3" x14ac:dyDescent="0.25">
      <c r="A2047" t="s">
        <v>124</v>
      </c>
      <c r="B2047">
        <v>9</v>
      </c>
      <c r="C2047">
        <v>1.9178082191780823E-2</v>
      </c>
    </row>
    <row r="2048" spans="1:3" x14ac:dyDescent="0.25">
      <c r="A2048" t="s">
        <v>142</v>
      </c>
      <c r="B2048">
        <v>15</v>
      </c>
      <c r="C2048">
        <v>2.1917808219178082E-2</v>
      </c>
    </row>
    <row r="2049" spans="1:3" x14ac:dyDescent="0.25">
      <c r="A2049" t="s">
        <v>215</v>
      </c>
      <c r="B2049">
        <v>13</v>
      </c>
      <c r="C2049">
        <v>1.643835616438356E-2</v>
      </c>
    </row>
    <row r="2050" spans="1:3" x14ac:dyDescent="0.25">
      <c r="A2050" t="s">
        <v>147</v>
      </c>
      <c r="B2050">
        <v>11</v>
      </c>
      <c r="C2050">
        <v>1.3698630136986301E-2</v>
      </c>
    </row>
    <row r="2051" spans="1:3" x14ac:dyDescent="0.25">
      <c r="A2051" t="s">
        <v>207</v>
      </c>
      <c r="B2051">
        <v>11</v>
      </c>
      <c r="C2051">
        <v>2.4657534246575342E-2</v>
      </c>
    </row>
    <row r="2052" spans="1:3" x14ac:dyDescent="0.25">
      <c r="A2052" t="s">
        <v>201</v>
      </c>
      <c r="B2052">
        <v>10</v>
      </c>
      <c r="C2052">
        <v>4.1095890410958902E-2</v>
      </c>
    </row>
    <row r="2053" spans="1:3" x14ac:dyDescent="0.25">
      <c r="A2053" t="s">
        <v>137</v>
      </c>
      <c r="B2053">
        <v>23</v>
      </c>
      <c r="C2053">
        <v>2.1917808219178082E-2</v>
      </c>
    </row>
    <row r="2054" spans="1:3" x14ac:dyDescent="0.25">
      <c r="A2054" t="s">
        <v>32</v>
      </c>
      <c r="B2054">
        <v>6</v>
      </c>
      <c r="C2054">
        <v>2.1917808219178082E-2</v>
      </c>
    </row>
    <row r="2055" spans="1:3" x14ac:dyDescent="0.25">
      <c r="A2055" t="s">
        <v>206</v>
      </c>
      <c r="B2055">
        <v>21</v>
      </c>
      <c r="C2055">
        <v>1.643835616438356E-2</v>
      </c>
    </row>
    <row r="2056" spans="1:3" x14ac:dyDescent="0.25">
      <c r="A2056" t="s">
        <v>217</v>
      </c>
      <c r="B2056">
        <v>20</v>
      </c>
      <c r="C2056">
        <v>2.1917808219178082E-2</v>
      </c>
    </row>
    <row r="2057" spans="1:3" x14ac:dyDescent="0.25">
      <c r="A2057" t="s">
        <v>184</v>
      </c>
      <c r="B2057">
        <v>16</v>
      </c>
      <c r="C2057">
        <v>1.643835616438356E-2</v>
      </c>
    </row>
    <row r="2058" spans="1:3" x14ac:dyDescent="0.25">
      <c r="A2058" t="s">
        <v>151</v>
      </c>
      <c r="B2058">
        <v>23</v>
      </c>
      <c r="C2058">
        <v>3.287671232876712E-2</v>
      </c>
    </row>
    <row r="2059" spans="1:3" x14ac:dyDescent="0.25">
      <c r="A2059" t="s">
        <v>225</v>
      </c>
      <c r="B2059">
        <v>7</v>
      </c>
      <c r="C2059">
        <v>1.0958904109589041E-2</v>
      </c>
    </row>
    <row r="2060" spans="1:3" x14ac:dyDescent="0.25">
      <c r="A2060" t="s">
        <v>79</v>
      </c>
      <c r="B2060">
        <v>6</v>
      </c>
      <c r="C2060">
        <v>1.3698630136986301E-2</v>
      </c>
    </row>
    <row r="2061" spans="1:3" x14ac:dyDescent="0.25">
      <c r="A2061" t="s">
        <v>166</v>
      </c>
      <c r="B2061">
        <v>1</v>
      </c>
      <c r="C2061">
        <v>5.4794520547945206E-3</v>
      </c>
    </row>
    <row r="2062" spans="1:3" x14ac:dyDescent="0.25">
      <c r="A2062" t="s">
        <v>218</v>
      </c>
      <c r="B2062">
        <v>1</v>
      </c>
      <c r="C2062">
        <v>1.0958904109589041E-2</v>
      </c>
    </row>
    <row r="2063" spans="1:3" x14ac:dyDescent="0.25">
      <c r="A2063" t="s">
        <v>202</v>
      </c>
      <c r="B2063">
        <v>6</v>
      </c>
      <c r="C2063">
        <v>1.643835616438356E-2</v>
      </c>
    </row>
    <row r="2064" spans="1:3" x14ac:dyDescent="0.25">
      <c r="A2064" t="s">
        <v>186</v>
      </c>
      <c r="B2064">
        <v>13</v>
      </c>
      <c r="C2064">
        <v>2.4657534246575342E-2</v>
      </c>
    </row>
    <row r="2065" spans="1:3" x14ac:dyDescent="0.25">
      <c r="A2065" t="s">
        <v>45</v>
      </c>
      <c r="B2065">
        <v>11</v>
      </c>
      <c r="C2065">
        <v>3.287671232876712E-2</v>
      </c>
    </row>
    <row r="2066" spans="1:3" x14ac:dyDescent="0.25">
      <c r="A2066" t="s">
        <v>97</v>
      </c>
      <c r="B2066">
        <v>15</v>
      </c>
      <c r="C2066">
        <v>1.9178082191780823E-2</v>
      </c>
    </row>
    <row r="2067" spans="1:3" x14ac:dyDescent="0.25">
      <c r="A2067" t="s">
        <v>211</v>
      </c>
      <c r="B2067">
        <v>13</v>
      </c>
      <c r="C2067">
        <v>2.1917808219178082E-2</v>
      </c>
    </row>
    <row r="2068" spans="1:3" x14ac:dyDescent="0.25">
      <c r="A2068" t="s">
        <v>96</v>
      </c>
      <c r="B2068">
        <v>13</v>
      </c>
      <c r="C2068">
        <v>1.9178082191780823E-2</v>
      </c>
    </row>
    <row r="2069" spans="1:3" x14ac:dyDescent="0.25">
      <c r="A2069" t="s">
        <v>162</v>
      </c>
      <c r="B2069">
        <v>8</v>
      </c>
      <c r="C2069">
        <v>1.9178082191780823E-2</v>
      </c>
    </row>
    <row r="2070" spans="1:3" x14ac:dyDescent="0.25">
      <c r="A2070" t="s">
        <v>162</v>
      </c>
      <c r="B2070">
        <v>12</v>
      </c>
      <c r="C2070">
        <v>1.9178082191780823E-2</v>
      </c>
    </row>
    <row r="2071" spans="1:3" x14ac:dyDescent="0.25">
      <c r="A2071" t="s">
        <v>194</v>
      </c>
      <c r="B2071">
        <v>9</v>
      </c>
      <c r="C2071">
        <v>3.287671232876712E-2</v>
      </c>
    </row>
    <row r="2072" spans="1:3" x14ac:dyDescent="0.25">
      <c r="A2072" t="s">
        <v>175</v>
      </c>
      <c r="B2072">
        <v>10</v>
      </c>
      <c r="C2072">
        <v>2.1917808219178082E-2</v>
      </c>
    </row>
    <row r="2073" spans="1:3" x14ac:dyDescent="0.25">
      <c r="A2073" t="s">
        <v>196</v>
      </c>
      <c r="B2073">
        <v>13</v>
      </c>
      <c r="C2073">
        <v>1.9178082191780823E-2</v>
      </c>
    </row>
    <row r="2074" spans="1:3" x14ac:dyDescent="0.25">
      <c r="A2074" t="s">
        <v>159</v>
      </c>
      <c r="B2074">
        <v>13</v>
      </c>
      <c r="C2074">
        <v>1.643835616438356E-2</v>
      </c>
    </row>
    <row r="2075" spans="1:3" x14ac:dyDescent="0.25">
      <c r="A2075" t="s">
        <v>140</v>
      </c>
      <c r="B2075">
        <v>12</v>
      </c>
      <c r="C2075">
        <v>1.643835616438356E-2</v>
      </c>
    </row>
    <row r="2076" spans="1:3" x14ac:dyDescent="0.25">
      <c r="A2076" t="s">
        <v>190</v>
      </c>
      <c r="B2076">
        <v>14</v>
      </c>
      <c r="C2076">
        <v>1.643835616438356E-2</v>
      </c>
    </row>
    <row r="2077" spans="1:3" x14ac:dyDescent="0.25">
      <c r="A2077" t="s">
        <v>186</v>
      </c>
      <c r="B2077">
        <v>15</v>
      </c>
      <c r="C2077">
        <v>2.4657534246575342E-2</v>
      </c>
    </row>
    <row r="2078" spans="1:3" x14ac:dyDescent="0.25">
      <c r="A2078" t="s">
        <v>141</v>
      </c>
      <c r="B2078">
        <v>10</v>
      </c>
      <c r="C2078">
        <v>3.287671232876712E-2</v>
      </c>
    </row>
    <row r="2079" spans="1:3" x14ac:dyDescent="0.25">
      <c r="A2079" t="s">
        <v>208</v>
      </c>
      <c r="B2079">
        <v>10</v>
      </c>
      <c r="C2079">
        <v>2.4657534246575342E-2</v>
      </c>
    </row>
    <row r="2080" spans="1:3" x14ac:dyDescent="0.25">
      <c r="A2080" t="s">
        <v>208</v>
      </c>
      <c r="B2080">
        <v>18</v>
      </c>
      <c r="C2080">
        <v>2.1917808219178082E-2</v>
      </c>
    </row>
    <row r="2081" spans="1:3" x14ac:dyDescent="0.25">
      <c r="A2081" t="s">
        <v>149</v>
      </c>
      <c r="B2081">
        <v>23</v>
      </c>
      <c r="C2081">
        <v>3.287671232876712E-2</v>
      </c>
    </row>
    <row r="2082" spans="1:3" x14ac:dyDescent="0.25">
      <c r="A2082" t="s">
        <v>106</v>
      </c>
      <c r="B2082">
        <v>16</v>
      </c>
      <c r="C2082">
        <v>3.8356164383561646E-2</v>
      </c>
    </row>
    <row r="2083" spans="1:3" x14ac:dyDescent="0.25">
      <c r="A2083" t="s">
        <v>139</v>
      </c>
      <c r="B2083">
        <v>21</v>
      </c>
      <c r="C2083">
        <v>2.1917808219178082E-2</v>
      </c>
    </row>
    <row r="2084" spans="1:3" x14ac:dyDescent="0.25">
      <c r="A2084" t="s">
        <v>128</v>
      </c>
      <c r="B2084">
        <v>1</v>
      </c>
      <c r="C2084">
        <v>1.0958904109589041E-2</v>
      </c>
    </row>
    <row r="2085" spans="1:3" x14ac:dyDescent="0.25">
      <c r="A2085" t="s">
        <v>94</v>
      </c>
      <c r="B2085">
        <v>2</v>
      </c>
      <c r="C2085">
        <v>1.9178082191780823E-2</v>
      </c>
    </row>
    <row r="2086" spans="1:3" x14ac:dyDescent="0.25">
      <c r="A2086" t="s">
        <v>137</v>
      </c>
      <c r="B2086">
        <v>1</v>
      </c>
      <c r="C2086">
        <v>1.643835616438356E-2</v>
      </c>
    </row>
    <row r="2087" spans="1:3" x14ac:dyDescent="0.25">
      <c r="A2087" t="s">
        <v>189</v>
      </c>
      <c r="B2087">
        <v>0</v>
      </c>
      <c r="C2087">
        <v>1.9178082191780823E-2</v>
      </c>
    </row>
    <row r="2088" spans="1:3" x14ac:dyDescent="0.25">
      <c r="A2088" t="s">
        <v>201</v>
      </c>
      <c r="B2088">
        <v>7</v>
      </c>
      <c r="C2088">
        <v>2.1917808219178082E-2</v>
      </c>
    </row>
    <row r="2089" spans="1:3" x14ac:dyDescent="0.25">
      <c r="A2089" t="s">
        <v>104</v>
      </c>
      <c r="B2089">
        <v>5</v>
      </c>
      <c r="C2089">
        <v>1.643835616438356E-2</v>
      </c>
    </row>
    <row r="2090" spans="1:3" x14ac:dyDescent="0.25">
      <c r="A2090" t="s">
        <v>100</v>
      </c>
      <c r="B2090">
        <v>4</v>
      </c>
      <c r="C2090">
        <v>1.0958904109589041E-2</v>
      </c>
    </row>
    <row r="2091" spans="1:3" x14ac:dyDescent="0.25">
      <c r="A2091" t="s">
        <v>170</v>
      </c>
      <c r="B2091">
        <v>7</v>
      </c>
      <c r="C2091">
        <v>5.4794520547945206E-3</v>
      </c>
    </row>
    <row r="2092" spans="1:3" x14ac:dyDescent="0.25">
      <c r="A2092" t="s">
        <v>194</v>
      </c>
      <c r="B2092">
        <v>7</v>
      </c>
      <c r="C2092">
        <v>1.643835616438356E-2</v>
      </c>
    </row>
    <row r="2093" spans="1:3" x14ac:dyDescent="0.25">
      <c r="A2093" t="s">
        <v>112</v>
      </c>
      <c r="B2093">
        <v>6</v>
      </c>
      <c r="C2093">
        <v>1.9178082191780823E-2</v>
      </c>
    </row>
    <row r="2094" spans="1:3" x14ac:dyDescent="0.25">
      <c r="A2094" t="s">
        <v>170</v>
      </c>
      <c r="B2094">
        <v>15</v>
      </c>
      <c r="C2094">
        <v>1.9178082191780823E-2</v>
      </c>
    </row>
    <row r="2095" spans="1:3" x14ac:dyDescent="0.25">
      <c r="A2095" t="s">
        <v>106</v>
      </c>
      <c r="B2095">
        <v>8</v>
      </c>
      <c r="C2095">
        <v>3.287671232876712E-2</v>
      </c>
    </row>
    <row r="2096" spans="1:3" x14ac:dyDescent="0.25">
      <c r="A2096" t="s">
        <v>141</v>
      </c>
      <c r="B2096">
        <v>12</v>
      </c>
      <c r="C2096">
        <v>3.0136986301369864E-2</v>
      </c>
    </row>
    <row r="2097" spans="1:3" x14ac:dyDescent="0.25">
      <c r="A2097" t="s">
        <v>123</v>
      </c>
      <c r="B2097">
        <v>15</v>
      </c>
      <c r="C2097">
        <v>1.9178082191780823E-2</v>
      </c>
    </row>
    <row r="2098" spans="1:3" x14ac:dyDescent="0.25">
      <c r="A2098" t="s">
        <v>210</v>
      </c>
      <c r="B2098">
        <v>11</v>
      </c>
      <c r="C2098">
        <v>1.9178082191780823E-2</v>
      </c>
    </row>
    <row r="2099" spans="1:3" x14ac:dyDescent="0.25">
      <c r="A2099" t="s">
        <v>200</v>
      </c>
      <c r="B2099">
        <v>9</v>
      </c>
      <c r="C2099">
        <v>1.9178082191780823E-2</v>
      </c>
    </row>
    <row r="2100" spans="1:3" x14ac:dyDescent="0.25">
      <c r="A2100" t="s">
        <v>188</v>
      </c>
      <c r="B2100">
        <v>11</v>
      </c>
      <c r="C2100">
        <v>2.1917808219178082E-2</v>
      </c>
    </row>
    <row r="2101" spans="1:3" x14ac:dyDescent="0.25">
      <c r="A2101" t="s">
        <v>188</v>
      </c>
      <c r="B2101">
        <v>13</v>
      </c>
      <c r="C2101">
        <v>2.1917808219178082E-2</v>
      </c>
    </row>
    <row r="2102" spans="1:3" x14ac:dyDescent="0.25">
      <c r="A2102" t="s">
        <v>216</v>
      </c>
      <c r="B2102">
        <v>13</v>
      </c>
      <c r="C2102">
        <v>1.9178082191780823E-2</v>
      </c>
    </row>
    <row r="2103" spans="1:3" x14ac:dyDescent="0.25">
      <c r="A2103" t="s">
        <v>98</v>
      </c>
      <c r="B2103">
        <v>11</v>
      </c>
      <c r="C2103">
        <v>1.9178082191780823E-2</v>
      </c>
    </row>
    <row r="2104" spans="1:3" x14ac:dyDescent="0.25">
      <c r="A2104" t="s">
        <v>133</v>
      </c>
      <c r="B2104">
        <v>13</v>
      </c>
      <c r="C2104">
        <v>5.4794520547945202E-2</v>
      </c>
    </row>
    <row r="2105" spans="1:3" x14ac:dyDescent="0.25">
      <c r="A2105" t="s">
        <v>145</v>
      </c>
      <c r="B2105">
        <v>9</v>
      </c>
      <c r="C2105">
        <v>1.9178082191780823E-2</v>
      </c>
    </row>
    <row r="2106" spans="1:3" x14ac:dyDescent="0.25">
      <c r="A2106" t="s">
        <v>197</v>
      </c>
      <c r="B2106">
        <v>14</v>
      </c>
      <c r="C2106">
        <v>1.643835616438356E-2</v>
      </c>
    </row>
    <row r="2107" spans="1:3" x14ac:dyDescent="0.25">
      <c r="A2107" t="s">
        <v>133</v>
      </c>
      <c r="B2107">
        <v>9</v>
      </c>
      <c r="C2107">
        <v>5.2054794520547946E-2</v>
      </c>
    </row>
    <row r="2108" spans="1:3" x14ac:dyDescent="0.25">
      <c r="A2108" t="s">
        <v>79</v>
      </c>
      <c r="B2108">
        <v>13</v>
      </c>
      <c r="C2108">
        <v>2.1917808219178082E-2</v>
      </c>
    </row>
    <row r="2109" spans="1:3" x14ac:dyDescent="0.25">
      <c r="A2109" t="s">
        <v>165</v>
      </c>
      <c r="B2109">
        <v>12</v>
      </c>
      <c r="C2109">
        <v>2.1917808219178082E-2</v>
      </c>
    </row>
    <row r="2110" spans="1:3" x14ac:dyDescent="0.25">
      <c r="A2110" t="s">
        <v>197</v>
      </c>
      <c r="B2110">
        <v>17</v>
      </c>
      <c r="C2110">
        <v>1.643835616438356E-2</v>
      </c>
    </row>
    <row r="2111" spans="1:3" x14ac:dyDescent="0.25">
      <c r="A2111" t="s">
        <v>208</v>
      </c>
      <c r="B2111">
        <v>17</v>
      </c>
      <c r="C2111">
        <v>2.1917808219178082E-2</v>
      </c>
    </row>
    <row r="2112" spans="1:3" x14ac:dyDescent="0.25">
      <c r="A2112" t="s">
        <v>115</v>
      </c>
      <c r="B2112">
        <v>21</v>
      </c>
      <c r="C2112">
        <v>6.8493150684931503E-2</v>
      </c>
    </row>
    <row r="2113" spans="1:3" x14ac:dyDescent="0.25">
      <c r="A2113" t="s">
        <v>197</v>
      </c>
      <c r="B2113">
        <v>16</v>
      </c>
      <c r="C2113">
        <v>1.643835616438356E-2</v>
      </c>
    </row>
    <row r="2114" spans="1:3" x14ac:dyDescent="0.25">
      <c r="A2114" t="s">
        <v>168</v>
      </c>
      <c r="B2114">
        <v>17</v>
      </c>
      <c r="C2114">
        <v>3.287671232876712E-2</v>
      </c>
    </row>
    <row r="2115" spans="1:3" x14ac:dyDescent="0.25">
      <c r="A2115" t="s">
        <v>121</v>
      </c>
      <c r="B2115">
        <v>2</v>
      </c>
      <c r="C2115">
        <v>1.9178082191780823E-2</v>
      </c>
    </row>
    <row r="2116" spans="1:3" x14ac:dyDescent="0.25">
      <c r="A2116" t="s">
        <v>146</v>
      </c>
      <c r="B2116">
        <v>4</v>
      </c>
      <c r="C2116">
        <v>1.0958904109589041E-2</v>
      </c>
    </row>
    <row r="2117" spans="1:3" x14ac:dyDescent="0.25">
      <c r="A2117" t="s">
        <v>210</v>
      </c>
      <c r="B2117">
        <v>5</v>
      </c>
      <c r="C2117">
        <v>1.0958904109589041E-2</v>
      </c>
    </row>
    <row r="2118" spans="1:3" x14ac:dyDescent="0.25">
      <c r="A2118" t="s">
        <v>102</v>
      </c>
      <c r="B2118">
        <v>5</v>
      </c>
      <c r="C2118">
        <v>5.4794520547945206E-3</v>
      </c>
    </row>
    <row r="2119" spans="1:3" x14ac:dyDescent="0.25">
      <c r="A2119" t="s">
        <v>98</v>
      </c>
      <c r="B2119">
        <v>6</v>
      </c>
      <c r="C2119">
        <v>1.0958904109589041E-2</v>
      </c>
    </row>
    <row r="2120" spans="1:3" x14ac:dyDescent="0.25">
      <c r="A2120" t="s">
        <v>216</v>
      </c>
      <c r="B2120">
        <v>1</v>
      </c>
      <c r="C2120">
        <v>1.9178082191780823E-2</v>
      </c>
    </row>
    <row r="2121" spans="1:3" x14ac:dyDescent="0.25">
      <c r="A2121" t="s">
        <v>196</v>
      </c>
      <c r="B2121">
        <v>0</v>
      </c>
      <c r="C2121">
        <v>1.0958904109589041E-2</v>
      </c>
    </row>
    <row r="2122" spans="1:3" x14ac:dyDescent="0.25">
      <c r="A2122" t="s">
        <v>210</v>
      </c>
      <c r="B2122">
        <v>7</v>
      </c>
      <c r="C2122">
        <v>1.0958904109589041E-2</v>
      </c>
    </row>
    <row r="2123" spans="1:3" x14ac:dyDescent="0.25">
      <c r="A2123" t="s">
        <v>202</v>
      </c>
      <c r="B2123">
        <v>13</v>
      </c>
      <c r="C2123">
        <v>1.9178082191780823E-2</v>
      </c>
    </row>
    <row r="2124" spans="1:3" x14ac:dyDescent="0.25">
      <c r="A2124" t="s">
        <v>193</v>
      </c>
      <c r="B2124">
        <v>12</v>
      </c>
      <c r="C2124">
        <v>1.9178082191780823E-2</v>
      </c>
    </row>
    <row r="2125" spans="1:3" x14ac:dyDescent="0.25">
      <c r="A2125" t="s">
        <v>226</v>
      </c>
      <c r="B2125">
        <v>9</v>
      </c>
      <c r="C2125">
        <v>2.1917808219178082E-2</v>
      </c>
    </row>
    <row r="2126" spans="1:3" x14ac:dyDescent="0.25">
      <c r="A2126" t="s">
        <v>201</v>
      </c>
      <c r="B2126">
        <v>13</v>
      </c>
      <c r="C2126">
        <v>3.5616438356164383E-2</v>
      </c>
    </row>
    <row r="2127" spans="1:3" x14ac:dyDescent="0.25">
      <c r="A2127" t="s">
        <v>226</v>
      </c>
      <c r="B2127">
        <v>14</v>
      </c>
      <c r="C2127">
        <v>2.1917808219178082E-2</v>
      </c>
    </row>
    <row r="2128" spans="1:3" x14ac:dyDescent="0.25">
      <c r="A2128" t="s">
        <v>138</v>
      </c>
      <c r="B2128">
        <v>9</v>
      </c>
      <c r="C2128">
        <v>2.1917808219178082E-2</v>
      </c>
    </row>
    <row r="2129" spans="1:3" x14ac:dyDescent="0.25">
      <c r="A2129" t="s">
        <v>227</v>
      </c>
      <c r="B2129">
        <v>15</v>
      </c>
      <c r="C2129">
        <v>1.9178082191780823E-2</v>
      </c>
    </row>
    <row r="2130" spans="1:3" x14ac:dyDescent="0.25">
      <c r="A2130" t="s">
        <v>209</v>
      </c>
      <c r="B2130">
        <v>11</v>
      </c>
      <c r="C2130">
        <v>3.0136986301369864E-2</v>
      </c>
    </row>
    <row r="2131" spans="1:3" x14ac:dyDescent="0.25">
      <c r="A2131" t="s">
        <v>218</v>
      </c>
      <c r="B2131">
        <v>13</v>
      </c>
      <c r="C2131">
        <v>1.643835616438356E-2</v>
      </c>
    </row>
    <row r="2132" spans="1:3" x14ac:dyDescent="0.25">
      <c r="A2132" t="s">
        <v>195</v>
      </c>
      <c r="B2132">
        <v>11</v>
      </c>
      <c r="C2132">
        <v>2.1917808219178082E-2</v>
      </c>
    </row>
    <row r="2133" spans="1:3" x14ac:dyDescent="0.25">
      <c r="A2133" t="s">
        <v>203</v>
      </c>
      <c r="B2133">
        <v>14</v>
      </c>
      <c r="C2133">
        <v>2.1917808219178082E-2</v>
      </c>
    </row>
    <row r="2134" spans="1:3" x14ac:dyDescent="0.25">
      <c r="A2134" t="s">
        <v>215</v>
      </c>
      <c r="B2134">
        <v>18</v>
      </c>
      <c r="C2134">
        <v>1.643835616438356E-2</v>
      </c>
    </row>
    <row r="2135" spans="1:3" x14ac:dyDescent="0.25">
      <c r="A2135" t="s">
        <v>211</v>
      </c>
      <c r="B2135">
        <v>16</v>
      </c>
      <c r="C2135">
        <v>3.0136986301369864E-2</v>
      </c>
    </row>
    <row r="2136" spans="1:3" x14ac:dyDescent="0.25">
      <c r="A2136" t="s">
        <v>127</v>
      </c>
      <c r="B2136">
        <v>19</v>
      </c>
      <c r="C2136">
        <v>3.0136986301369864E-2</v>
      </c>
    </row>
    <row r="2137" spans="1:3" x14ac:dyDescent="0.25">
      <c r="A2137" t="s">
        <v>189</v>
      </c>
      <c r="B2137">
        <v>20</v>
      </c>
      <c r="C2137">
        <v>2.1917808219178082E-2</v>
      </c>
    </row>
    <row r="2138" spans="1:3" x14ac:dyDescent="0.25">
      <c r="A2138" t="s">
        <v>148</v>
      </c>
      <c r="B2138">
        <v>19</v>
      </c>
      <c r="C2138">
        <v>1.643835616438356E-2</v>
      </c>
    </row>
    <row r="2139" spans="1:3" x14ac:dyDescent="0.25">
      <c r="A2139" t="s">
        <v>225</v>
      </c>
      <c r="B2139">
        <v>18</v>
      </c>
      <c r="C2139">
        <v>1.643835616438356E-2</v>
      </c>
    </row>
    <row r="2140" spans="1:3" x14ac:dyDescent="0.25">
      <c r="A2140" t="s">
        <v>214</v>
      </c>
      <c r="B2140">
        <v>19</v>
      </c>
      <c r="C2140">
        <v>1.9178082191780823E-2</v>
      </c>
    </row>
    <row r="2141" spans="1:3" x14ac:dyDescent="0.25">
      <c r="A2141" t="s">
        <v>211</v>
      </c>
      <c r="B2141">
        <v>19</v>
      </c>
      <c r="C2141">
        <v>2.7397260273972601E-2</v>
      </c>
    </row>
    <row r="2142" spans="1:3" x14ac:dyDescent="0.25">
      <c r="A2142" t="s">
        <v>76</v>
      </c>
      <c r="B2142">
        <v>22</v>
      </c>
      <c r="C2142">
        <v>2.7397260273972601E-2</v>
      </c>
    </row>
    <row r="2143" spans="1:3" x14ac:dyDescent="0.25">
      <c r="A2143" t="s">
        <v>141</v>
      </c>
      <c r="B2143">
        <v>20</v>
      </c>
      <c r="C2143">
        <v>2.1917808219178082E-2</v>
      </c>
    </row>
    <row r="2144" spans="1:3" x14ac:dyDescent="0.25">
      <c r="A2144" t="s">
        <v>127</v>
      </c>
      <c r="B2144">
        <v>17</v>
      </c>
      <c r="C2144">
        <v>3.0136986301369864E-2</v>
      </c>
    </row>
    <row r="2145" spans="1:3" x14ac:dyDescent="0.25">
      <c r="A2145" t="s">
        <v>180</v>
      </c>
      <c r="B2145">
        <v>20</v>
      </c>
      <c r="C2145">
        <v>2.1917808219178082E-2</v>
      </c>
    </row>
    <row r="2146" spans="1:3" x14ac:dyDescent="0.25">
      <c r="A2146" t="s">
        <v>166</v>
      </c>
      <c r="B2146">
        <v>0</v>
      </c>
      <c r="C2146">
        <v>1.9178082191780823E-2</v>
      </c>
    </row>
    <row r="2147" spans="1:3" x14ac:dyDescent="0.25">
      <c r="A2147" t="s">
        <v>123</v>
      </c>
      <c r="B2147">
        <v>3</v>
      </c>
      <c r="C2147">
        <v>1.0958904109589041E-2</v>
      </c>
    </row>
    <row r="2148" spans="1:3" x14ac:dyDescent="0.25">
      <c r="A2148" t="s">
        <v>104</v>
      </c>
      <c r="B2148">
        <v>0</v>
      </c>
      <c r="C2148">
        <v>2.7397260273972601E-2</v>
      </c>
    </row>
    <row r="2149" spans="1:3" x14ac:dyDescent="0.25">
      <c r="A2149" t="s">
        <v>170</v>
      </c>
      <c r="B2149">
        <v>0</v>
      </c>
      <c r="C2149">
        <v>1.9178082191780823E-2</v>
      </c>
    </row>
    <row r="2150" spans="1:3" x14ac:dyDescent="0.25">
      <c r="A2150" t="s">
        <v>181</v>
      </c>
      <c r="B2150">
        <v>3</v>
      </c>
      <c r="C2150">
        <v>1.0958904109589041E-2</v>
      </c>
    </row>
    <row r="2151" spans="1:3" x14ac:dyDescent="0.25">
      <c r="A2151" t="s">
        <v>133</v>
      </c>
      <c r="B2151">
        <v>0</v>
      </c>
      <c r="C2151">
        <v>2.7397260273972601E-2</v>
      </c>
    </row>
    <row r="2152" spans="1:3" x14ac:dyDescent="0.25">
      <c r="A2152" t="s">
        <v>92</v>
      </c>
      <c r="B2152">
        <v>5</v>
      </c>
      <c r="C2152">
        <v>1.643835616438356E-2</v>
      </c>
    </row>
    <row r="2153" spans="1:3" x14ac:dyDescent="0.25">
      <c r="A2153" t="s">
        <v>152</v>
      </c>
      <c r="B2153">
        <v>2</v>
      </c>
      <c r="C2153">
        <v>1.643835616438356E-2</v>
      </c>
    </row>
    <row r="2154" spans="1:3" x14ac:dyDescent="0.25">
      <c r="A2154" t="s">
        <v>209</v>
      </c>
      <c r="B2154">
        <v>2</v>
      </c>
      <c r="C2154">
        <v>1.9178082191780823E-2</v>
      </c>
    </row>
    <row r="2155" spans="1:3" x14ac:dyDescent="0.25">
      <c r="A2155" t="s">
        <v>113</v>
      </c>
      <c r="B2155">
        <v>4</v>
      </c>
      <c r="C2155">
        <v>1.0958904109589041E-2</v>
      </c>
    </row>
    <row r="2156" spans="1:3" x14ac:dyDescent="0.25">
      <c r="A2156" t="s">
        <v>83</v>
      </c>
      <c r="B2156">
        <v>3</v>
      </c>
      <c r="C2156">
        <v>1.0958904109589041E-2</v>
      </c>
    </row>
    <row r="2157" spans="1:3" x14ac:dyDescent="0.25">
      <c r="A2157" t="s">
        <v>124</v>
      </c>
      <c r="B2157">
        <v>0</v>
      </c>
      <c r="C2157">
        <v>1.0958904109589041E-2</v>
      </c>
    </row>
    <row r="2158" spans="1:3" x14ac:dyDescent="0.25">
      <c r="A2158" t="s">
        <v>34</v>
      </c>
      <c r="B2158">
        <v>22</v>
      </c>
      <c r="C2158">
        <v>2.1917808219178082E-2</v>
      </c>
    </row>
    <row r="2159" spans="1:3" x14ac:dyDescent="0.25">
      <c r="A2159" t="s">
        <v>30</v>
      </c>
      <c r="B2159">
        <v>3</v>
      </c>
      <c r="C2159">
        <v>1.9178082191780823E-2</v>
      </c>
    </row>
    <row r="2160" spans="1:3" x14ac:dyDescent="0.25">
      <c r="A2160" t="s">
        <v>93</v>
      </c>
      <c r="B2160">
        <v>4</v>
      </c>
      <c r="C2160">
        <v>1.643835616438356E-2</v>
      </c>
    </row>
    <row r="2161" spans="1:3" x14ac:dyDescent="0.25">
      <c r="A2161" t="s">
        <v>171</v>
      </c>
      <c r="B2161">
        <v>7</v>
      </c>
      <c r="C2161">
        <v>1.9178082191780823E-2</v>
      </c>
    </row>
    <row r="2162" spans="1:3" x14ac:dyDescent="0.25">
      <c r="A2162" t="s">
        <v>185</v>
      </c>
      <c r="B2162">
        <v>9</v>
      </c>
      <c r="C2162">
        <v>1.9178082191780823E-2</v>
      </c>
    </row>
    <row r="2163" spans="1:3" x14ac:dyDescent="0.25">
      <c r="A2163" t="s">
        <v>173</v>
      </c>
      <c r="B2163">
        <v>14</v>
      </c>
      <c r="C2163">
        <v>2.1917808219178082E-2</v>
      </c>
    </row>
    <row r="2164" spans="1:3" x14ac:dyDescent="0.25">
      <c r="A2164" t="s">
        <v>206</v>
      </c>
      <c r="B2164">
        <v>8</v>
      </c>
      <c r="C2164">
        <v>1.643835616438356E-2</v>
      </c>
    </row>
    <row r="2165" spans="1:3" x14ac:dyDescent="0.25">
      <c r="A2165" t="s">
        <v>111</v>
      </c>
      <c r="B2165">
        <v>9</v>
      </c>
      <c r="C2165">
        <v>4.9315068493150684E-2</v>
      </c>
    </row>
    <row r="2166" spans="1:3" x14ac:dyDescent="0.25">
      <c r="A2166" t="s">
        <v>206</v>
      </c>
      <c r="B2166">
        <v>11</v>
      </c>
      <c r="C2166">
        <v>1.643835616438356E-2</v>
      </c>
    </row>
    <row r="2167" spans="1:3" x14ac:dyDescent="0.25">
      <c r="A2167" t="s">
        <v>157</v>
      </c>
      <c r="B2167">
        <v>21</v>
      </c>
      <c r="C2167">
        <v>1.9178082191780823E-2</v>
      </c>
    </row>
    <row r="2168" spans="1:3" x14ac:dyDescent="0.25">
      <c r="A2168" t="s">
        <v>138</v>
      </c>
      <c r="B2168">
        <v>19</v>
      </c>
      <c r="C2168">
        <v>1.9178082191780823E-2</v>
      </c>
    </row>
    <row r="2169" spans="1:3" x14ac:dyDescent="0.25">
      <c r="A2169" t="s">
        <v>168</v>
      </c>
      <c r="B2169">
        <v>20</v>
      </c>
      <c r="C2169">
        <v>2.7397260273972601E-2</v>
      </c>
    </row>
    <row r="2170" spans="1:3" x14ac:dyDescent="0.25">
      <c r="A2170" t="s">
        <v>195</v>
      </c>
      <c r="B2170">
        <v>19</v>
      </c>
      <c r="C2170">
        <v>1.9178082191780823E-2</v>
      </c>
    </row>
    <row r="2171" spans="1:3" x14ac:dyDescent="0.25">
      <c r="A2171" t="s">
        <v>149</v>
      </c>
      <c r="B2171">
        <v>22</v>
      </c>
      <c r="C2171">
        <v>2.7397260273972601E-2</v>
      </c>
    </row>
    <row r="2172" spans="1:3" x14ac:dyDescent="0.25">
      <c r="A2172" t="s">
        <v>161</v>
      </c>
      <c r="B2172">
        <v>20</v>
      </c>
      <c r="C2172">
        <v>1.9178082191780823E-2</v>
      </c>
    </row>
    <row r="2173" spans="1:3" x14ac:dyDescent="0.25">
      <c r="A2173" t="s">
        <v>38</v>
      </c>
      <c r="B2173">
        <v>17</v>
      </c>
      <c r="C2173">
        <v>1.9178082191780823E-2</v>
      </c>
    </row>
    <row r="2174" spans="1:3" x14ac:dyDescent="0.25">
      <c r="A2174" t="s">
        <v>202</v>
      </c>
      <c r="B2174">
        <v>7</v>
      </c>
      <c r="C2174">
        <v>1.643835616438356E-2</v>
      </c>
    </row>
    <row r="2175" spans="1:3" x14ac:dyDescent="0.25">
      <c r="A2175" t="s">
        <v>144</v>
      </c>
      <c r="B2175">
        <v>3</v>
      </c>
      <c r="C2175">
        <v>1.643835616438356E-2</v>
      </c>
    </row>
    <row r="2176" spans="1:3" x14ac:dyDescent="0.25">
      <c r="A2176" t="s">
        <v>123</v>
      </c>
      <c r="B2176">
        <v>7</v>
      </c>
      <c r="C2176">
        <v>1.0958904109589041E-2</v>
      </c>
    </row>
    <row r="2177" spans="1:3" x14ac:dyDescent="0.25">
      <c r="A2177" t="s">
        <v>156</v>
      </c>
      <c r="B2177">
        <v>6</v>
      </c>
      <c r="C2177">
        <v>2.1917808219178082E-2</v>
      </c>
    </row>
    <row r="2178" spans="1:3" x14ac:dyDescent="0.25">
      <c r="A2178" t="s">
        <v>145</v>
      </c>
      <c r="B2178">
        <v>2</v>
      </c>
      <c r="C2178">
        <v>1.0958904109589041E-2</v>
      </c>
    </row>
    <row r="2179" spans="1:3" x14ac:dyDescent="0.25">
      <c r="A2179" t="s">
        <v>79</v>
      </c>
      <c r="B2179">
        <v>4</v>
      </c>
      <c r="C2179">
        <v>1.0958904109589041E-2</v>
      </c>
    </row>
    <row r="2180" spans="1:3" x14ac:dyDescent="0.25">
      <c r="A2180" t="s">
        <v>142</v>
      </c>
      <c r="B2180">
        <v>4</v>
      </c>
      <c r="C2180">
        <v>8.21917808219178E-3</v>
      </c>
    </row>
    <row r="2181" spans="1:3" x14ac:dyDescent="0.25">
      <c r="A2181" t="s">
        <v>190</v>
      </c>
      <c r="B2181">
        <v>8</v>
      </c>
      <c r="C2181">
        <v>1.643835616438356E-2</v>
      </c>
    </row>
    <row r="2182" spans="1:3" x14ac:dyDescent="0.25">
      <c r="A2182" t="s">
        <v>128</v>
      </c>
      <c r="B2182">
        <v>11</v>
      </c>
      <c r="C2182">
        <v>1.643835616438356E-2</v>
      </c>
    </row>
    <row r="2183" spans="1:3" x14ac:dyDescent="0.25">
      <c r="A2183" t="s">
        <v>206</v>
      </c>
      <c r="B2183">
        <v>10</v>
      </c>
      <c r="C2183">
        <v>1.643835616438356E-2</v>
      </c>
    </row>
    <row r="2184" spans="1:3" x14ac:dyDescent="0.25">
      <c r="A2184" t="s">
        <v>154</v>
      </c>
      <c r="B2184">
        <v>11</v>
      </c>
      <c r="C2184">
        <v>1.643835616438356E-2</v>
      </c>
    </row>
    <row r="2185" spans="1:3" x14ac:dyDescent="0.25">
      <c r="A2185" t="s">
        <v>127</v>
      </c>
      <c r="B2185">
        <v>15</v>
      </c>
      <c r="C2185">
        <v>3.5616438356164383E-2</v>
      </c>
    </row>
    <row r="2186" spans="1:3" x14ac:dyDescent="0.25">
      <c r="A2186" t="s">
        <v>180</v>
      </c>
      <c r="B2186">
        <v>10</v>
      </c>
      <c r="C2186">
        <v>2.1917808219178082E-2</v>
      </c>
    </row>
    <row r="2187" spans="1:3" x14ac:dyDescent="0.25">
      <c r="A2187" t="s">
        <v>228</v>
      </c>
      <c r="B2187">
        <v>17</v>
      </c>
      <c r="C2187">
        <v>1.3698630136986301E-2</v>
      </c>
    </row>
    <row r="2188" spans="1:3" x14ac:dyDescent="0.25">
      <c r="A2188" t="s">
        <v>226</v>
      </c>
      <c r="B2188">
        <v>16</v>
      </c>
      <c r="C2188">
        <v>1.9178082191780823E-2</v>
      </c>
    </row>
    <row r="2189" spans="1:3" x14ac:dyDescent="0.25">
      <c r="A2189" t="s">
        <v>135</v>
      </c>
      <c r="B2189">
        <v>22</v>
      </c>
      <c r="C2189">
        <v>2.7397260273972601E-2</v>
      </c>
    </row>
    <row r="2190" spans="1:3" x14ac:dyDescent="0.25">
      <c r="A2190" t="s">
        <v>202</v>
      </c>
      <c r="B2190">
        <v>20</v>
      </c>
      <c r="C2190">
        <v>2.4657534246575342E-2</v>
      </c>
    </row>
    <row r="2191" spans="1:3" x14ac:dyDescent="0.25">
      <c r="A2191" t="s">
        <v>222</v>
      </c>
      <c r="B2191">
        <v>19</v>
      </c>
      <c r="C2191">
        <v>5.4794520547945206E-3</v>
      </c>
    </row>
    <row r="2192" spans="1:3" x14ac:dyDescent="0.25">
      <c r="A2192" t="s">
        <v>163</v>
      </c>
      <c r="B2192">
        <v>22</v>
      </c>
      <c r="C2192">
        <v>2.7397260273972601E-2</v>
      </c>
    </row>
    <row r="2193" spans="1:3" x14ac:dyDescent="0.25">
      <c r="A2193" t="s">
        <v>133</v>
      </c>
      <c r="B2193">
        <v>21</v>
      </c>
      <c r="C2193">
        <v>2.7397260273972601E-2</v>
      </c>
    </row>
    <row r="2194" spans="1:3" x14ac:dyDescent="0.25">
      <c r="A2194" t="s">
        <v>222</v>
      </c>
      <c r="B2194">
        <v>21</v>
      </c>
      <c r="C2194">
        <v>2.7397260273972603E-3</v>
      </c>
    </row>
    <row r="2195" spans="1:3" x14ac:dyDescent="0.25">
      <c r="A2195" t="s">
        <v>191</v>
      </c>
      <c r="B2195">
        <v>18</v>
      </c>
      <c r="C2195">
        <v>1.9178082191780823E-2</v>
      </c>
    </row>
    <row r="2196" spans="1:3" x14ac:dyDescent="0.25">
      <c r="A2196" t="s">
        <v>217</v>
      </c>
      <c r="B2196">
        <v>19</v>
      </c>
      <c r="C2196">
        <v>1.9178082191780823E-2</v>
      </c>
    </row>
    <row r="2197" spans="1:3" x14ac:dyDescent="0.25">
      <c r="A2197" t="s">
        <v>194</v>
      </c>
      <c r="B2197">
        <v>16</v>
      </c>
      <c r="C2197">
        <v>1.9178082191780823E-2</v>
      </c>
    </row>
    <row r="2198" spans="1:3" x14ac:dyDescent="0.25">
      <c r="A2198" t="s">
        <v>107</v>
      </c>
      <c r="B2198">
        <v>6</v>
      </c>
      <c r="C2198">
        <v>1.3698630136986301E-2</v>
      </c>
    </row>
    <row r="2199" spans="1:3" x14ac:dyDescent="0.25">
      <c r="A2199" t="s">
        <v>99</v>
      </c>
      <c r="B2199">
        <v>3</v>
      </c>
      <c r="C2199">
        <v>1.643835616438356E-2</v>
      </c>
    </row>
    <row r="2200" spans="1:3" x14ac:dyDescent="0.25">
      <c r="A2200" t="s">
        <v>71</v>
      </c>
      <c r="B2200">
        <v>5</v>
      </c>
      <c r="C2200">
        <v>1.643835616438356E-2</v>
      </c>
    </row>
    <row r="2201" spans="1:3" x14ac:dyDescent="0.25">
      <c r="A2201" t="s">
        <v>71</v>
      </c>
      <c r="B2201">
        <v>1</v>
      </c>
      <c r="C2201">
        <v>1.643835616438356E-2</v>
      </c>
    </row>
    <row r="2202" spans="1:3" x14ac:dyDescent="0.25">
      <c r="A2202" t="s">
        <v>161</v>
      </c>
      <c r="B2202">
        <v>1</v>
      </c>
      <c r="C2202">
        <v>1.0958904109589041E-2</v>
      </c>
    </row>
    <row r="2203" spans="1:3" x14ac:dyDescent="0.25">
      <c r="A2203" t="s">
        <v>151</v>
      </c>
      <c r="B2203">
        <v>5</v>
      </c>
      <c r="C2203">
        <v>1.3698630136986301E-2</v>
      </c>
    </row>
    <row r="2204" spans="1:3" x14ac:dyDescent="0.25">
      <c r="A2204" t="s">
        <v>101</v>
      </c>
      <c r="B2204">
        <v>5</v>
      </c>
      <c r="C2204">
        <v>8.21917808219178E-3</v>
      </c>
    </row>
    <row r="2205" spans="1:3" x14ac:dyDescent="0.25">
      <c r="A2205" t="s">
        <v>180</v>
      </c>
      <c r="B2205">
        <v>1</v>
      </c>
      <c r="C2205">
        <v>1.0958904109589041E-2</v>
      </c>
    </row>
    <row r="2206" spans="1:3" x14ac:dyDescent="0.25">
      <c r="A2206" t="s">
        <v>181</v>
      </c>
      <c r="B2206">
        <v>9</v>
      </c>
      <c r="C2206">
        <v>1.643835616438356E-2</v>
      </c>
    </row>
    <row r="2207" spans="1:3" x14ac:dyDescent="0.25">
      <c r="A2207" t="s">
        <v>208</v>
      </c>
      <c r="B2207">
        <v>8</v>
      </c>
      <c r="C2207">
        <v>2.1917808219178082E-2</v>
      </c>
    </row>
    <row r="2208" spans="1:3" x14ac:dyDescent="0.25">
      <c r="A2208" t="s">
        <v>194</v>
      </c>
      <c r="B2208">
        <v>14</v>
      </c>
      <c r="C2208">
        <v>3.0136986301369864E-2</v>
      </c>
    </row>
    <row r="2209" spans="1:3" x14ac:dyDescent="0.25">
      <c r="A2209" t="s">
        <v>191</v>
      </c>
      <c r="B2209">
        <v>11</v>
      </c>
      <c r="C2209">
        <v>2.1917808219178082E-2</v>
      </c>
    </row>
    <row r="2210" spans="1:3" x14ac:dyDescent="0.25">
      <c r="A2210" t="s">
        <v>145</v>
      </c>
      <c r="B2210">
        <v>15</v>
      </c>
      <c r="C2210">
        <v>1.9178082191780823E-2</v>
      </c>
    </row>
    <row r="2211" spans="1:3" x14ac:dyDescent="0.25">
      <c r="A2211" t="s">
        <v>198</v>
      </c>
      <c r="B2211">
        <v>10</v>
      </c>
      <c r="C2211">
        <v>1.643835616438356E-2</v>
      </c>
    </row>
    <row r="2212" spans="1:3" x14ac:dyDescent="0.25">
      <c r="A2212" t="s">
        <v>188</v>
      </c>
      <c r="B2212">
        <v>8</v>
      </c>
      <c r="C2212">
        <v>2.1917808219178082E-2</v>
      </c>
    </row>
    <row r="2213" spans="1:3" x14ac:dyDescent="0.25">
      <c r="A2213" t="s">
        <v>227</v>
      </c>
      <c r="B2213">
        <v>9</v>
      </c>
      <c r="C2213">
        <v>1.9178082191780823E-2</v>
      </c>
    </row>
    <row r="2214" spans="1:3" x14ac:dyDescent="0.25">
      <c r="A2214" t="s">
        <v>173</v>
      </c>
      <c r="B2214">
        <v>17</v>
      </c>
      <c r="C2214">
        <v>1.9178082191780823E-2</v>
      </c>
    </row>
    <row r="2215" spans="1:3" x14ac:dyDescent="0.25">
      <c r="A2215" t="s">
        <v>123</v>
      </c>
      <c r="B2215">
        <v>16</v>
      </c>
      <c r="C2215">
        <v>1.643835616438356E-2</v>
      </c>
    </row>
    <row r="2216" spans="1:3" x14ac:dyDescent="0.25">
      <c r="A2216" t="s">
        <v>191</v>
      </c>
      <c r="B2216">
        <v>20</v>
      </c>
      <c r="C2216">
        <v>1.9178082191780823E-2</v>
      </c>
    </row>
    <row r="2217" spans="1:3" x14ac:dyDescent="0.25">
      <c r="A2217" t="s">
        <v>118</v>
      </c>
      <c r="B2217">
        <v>19</v>
      </c>
      <c r="C2217">
        <v>2.1917808219178082E-2</v>
      </c>
    </row>
    <row r="2218" spans="1:3" x14ac:dyDescent="0.25">
      <c r="A2218" t="s">
        <v>136</v>
      </c>
      <c r="B2218">
        <v>1</v>
      </c>
      <c r="C2218">
        <v>8.21917808219178E-3</v>
      </c>
    </row>
    <row r="2219" spans="1:3" x14ac:dyDescent="0.25">
      <c r="A2219" t="s">
        <v>155</v>
      </c>
      <c r="B2219">
        <v>0</v>
      </c>
      <c r="C2219">
        <v>1.643835616438356E-2</v>
      </c>
    </row>
    <row r="2220" spans="1:3" x14ac:dyDescent="0.25">
      <c r="A2220" t="s">
        <v>106</v>
      </c>
      <c r="B2220">
        <v>5</v>
      </c>
      <c r="C2220">
        <v>2.7397260273972603E-3</v>
      </c>
    </row>
    <row r="2221" spans="1:3" x14ac:dyDescent="0.25">
      <c r="A2221" t="s">
        <v>120</v>
      </c>
      <c r="B2221">
        <v>6</v>
      </c>
      <c r="C2221">
        <v>1.9178082191780823E-2</v>
      </c>
    </row>
    <row r="2222" spans="1:3" x14ac:dyDescent="0.25">
      <c r="A2222" t="s">
        <v>137</v>
      </c>
      <c r="B2222">
        <v>6</v>
      </c>
      <c r="C2222">
        <v>5.4794520547945206E-3</v>
      </c>
    </row>
    <row r="2223" spans="1:3" x14ac:dyDescent="0.25">
      <c r="A2223" t="s">
        <v>131</v>
      </c>
      <c r="B2223">
        <v>9</v>
      </c>
      <c r="C2223">
        <v>4.6575342465753428E-2</v>
      </c>
    </row>
    <row r="2224" spans="1:3" x14ac:dyDescent="0.25">
      <c r="A2224" t="s">
        <v>165</v>
      </c>
      <c r="B2224">
        <v>14</v>
      </c>
      <c r="C2224">
        <v>1.9178082191780823E-2</v>
      </c>
    </row>
    <row r="2225" spans="1:3" x14ac:dyDescent="0.25">
      <c r="A2225" t="s">
        <v>149</v>
      </c>
      <c r="B2225">
        <v>12</v>
      </c>
      <c r="C2225">
        <v>3.0136986301369864E-2</v>
      </c>
    </row>
    <row r="2226" spans="1:3" x14ac:dyDescent="0.25">
      <c r="A2226" t="s">
        <v>187</v>
      </c>
      <c r="B2226">
        <v>14</v>
      </c>
      <c r="C2226">
        <v>2.7397260273972601E-2</v>
      </c>
    </row>
    <row r="2227" spans="1:3" x14ac:dyDescent="0.25">
      <c r="A2227" t="s">
        <v>166</v>
      </c>
      <c r="B2227">
        <v>15</v>
      </c>
      <c r="C2227">
        <v>3.287671232876712E-2</v>
      </c>
    </row>
    <row r="2228" spans="1:3" x14ac:dyDescent="0.25">
      <c r="A2228" t="s">
        <v>205</v>
      </c>
      <c r="B2228">
        <v>10</v>
      </c>
      <c r="C2228">
        <v>1.643835616438356E-2</v>
      </c>
    </row>
    <row r="2229" spans="1:3" x14ac:dyDescent="0.25">
      <c r="A2229" t="s">
        <v>30</v>
      </c>
      <c r="B2229">
        <v>5</v>
      </c>
      <c r="C2229">
        <v>1.9178082191780823E-2</v>
      </c>
    </row>
    <row r="2230" spans="1:3" x14ac:dyDescent="0.25">
      <c r="A2230" t="s">
        <v>180</v>
      </c>
      <c r="B2230">
        <v>16</v>
      </c>
      <c r="C2230">
        <v>1.9178082191780823E-2</v>
      </c>
    </row>
    <row r="2231" spans="1:3" x14ac:dyDescent="0.25">
      <c r="A2231" t="s">
        <v>147</v>
      </c>
      <c r="B2231">
        <v>21</v>
      </c>
      <c r="C2231">
        <v>2.7397260273972601E-2</v>
      </c>
    </row>
    <row r="2232" spans="1:3" x14ac:dyDescent="0.25">
      <c r="A2232" t="s">
        <v>171</v>
      </c>
      <c r="B2232">
        <v>21</v>
      </c>
      <c r="C2232">
        <v>2.4657534246575342E-2</v>
      </c>
    </row>
    <row r="2233" spans="1:3" x14ac:dyDescent="0.25">
      <c r="A2233" t="s">
        <v>197</v>
      </c>
      <c r="B2233">
        <v>18</v>
      </c>
      <c r="C2233">
        <v>1.3698630136986301E-2</v>
      </c>
    </row>
    <row r="2234" spans="1:3" x14ac:dyDescent="0.25">
      <c r="A2234" t="s">
        <v>132</v>
      </c>
      <c r="B2234">
        <v>1</v>
      </c>
      <c r="C2234">
        <v>1.0958904109589041E-2</v>
      </c>
    </row>
    <row r="2235" spans="1:3" x14ac:dyDescent="0.25">
      <c r="A2235" t="s">
        <v>182</v>
      </c>
      <c r="B2235">
        <v>2</v>
      </c>
      <c r="C2235">
        <v>1.3698630136986301E-2</v>
      </c>
    </row>
    <row r="2236" spans="1:3" x14ac:dyDescent="0.25">
      <c r="A2236" t="s">
        <v>173</v>
      </c>
      <c r="B2236">
        <v>0</v>
      </c>
      <c r="C2236">
        <v>1.0958904109589041E-2</v>
      </c>
    </row>
    <row r="2237" spans="1:3" x14ac:dyDescent="0.25">
      <c r="A2237" t="s">
        <v>109</v>
      </c>
      <c r="B2237">
        <v>3</v>
      </c>
      <c r="C2237">
        <v>1.9178082191780823E-2</v>
      </c>
    </row>
    <row r="2238" spans="1:3" x14ac:dyDescent="0.25">
      <c r="A2238" t="s">
        <v>32</v>
      </c>
      <c r="B2238">
        <v>5</v>
      </c>
      <c r="C2238">
        <v>1.9178082191780823E-2</v>
      </c>
    </row>
    <row r="2239" spans="1:3" x14ac:dyDescent="0.25">
      <c r="A2239" t="s">
        <v>205</v>
      </c>
      <c r="B2239">
        <v>0</v>
      </c>
      <c r="C2239">
        <v>8.21917808219178E-3</v>
      </c>
    </row>
    <row r="2240" spans="1:3" x14ac:dyDescent="0.25">
      <c r="A2240" t="s">
        <v>108</v>
      </c>
      <c r="B2240">
        <v>10</v>
      </c>
      <c r="C2240">
        <v>2.1917808219178082E-2</v>
      </c>
    </row>
    <row r="2241" spans="1:3" x14ac:dyDescent="0.25">
      <c r="A2241" t="s">
        <v>100</v>
      </c>
      <c r="B2241">
        <v>10</v>
      </c>
      <c r="C2241">
        <v>1.9178082191780823E-2</v>
      </c>
    </row>
    <row r="2242" spans="1:3" x14ac:dyDescent="0.25">
      <c r="A2242" t="s">
        <v>131</v>
      </c>
      <c r="B2242">
        <v>13</v>
      </c>
      <c r="C2242">
        <v>4.1095890410958902E-2</v>
      </c>
    </row>
    <row r="2243" spans="1:3" x14ac:dyDescent="0.25">
      <c r="A2243" t="s">
        <v>45</v>
      </c>
      <c r="B2243">
        <v>13</v>
      </c>
      <c r="C2243">
        <v>3.0136986301369864E-2</v>
      </c>
    </row>
    <row r="2244" spans="1:3" x14ac:dyDescent="0.25">
      <c r="A2244" t="s">
        <v>153</v>
      </c>
      <c r="B2244">
        <v>21</v>
      </c>
      <c r="C2244">
        <v>3.8356164383561646E-2</v>
      </c>
    </row>
    <row r="2245" spans="1:3" x14ac:dyDescent="0.25">
      <c r="A2245" t="s">
        <v>199</v>
      </c>
      <c r="B2245">
        <v>21</v>
      </c>
      <c r="C2245">
        <v>1.3698630136986301E-2</v>
      </c>
    </row>
    <row r="2246" spans="1:3" x14ac:dyDescent="0.25">
      <c r="A2246" t="s">
        <v>185</v>
      </c>
      <c r="B2246">
        <v>20</v>
      </c>
      <c r="C2246">
        <v>2.1917808219178082E-2</v>
      </c>
    </row>
    <row r="2247" spans="1:3" x14ac:dyDescent="0.25">
      <c r="A2247" t="s">
        <v>127</v>
      </c>
      <c r="B2247">
        <v>23</v>
      </c>
      <c r="C2247">
        <v>2.4657534246575342E-2</v>
      </c>
    </row>
    <row r="2248" spans="1:3" x14ac:dyDescent="0.25">
      <c r="A2248" t="s">
        <v>123</v>
      </c>
      <c r="B2248">
        <v>17</v>
      </c>
      <c r="C2248">
        <v>1.643835616438356E-2</v>
      </c>
    </row>
    <row r="2249" spans="1:3" x14ac:dyDescent="0.25">
      <c r="A2249" t="s">
        <v>189</v>
      </c>
      <c r="B2249">
        <v>21</v>
      </c>
      <c r="C2249">
        <v>1.9178082191780823E-2</v>
      </c>
    </row>
    <row r="2250" spans="1:3" x14ac:dyDescent="0.25">
      <c r="A2250" t="s">
        <v>212</v>
      </c>
      <c r="B2250">
        <v>16</v>
      </c>
      <c r="C2250">
        <v>2.4657534246575342E-2</v>
      </c>
    </row>
    <row r="2251" spans="1:3" x14ac:dyDescent="0.25">
      <c r="A2251" t="s">
        <v>151</v>
      </c>
      <c r="B2251">
        <v>22</v>
      </c>
      <c r="C2251">
        <v>2.4657534246575342E-2</v>
      </c>
    </row>
    <row r="2252" spans="1:3" x14ac:dyDescent="0.25">
      <c r="A2252" t="s">
        <v>166</v>
      </c>
      <c r="B2252">
        <v>19</v>
      </c>
      <c r="C2252">
        <v>3.5616438356164383E-2</v>
      </c>
    </row>
    <row r="2253" spans="1:3" x14ac:dyDescent="0.25">
      <c r="A2253" t="s">
        <v>209</v>
      </c>
      <c r="B2253">
        <v>21</v>
      </c>
      <c r="C2253">
        <v>2.4657534246575342E-2</v>
      </c>
    </row>
    <row r="2254" spans="1:3" x14ac:dyDescent="0.25">
      <c r="A2254" t="s">
        <v>145</v>
      </c>
      <c r="B2254">
        <v>16</v>
      </c>
      <c r="C2254">
        <v>1.643835616438356E-2</v>
      </c>
    </row>
    <row r="2255" spans="1:3" x14ac:dyDescent="0.25">
      <c r="A2255" t="s">
        <v>199</v>
      </c>
      <c r="B2255">
        <v>20</v>
      </c>
      <c r="C2255">
        <v>1.3698630136986301E-2</v>
      </c>
    </row>
    <row r="2256" spans="1:3" x14ac:dyDescent="0.25">
      <c r="A2256" t="s">
        <v>216</v>
      </c>
      <c r="B2256">
        <v>21</v>
      </c>
      <c r="C2256">
        <v>1.643835616438356E-2</v>
      </c>
    </row>
    <row r="2257" spans="1:3" x14ac:dyDescent="0.25">
      <c r="A2257" t="s">
        <v>195</v>
      </c>
      <c r="B2257">
        <v>5</v>
      </c>
      <c r="C2257">
        <v>1.0958904109589041E-2</v>
      </c>
    </row>
    <row r="2258" spans="1:3" x14ac:dyDescent="0.25">
      <c r="A2258" t="s">
        <v>152</v>
      </c>
      <c r="B2258">
        <v>6</v>
      </c>
      <c r="C2258">
        <v>1.643835616438356E-2</v>
      </c>
    </row>
    <row r="2259" spans="1:3" x14ac:dyDescent="0.25">
      <c r="A2259" t="s">
        <v>106</v>
      </c>
      <c r="B2259">
        <v>4</v>
      </c>
      <c r="C2259">
        <v>5.4794520547945206E-3</v>
      </c>
    </row>
    <row r="2260" spans="1:3" x14ac:dyDescent="0.25">
      <c r="A2260" t="s">
        <v>159</v>
      </c>
      <c r="B2260">
        <v>0</v>
      </c>
      <c r="C2260">
        <v>1.0958904109589041E-2</v>
      </c>
    </row>
    <row r="2261" spans="1:3" x14ac:dyDescent="0.25">
      <c r="A2261" t="s">
        <v>79</v>
      </c>
      <c r="B2261">
        <v>0</v>
      </c>
      <c r="C2261">
        <v>1.0958904109589041E-2</v>
      </c>
    </row>
    <row r="2262" spans="1:3" x14ac:dyDescent="0.25">
      <c r="A2262" t="s">
        <v>129</v>
      </c>
      <c r="B2262">
        <v>2</v>
      </c>
      <c r="C2262">
        <v>1.3698630136986301E-2</v>
      </c>
    </row>
    <row r="2263" spans="1:3" x14ac:dyDescent="0.25">
      <c r="A2263" t="s">
        <v>130</v>
      </c>
      <c r="B2263">
        <v>5</v>
      </c>
      <c r="C2263">
        <v>2.7397260273972601E-2</v>
      </c>
    </row>
    <row r="2264" spans="1:3" x14ac:dyDescent="0.25">
      <c r="A2264" t="s">
        <v>71</v>
      </c>
      <c r="B2264">
        <v>6</v>
      </c>
      <c r="C2264">
        <v>1.3698630136986301E-2</v>
      </c>
    </row>
    <row r="2265" spans="1:3" x14ac:dyDescent="0.25">
      <c r="A2265" t="s">
        <v>83</v>
      </c>
      <c r="B2265">
        <v>0</v>
      </c>
      <c r="C2265">
        <v>8.21917808219178E-3</v>
      </c>
    </row>
    <row r="2266" spans="1:3" x14ac:dyDescent="0.25">
      <c r="A2266" t="s">
        <v>207</v>
      </c>
      <c r="B2266">
        <v>7</v>
      </c>
      <c r="C2266">
        <v>1.0958904109589041E-2</v>
      </c>
    </row>
    <row r="2267" spans="1:3" x14ac:dyDescent="0.25">
      <c r="A2267" t="s">
        <v>113</v>
      </c>
      <c r="B2267">
        <v>1</v>
      </c>
      <c r="C2267">
        <v>1.0958904109589041E-2</v>
      </c>
    </row>
    <row r="2268" spans="1:3" x14ac:dyDescent="0.25">
      <c r="A2268" t="s">
        <v>182</v>
      </c>
      <c r="B2268">
        <v>0</v>
      </c>
      <c r="C2268">
        <v>1.3698630136986301E-2</v>
      </c>
    </row>
    <row r="2269" spans="1:3" x14ac:dyDescent="0.25">
      <c r="A2269" t="s">
        <v>161</v>
      </c>
      <c r="B2269">
        <v>11</v>
      </c>
      <c r="C2269">
        <v>1.9178082191780823E-2</v>
      </c>
    </row>
    <row r="2270" spans="1:3" x14ac:dyDescent="0.25">
      <c r="A2270" t="s">
        <v>227</v>
      </c>
      <c r="B2270">
        <v>8</v>
      </c>
      <c r="C2270">
        <v>1.9178082191780823E-2</v>
      </c>
    </row>
    <row r="2271" spans="1:3" x14ac:dyDescent="0.25">
      <c r="A2271" t="s">
        <v>212</v>
      </c>
      <c r="B2271">
        <v>13</v>
      </c>
      <c r="C2271">
        <v>1.643835616438356E-2</v>
      </c>
    </row>
    <row r="2272" spans="1:3" x14ac:dyDescent="0.25">
      <c r="A2272" t="s">
        <v>173</v>
      </c>
      <c r="B2272">
        <v>13</v>
      </c>
      <c r="C2272">
        <v>1.9178082191780823E-2</v>
      </c>
    </row>
    <row r="2273" spans="1:3" x14ac:dyDescent="0.25">
      <c r="A2273" t="s">
        <v>222</v>
      </c>
      <c r="B2273">
        <v>8</v>
      </c>
      <c r="C2273">
        <v>1.9178082191780823E-2</v>
      </c>
    </row>
    <row r="2274" spans="1:3" x14ac:dyDescent="0.25">
      <c r="A2274" t="s">
        <v>217</v>
      </c>
      <c r="B2274">
        <v>13</v>
      </c>
      <c r="C2274">
        <v>1.9178082191780823E-2</v>
      </c>
    </row>
    <row r="2275" spans="1:3" x14ac:dyDescent="0.25">
      <c r="A2275" t="s">
        <v>158</v>
      </c>
      <c r="B2275">
        <v>13</v>
      </c>
      <c r="C2275">
        <v>3.0136986301369864E-2</v>
      </c>
    </row>
    <row r="2276" spans="1:3" x14ac:dyDescent="0.25">
      <c r="A2276" t="s">
        <v>201</v>
      </c>
      <c r="B2276">
        <v>12</v>
      </c>
      <c r="C2276">
        <v>2.7397260273972601E-2</v>
      </c>
    </row>
    <row r="2277" spans="1:3" x14ac:dyDescent="0.25">
      <c r="A2277" t="s">
        <v>97</v>
      </c>
      <c r="B2277">
        <v>8</v>
      </c>
      <c r="C2277">
        <v>1.643835616438356E-2</v>
      </c>
    </row>
    <row r="2278" spans="1:3" x14ac:dyDescent="0.25">
      <c r="A2278" t="s">
        <v>191</v>
      </c>
      <c r="B2278">
        <v>14</v>
      </c>
      <c r="C2278">
        <v>1.9178082191780823E-2</v>
      </c>
    </row>
    <row r="2279" spans="1:3" x14ac:dyDescent="0.25">
      <c r="A2279" t="s">
        <v>177</v>
      </c>
      <c r="B2279">
        <v>15</v>
      </c>
      <c r="C2279">
        <v>1.643835616438356E-2</v>
      </c>
    </row>
    <row r="2280" spans="1:3" x14ac:dyDescent="0.25">
      <c r="A2280" t="s">
        <v>113</v>
      </c>
      <c r="B2280">
        <v>22</v>
      </c>
      <c r="C2280">
        <v>1.3698630136986301E-2</v>
      </c>
    </row>
    <row r="2281" spans="1:3" x14ac:dyDescent="0.25">
      <c r="A2281" t="s">
        <v>191</v>
      </c>
      <c r="B2281">
        <v>21</v>
      </c>
      <c r="C2281">
        <v>1.9178082191780823E-2</v>
      </c>
    </row>
    <row r="2282" spans="1:3" x14ac:dyDescent="0.25">
      <c r="A2282" t="s">
        <v>169</v>
      </c>
      <c r="B2282">
        <v>16</v>
      </c>
      <c r="C2282">
        <v>2.1917808219178082E-2</v>
      </c>
    </row>
    <row r="2283" spans="1:3" x14ac:dyDescent="0.25">
      <c r="A2283" t="s">
        <v>99</v>
      </c>
      <c r="B2283">
        <v>20</v>
      </c>
      <c r="C2283">
        <v>3.8356164383561646E-2</v>
      </c>
    </row>
    <row r="2284" spans="1:3" x14ac:dyDescent="0.25">
      <c r="A2284" t="s">
        <v>119</v>
      </c>
      <c r="B2284">
        <v>20</v>
      </c>
      <c r="C2284">
        <v>1.9178082191780823E-2</v>
      </c>
    </row>
    <row r="2285" spans="1:3" x14ac:dyDescent="0.25">
      <c r="A2285" t="s">
        <v>221</v>
      </c>
      <c r="B2285">
        <v>19</v>
      </c>
      <c r="C2285">
        <v>3.5616438356164383E-2</v>
      </c>
    </row>
    <row r="2286" spans="1:3" x14ac:dyDescent="0.25">
      <c r="A2286" t="s">
        <v>180</v>
      </c>
      <c r="B2286">
        <v>19</v>
      </c>
      <c r="C2286">
        <v>1.9178082191780823E-2</v>
      </c>
    </row>
    <row r="2287" spans="1:3" x14ac:dyDescent="0.25">
      <c r="A2287" t="s">
        <v>174</v>
      </c>
      <c r="B2287">
        <v>23</v>
      </c>
      <c r="C2287">
        <v>3.5616438356164383E-2</v>
      </c>
    </row>
    <row r="2288" spans="1:3" x14ac:dyDescent="0.25">
      <c r="A2288" t="s">
        <v>121</v>
      </c>
      <c r="B2288">
        <v>5</v>
      </c>
      <c r="C2288">
        <v>1.3698630136986301E-2</v>
      </c>
    </row>
    <row r="2289" spans="1:3" x14ac:dyDescent="0.25">
      <c r="A2289" t="s">
        <v>109</v>
      </c>
      <c r="B2289">
        <v>2</v>
      </c>
      <c r="C2289">
        <v>1.643835616438356E-2</v>
      </c>
    </row>
    <row r="2290" spans="1:3" x14ac:dyDescent="0.25">
      <c r="A2290" t="s">
        <v>160</v>
      </c>
      <c r="B2290">
        <v>1</v>
      </c>
      <c r="C2290">
        <v>1.9178082191780823E-2</v>
      </c>
    </row>
    <row r="2291" spans="1:3" x14ac:dyDescent="0.25">
      <c r="A2291" t="s">
        <v>160</v>
      </c>
      <c r="B2291">
        <v>0</v>
      </c>
      <c r="C2291">
        <v>1.9178082191780823E-2</v>
      </c>
    </row>
    <row r="2292" spans="1:3" x14ac:dyDescent="0.25">
      <c r="A2292" t="s">
        <v>214</v>
      </c>
      <c r="B2292">
        <v>7</v>
      </c>
      <c r="C2292">
        <v>1.3698630136986301E-2</v>
      </c>
    </row>
    <row r="2293" spans="1:3" x14ac:dyDescent="0.25">
      <c r="A2293" t="s">
        <v>139</v>
      </c>
      <c r="B2293">
        <v>14</v>
      </c>
      <c r="C2293">
        <v>3.0136986301369864E-2</v>
      </c>
    </row>
    <row r="2294" spans="1:3" x14ac:dyDescent="0.25">
      <c r="A2294" t="s">
        <v>174</v>
      </c>
      <c r="B2294">
        <v>14</v>
      </c>
      <c r="C2294">
        <v>5.2054794520547946E-2</v>
      </c>
    </row>
    <row r="2295" spans="1:3" x14ac:dyDescent="0.25">
      <c r="A2295" t="s">
        <v>221</v>
      </c>
      <c r="B2295">
        <v>11</v>
      </c>
      <c r="C2295">
        <v>3.0136986301369864E-2</v>
      </c>
    </row>
    <row r="2296" spans="1:3" x14ac:dyDescent="0.25">
      <c r="A2296" t="s">
        <v>163</v>
      </c>
      <c r="B2296">
        <v>11</v>
      </c>
      <c r="C2296">
        <v>2.7397260273972601E-2</v>
      </c>
    </row>
    <row r="2297" spans="1:3" x14ac:dyDescent="0.25">
      <c r="A2297" t="s">
        <v>188</v>
      </c>
      <c r="B2297">
        <v>14</v>
      </c>
      <c r="C2297">
        <v>1.9178082191780823E-2</v>
      </c>
    </row>
    <row r="2298" spans="1:3" x14ac:dyDescent="0.25">
      <c r="A2298" t="s">
        <v>154</v>
      </c>
      <c r="B2298">
        <v>12</v>
      </c>
      <c r="C2298">
        <v>1.3698630136986301E-2</v>
      </c>
    </row>
    <row r="2299" spans="1:3" x14ac:dyDescent="0.25">
      <c r="A2299" t="s">
        <v>165</v>
      </c>
      <c r="B2299">
        <v>10</v>
      </c>
      <c r="C2299">
        <v>1.9178082191780823E-2</v>
      </c>
    </row>
    <row r="2300" spans="1:3" x14ac:dyDescent="0.25">
      <c r="A2300" t="s">
        <v>98</v>
      </c>
      <c r="B2300">
        <v>18</v>
      </c>
      <c r="C2300">
        <v>1.643835616438356E-2</v>
      </c>
    </row>
    <row r="2301" spans="1:3" x14ac:dyDescent="0.25">
      <c r="A2301" t="s">
        <v>158</v>
      </c>
      <c r="B2301">
        <v>20</v>
      </c>
      <c r="C2301">
        <v>1.9178082191780823E-2</v>
      </c>
    </row>
    <row r="2302" spans="1:3" x14ac:dyDescent="0.25">
      <c r="A2302" t="s">
        <v>174</v>
      </c>
      <c r="B2302">
        <v>22</v>
      </c>
      <c r="C2302">
        <v>3.5616438356164383E-2</v>
      </c>
    </row>
    <row r="2303" spans="1:3" x14ac:dyDescent="0.25">
      <c r="A2303" t="s">
        <v>220</v>
      </c>
      <c r="B2303">
        <v>16</v>
      </c>
      <c r="C2303">
        <v>1.3698630136986301E-2</v>
      </c>
    </row>
    <row r="2304" spans="1:3" x14ac:dyDescent="0.25">
      <c r="A2304" t="s">
        <v>102</v>
      </c>
      <c r="B2304">
        <v>22</v>
      </c>
      <c r="C2304">
        <v>2.1917808219178082E-2</v>
      </c>
    </row>
    <row r="2305" spans="1:3" x14ac:dyDescent="0.25">
      <c r="A2305" t="s">
        <v>149</v>
      </c>
      <c r="B2305">
        <v>20</v>
      </c>
      <c r="C2305">
        <v>2.1917808219178082E-2</v>
      </c>
    </row>
    <row r="2306" spans="1:3" x14ac:dyDescent="0.25">
      <c r="A2306" t="s">
        <v>202</v>
      </c>
      <c r="B2306">
        <v>22</v>
      </c>
      <c r="C2306">
        <v>2.4657534246575342E-2</v>
      </c>
    </row>
    <row r="2307" spans="1:3" x14ac:dyDescent="0.25">
      <c r="A2307" t="s">
        <v>133</v>
      </c>
      <c r="B2307">
        <v>23</v>
      </c>
      <c r="C2307">
        <v>4.1095890410958902E-2</v>
      </c>
    </row>
    <row r="2308" spans="1:3" x14ac:dyDescent="0.25">
      <c r="A2308" t="s">
        <v>21</v>
      </c>
      <c r="B2308">
        <v>4</v>
      </c>
      <c r="C2308">
        <v>1.9178082191780823E-2</v>
      </c>
    </row>
    <row r="2309" spans="1:3" x14ac:dyDescent="0.25">
      <c r="A2309" t="s">
        <v>116</v>
      </c>
      <c r="B2309">
        <v>2</v>
      </c>
      <c r="C2309">
        <v>1.3698630136986301E-2</v>
      </c>
    </row>
    <row r="2310" spans="1:3" x14ac:dyDescent="0.25">
      <c r="A2310" t="s">
        <v>111</v>
      </c>
      <c r="B2310">
        <v>7</v>
      </c>
      <c r="C2310">
        <v>2.7397260273972601E-2</v>
      </c>
    </row>
    <row r="2311" spans="1:3" x14ac:dyDescent="0.25">
      <c r="A2311" t="s">
        <v>123</v>
      </c>
      <c r="B2311">
        <v>0</v>
      </c>
      <c r="C2311">
        <v>8.21917808219178E-3</v>
      </c>
    </row>
    <row r="2312" spans="1:3" x14ac:dyDescent="0.25">
      <c r="A2312" t="s">
        <v>186</v>
      </c>
      <c r="B2312">
        <v>8</v>
      </c>
      <c r="C2312">
        <v>1.9178082191780823E-2</v>
      </c>
    </row>
    <row r="2313" spans="1:3" x14ac:dyDescent="0.25">
      <c r="A2313" t="s">
        <v>222</v>
      </c>
      <c r="B2313">
        <v>15</v>
      </c>
      <c r="C2313">
        <v>1.643835616438356E-2</v>
      </c>
    </row>
    <row r="2314" spans="1:3" x14ac:dyDescent="0.25">
      <c r="A2314" t="s">
        <v>193</v>
      </c>
      <c r="B2314">
        <v>13</v>
      </c>
      <c r="C2314">
        <v>1.643835616438356E-2</v>
      </c>
    </row>
    <row r="2315" spans="1:3" x14ac:dyDescent="0.25">
      <c r="A2315" t="s">
        <v>161</v>
      </c>
      <c r="B2315">
        <v>15</v>
      </c>
      <c r="C2315">
        <v>1.9178082191780823E-2</v>
      </c>
    </row>
    <row r="2316" spans="1:3" x14ac:dyDescent="0.25">
      <c r="A2316" t="s">
        <v>168</v>
      </c>
      <c r="B2316">
        <v>22</v>
      </c>
      <c r="C2316">
        <v>2.4657534246575342E-2</v>
      </c>
    </row>
    <row r="2317" spans="1:3" x14ac:dyDescent="0.25">
      <c r="A2317" t="s">
        <v>152</v>
      </c>
      <c r="B2317">
        <v>1</v>
      </c>
      <c r="C2317">
        <v>1.3698630136986301E-2</v>
      </c>
    </row>
    <row r="2318" spans="1:3" x14ac:dyDescent="0.25">
      <c r="A2318" t="s">
        <v>148</v>
      </c>
      <c r="B2318">
        <v>7</v>
      </c>
      <c r="C2318">
        <v>1.0958904109589041E-2</v>
      </c>
    </row>
    <row r="2319" spans="1:3" x14ac:dyDescent="0.25">
      <c r="A2319" t="s">
        <v>115</v>
      </c>
      <c r="B2319">
        <v>6</v>
      </c>
      <c r="C2319">
        <v>1.3698630136986301E-2</v>
      </c>
    </row>
    <row r="2320" spans="1:3" x14ac:dyDescent="0.25">
      <c r="A2320" t="s">
        <v>34</v>
      </c>
      <c r="B2320">
        <v>2</v>
      </c>
      <c r="C2320">
        <v>1.9178082191780823E-2</v>
      </c>
    </row>
    <row r="2321" spans="1:3" x14ac:dyDescent="0.25">
      <c r="A2321" t="s">
        <v>104</v>
      </c>
      <c r="B2321">
        <v>3</v>
      </c>
      <c r="C2321">
        <v>8.21917808219178E-3</v>
      </c>
    </row>
    <row r="2322" spans="1:3" x14ac:dyDescent="0.25">
      <c r="A2322" t="s">
        <v>95</v>
      </c>
      <c r="B2322">
        <v>5</v>
      </c>
      <c r="C2322">
        <v>2.4657534246575342E-2</v>
      </c>
    </row>
    <row r="2323" spans="1:3" x14ac:dyDescent="0.25">
      <c r="A2323" t="s">
        <v>21</v>
      </c>
      <c r="B2323">
        <v>1</v>
      </c>
      <c r="C2323">
        <v>1.9178082191780823E-2</v>
      </c>
    </row>
    <row r="2324" spans="1:3" x14ac:dyDescent="0.25">
      <c r="A2324" t="s">
        <v>153</v>
      </c>
      <c r="B2324">
        <v>6</v>
      </c>
      <c r="C2324">
        <v>1.9178082191780823E-2</v>
      </c>
    </row>
    <row r="2325" spans="1:3" x14ac:dyDescent="0.25">
      <c r="A2325" t="s">
        <v>34</v>
      </c>
      <c r="B2325">
        <v>6</v>
      </c>
      <c r="C2325">
        <v>1.9178082191780823E-2</v>
      </c>
    </row>
    <row r="2326" spans="1:3" x14ac:dyDescent="0.25">
      <c r="A2326" t="s">
        <v>98</v>
      </c>
      <c r="B2326">
        <v>14</v>
      </c>
      <c r="C2326">
        <v>1.643835616438356E-2</v>
      </c>
    </row>
    <row r="2327" spans="1:3" x14ac:dyDescent="0.25">
      <c r="A2327" t="s">
        <v>204</v>
      </c>
      <c r="B2327">
        <v>13</v>
      </c>
      <c r="C2327">
        <v>1.643835616438356E-2</v>
      </c>
    </row>
    <row r="2328" spans="1:3" x14ac:dyDescent="0.25">
      <c r="A2328" t="s">
        <v>45</v>
      </c>
      <c r="B2328">
        <v>12</v>
      </c>
      <c r="C2328">
        <v>3.0136986301369864E-2</v>
      </c>
    </row>
    <row r="2329" spans="1:3" x14ac:dyDescent="0.25">
      <c r="A2329" t="s">
        <v>169</v>
      </c>
      <c r="B2329">
        <v>12</v>
      </c>
      <c r="C2329">
        <v>2.4657534246575342E-2</v>
      </c>
    </row>
    <row r="2330" spans="1:3" x14ac:dyDescent="0.25">
      <c r="A2330" t="s">
        <v>217</v>
      </c>
      <c r="B2330">
        <v>11</v>
      </c>
      <c r="C2330">
        <v>1.643835616438356E-2</v>
      </c>
    </row>
    <row r="2331" spans="1:3" x14ac:dyDescent="0.25">
      <c r="A2331" t="s">
        <v>212</v>
      </c>
      <c r="B2331">
        <v>11</v>
      </c>
      <c r="C2331">
        <v>1.643835616438356E-2</v>
      </c>
    </row>
    <row r="2332" spans="1:3" x14ac:dyDescent="0.25">
      <c r="A2332" t="s">
        <v>220</v>
      </c>
      <c r="B2332">
        <v>8</v>
      </c>
      <c r="C2332">
        <v>1.3698630136986301E-2</v>
      </c>
    </row>
    <row r="2333" spans="1:3" x14ac:dyDescent="0.25">
      <c r="A2333" t="s">
        <v>172</v>
      </c>
      <c r="B2333">
        <v>11</v>
      </c>
      <c r="C2333">
        <v>1.643835616438356E-2</v>
      </c>
    </row>
    <row r="2334" spans="1:3" x14ac:dyDescent="0.25">
      <c r="A2334" t="s">
        <v>216</v>
      </c>
      <c r="B2334">
        <v>10</v>
      </c>
      <c r="C2334">
        <v>1.643835616438356E-2</v>
      </c>
    </row>
    <row r="2335" spans="1:3" x14ac:dyDescent="0.25">
      <c r="A2335" t="s">
        <v>210</v>
      </c>
      <c r="B2335">
        <v>17</v>
      </c>
      <c r="C2335">
        <v>1.643835616438356E-2</v>
      </c>
    </row>
    <row r="2336" spans="1:3" x14ac:dyDescent="0.25">
      <c r="A2336" t="s">
        <v>223</v>
      </c>
      <c r="B2336">
        <v>21</v>
      </c>
      <c r="C2336">
        <v>1.3698630136986301E-2</v>
      </c>
    </row>
    <row r="2337" spans="1:3" x14ac:dyDescent="0.25">
      <c r="A2337" t="s">
        <v>206</v>
      </c>
      <c r="B2337">
        <v>16</v>
      </c>
      <c r="C2337">
        <v>1.3698630136986301E-2</v>
      </c>
    </row>
    <row r="2338" spans="1:3" x14ac:dyDescent="0.25">
      <c r="A2338" t="s">
        <v>100</v>
      </c>
      <c r="B2338">
        <v>23</v>
      </c>
      <c r="C2338">
        <v>1.9178082191780823E-2</v>
      </c>
    </row>
    <row r="2339" spans="1:3" x14ac:dyDescent="0.25">
      <c r="A2339" t="s">
        <v>147</v>
      </c>
      <c r="B2339">
        <v>19</v>
      </c>
      <c r="C2339">
        <v>1.9178082191780823E-2</v>
      </c>
    </row>
    <row r="2340" spans="1:3" x14ac:dyDescent="0.25">
      <c r="A2340" t="s">
        <v>170</v>
      </c>
      <c r="B2340">
        <v>22</v>
      </c>
      <c r="C2340">
        <v>2.1917808219178082E-2</v>
      </c>
    </row>
    <row r="2341" spans="1:3" x14ac:dyDescent="0.25">
      <c r="A2341" t="s">
        <v>176</v>
      </c>
      <c r="B2341">
        <v>20</v>
      </c>
      <c r="C2341">
        <v>1.643835616438356E-2</v>
      </c>
    </row>
    <row r="2342" spans="1:3" x14ac:dyDescent="0.25">
      <c r="A2342" t="s">
        <v>28</v>
      </c>
      <c r="B2342">
        <v>5</v>
      </c>
      <c r="C2342">
        <v>1.643835616438356E-2</v>
      </c>
    </row>
    <row r="2343" spans="1:3" x14ac:dyDescent="0.25">
      <c r="A2343" t="s">
        <v>125</v>
      </c>
      <c r="B2343">
        <v>2</v>
      </c>
      <c r="C2343">
        <v>1.643835616438356E-2</v>
      </c>
    </row>
    <row r="2344" spans="1:3" x14ac:dyDescent="0.25">
      <c r="A2344" t="s">
        <v>197</v>
      </c>
      <c r="B2344">
        <v>0</v>
      </c>
      <c r="C2344">
        <v>8.21917808219178E-3</v>
      </c>
    </row>
    <row r="2345" spans="1:3" x14ac:dyDescent="0.25">
      <c r="A2345" t="s">
        <v>112</v>
      </c>
      <c r="B2345">
        <v>1</v>
      </c>
      <c r="C2345">
        <v>1.3698630136986301E-2</v>
      </c>
    </row>
    <row r="2346" spans="1:3" x14ac:dyDescent="0.25">
      <c r="A2346" t="s">
        <v>70</v>
      </c>
      <c r="B2346">
        <v>2</v>
      </c>
      <c r="C2346">
        <v>8.21917808219178E-3</v>
      </c>
    </row>
    <row r="2347" spans="1:3" x14ac:dyDescent="0.25">
      <c r="A2347" t="s">
        <v>101</v>
      </c>
      <c r="B2347">
        <v>3</v>
      </c>
      <c r="C2347">
        <v>8.21917808219178E-3</v>
      </c>
    </row>
    <row r="2348" spans="1:3" x14ac:dyDescent="0.25">
      <c r="A2348" t="s">
        <v>122</v>
      </c>
      <c r="B2348">
        <v>2</v>
      </c>
      <c r="C2348">
        <v>1.3698630136986301E-2</v>
      </c>
    </row>
    <row r="2349" spans="1:3" x14ac:dyDescent="0.25">
      <c r="A2349" t="s">
        <v>156</v>
      </c>
      <c r="B2349">
        <v>2</v>
      </c>
      <c r="C2349">
        <v>1.643835616438356E-2</v>
      </c>
    </row>
    <row r="2350" spans="1:3" x14ac:dyDescent="0.25">
      <c r="A2350" t="s">
        <v>194</v>
      </c>
      <c r="B2350">
        <v>6</v>
      </c>
      <c r="C2350">
        <v>1.0958904109589041E-2</v>
      </c>
    </row>
    <row r="2351" spans="1:3" x14ac:dyDescent="0.25">
      <c r="A2351" t="s">
        <v>83</v>
      </c>
      <c r="B2351">
        <v>10</v>
      </c>
      <c r="C2351">
        <v>1.643835616438356E-2</v>
      </c>
    </row>
    <row r="2352" spans="1:3" x14ac:dyDescent="0.25">
      <c r="A2352" t="s">
        <v>164</v>
      </c>
      <c r="B2352">
        <v>8</v>
      </c>
      <c r="C2352">
        <v>4.6575342465753428E-2</v>
      </c>
    </row>
    <row r="2353" spans="1:3" x14ac:dyDescent="0.25">
      <c r="A2353" t="s">
        <v>179</v>
      </c>
      <c r="B2353">
        <v>14</v>
      </c>
      <c r="C2353">
        <v>1.643835616438356E-2</v>
      </c>
    </row>
    <row r="2354" spans="1:3" x14ac:dyDescent="0.25">
      <c r="A2354" t="s">
        <v>85</v>
      </c>
      <c r="B2354">
        <v>8</v>
      </c>
      <c r="C2354">
        <v>1.643835616438356E-2</v>
      </c>
    </row>
    <row r="2355" spans="1:3" x14ac:dyDescent="0.25">
      <c r="A2355" t="s">
        <v>208</v>
      </c>
      <c r="B2355">
        <v>13</v>
      </c>
      <c r="C2355">
        <v>1.643835616438356E-2</v>
      </c>
    </row>
    <row r="2356" spans="1:3" x14ac:dyDescent="0.25">
      <c r="A2356" t="s">
        <v>226</v>
      </c>
      <c r="B2356">
        <v>18</v>
      </c>
      <c r="C2356">
        <v>1.643835616438356E-2</v>
      </c>
    </row>
    <row r="2357" spans="1:3" x14ac:dyDescent="0.25">
      <c r="A2357" t="s">
        <v>167</v>
      </c>
      <c r="B2357">
        <v>21</v>
      </c>
      <c r="C2357">
        <v>1.9178082191780823E-2</v>
      </c>
    </row>
    <row r="2358" spans="1:3" x14ac:dyDescent="0.25">
      <c r="A2358" t="s">
        <v>45</v>
      </c>
      <c r="B2358">
        <v>20</v>
      </c>
      <c r="C2358">
        <v>1.9178082191780823E-2</v>
      </c>
    </row>
    <row r="2359" spans="1:3" x14ac:dyDescent="0.25">
      <c r="A2359" t="s">
        <v>217</v>
      </c>
      <c r="B2359">
        <v>21</v>
      </c>
      <c r="C2359">
        <v>1.3698630136986301E-2</v>
      </c>
    </row>
    <row r="2360" spans="1:3" x14ac:dyDescent="0.25">
      <c r="A2360" t="s">
        <v>201</v>
      </c>
      <c r="B2360">
        <v>17</v>
      </c>
      <c r="C2360">
        <v>3.0136986301369864E-2</v>
      </c>
    </row>
    <row r="2361" spans="1:3" x14ac:dyDescent="0.25">
      <c r="A2361" t="s">
        <v>137</v>
      </c>
      <c r="B2361">
        <v>16</v>
      </c>
      <c r="C2361">
        <v>1.643835616438356E-2</v>
      </c>
    </row>
    <row r="2362" spans="1:3" x14ac:dyDescent="0.25">
      <c r="A2362" t="s">
        <v>158</v>
      </c>
      <c r="B2362">
        <v>0</v>
      </c>
      <c r="C2362">
        <v>1.643835616438356E-2</v>
      </c>
    </row>
    <row r="2363" spans="1:3" x14ac:dyDescent="0.25">
      <c r="A2363" t="s">
        <v>170</v>
      </c>
      <c r="B2363">
        <v>1</v>
      </c>
      <c r="C2363">
        <v>2.1917808219178082E-2</v>
      </c>
    </row>
    <row r="2364" spans="1:3" x14ac:dyDescent="0.25">
      <c r="A2364" t="s">
        <v>182</v>
      </c>
      <c r="B2364">
        <v>1</v>
      </c>
      <c r="C2364">
        <v>1.3698630136986301E-2</v>
      </c>
    </row>
    <row r="2365" spans="1:3" x14ac:dyDescent="0.25">
      <c r="A2365" t="s">
        <v>129</v>
      </c>
      <c r="B2365">
        <v>3</v>
      </c>
      <c r="C2365">
        <v>1.3698630136986301E-2</v>
      </c>
    </row>
    <row r="2366" spans="1:3" x14ac:dyDescent="0.25">
      <c r="A2366" t="s">
        <v>108</v>
      </c>
      <c r="B2366">
        <v>1</v>
      </c>
      <c r="C2366">
        <v>1.0958904109589041E-2</v>
      </c>
    </row>
    <row r="2367" spans="1:3" x14ac:dyDescent="0.25">
      <c r="A2367" t="s">
        <v>100</v>
      </c>
      <c r="B2367">
        <v>0</v>
      </c>
      <c r="C2367">
        <v>1.0958904109589041E-2</v>
      </c>
    </row>
    <row r="2368" spans="1:3" x14ac:dyDescent="0.25">
      <c r="A2368" t="s">
        <v>32</v>
      </c>
      <c r="B2368">
        <v>4</v>
      </c>
      <c r="C2368">
        <v>1.643835616438356E-2</v>
      </c>
    </row>
    <row r="2369" spans="1:3" x14ac:dyDescent="0.25">
      <c r="A2369" t="s">
        <v>225</v>
      </c>
      <c r="B2369">
        <v>9</v>
      </c>
      <c r="C2369">
        <v>1.643835616438356E-2</v>
      </c>
    </row>
    <row r="2370" spans="1:3" x14ac:dyDescent="0.25">
      <c r="A2370" t="s">
        <v>197</v>
      </c>
      <c r="B2370">
        <v>10</v>
      </c>
      <c r="C2370">
        <v>1.3698630136986301E-2</v>
      </c>
    </row>
    <row r="2371" spans="1:3" x14ac:dyDescent="0.25">
      <c r="A2371" t="s">
        <v>113</v>
      </c>
      <c r="B2371">
        <v>10</v>
      </c>
      <c r="C2371">
        <v>1.3698630136986301E-2</v>
      </c>
    </row>
    <row r="2372" spans="1:3" x14ac:dyDescent="0.25">
      <c r="A2372" t="s">
        <v>198</v>
      </c>
      <c r="B2372">
        <v>9</v>
      </c>
      <c r="C2372">
        <v>1.643835616438356E-2</v>
      </c>
    </row>
    <row r="2373" spans="1:3" x14ac:dyDescent="0.25">
      <c r="A2373" t="s">
        <v>124</v>
      </c>
      <c r="B2373">
        <v>13</v>
      </c>
      <c r="C2373">
        <v>1.3698630136986301E-2</v>
      </c>
    </row>
    <row r="2374" spans="1:3" x14ac:dyDescent="0.25">
      <c r="A2374" t="s">
        <v>140</v>
      </c>
      <c r="B2374">
        <v>13</v>
      </c>
      <c r="C2374">
        <v>1.3698630136986301E-2</v>
      </c>
    </row>
    <row r="2375" spans="1:3" x14ac:dyDescent="0.25">
      <c r="A2375" t="s">
        <v>215</v>
      </c>
      <c r="B2375">
        <v>9</v>
      </c>
      <c r="C2375">
        <v>1.3698630136986301E-2</v>
      </c>
    </row>
    <row r="2376" spans="1:3" x14ac:dyDescent="0.25">
      <c r="A2376" t="s">
        <v>158</v>
      </c>
      <c r="B2376">
        <v>15</v>
      </c>
      <c r="C2376">
        <v>2.7397260273972601E-2</v>
      </c>
    </row>
    <row r="2377" spans="1:3" x14ac:dyDescent="0.25">
      <c r="A2377" t="s">
        <v>206</v>
      </c>
      <c r="B2377">
        <v>14</v>
      </c>
      <c r="C2377">
        <v>1.3698630136986301E-2</v>
      </c>
    </row>
    <row r="2378" spans="1:3" x14ac:dyDescent="0.25">
      <c r="A2378" t="s">
        <v>140</v>
      </c>
      <c r="B2378">
        <v>9</v>
      </c>
      <c r="C2378">
        <v>1.3698630136986301E-2</v>
      </c>
    </row>
    <row r="2379" spans="1:3" x14ac:dyDescent="0.25">
      <c r="A2379" t="s">
        <v>192</v>
      </c>
      <c r="B2379">
        <v>16</v>
      </c>
      <c r="C2379">
        <v>1.643835616438356E-2</v>
      </c>
    </row>
    <row r="2380" spans="1:3" x14ac:dyDescent="0.25">
      <c r="A2380" t="s">
        <v>218</v>
      </c>
      <c r="B2380">
        <v>16</v>
      </c>
      <c r="C2380">
        <v>1.3698630136986301E-2</v>
      </c>
    </row>
    <row r="2381" spans="1:3" x14ac:dyDescent="0.25">
      <c r="A2381" t="s">
        <v>218</v>
      </c>
      <c r="B2381">
        <v>0</v>
      </c>
      <c r="C2381">
        <v>8.21917808219178E-3</v>
      </c>
    </row>
    <row r="2382" spans="1:3" x14ac:dyDescent="0.25">
      <c r="A2382" t="s">
        <v>65</v>
      </c>
      <c r="B2382">
        <v>4</v>
      </c>
      <c r="C2382">
        <v>1.3698630136986301E-2</v>
      </c>
    </row>
    <row r="2383" spans="1:3" x14ac:dyDescent="0.25">
      <c r="A2383" t="s">
        <v>25</v>
      </c>
      <c r="B2383">
        <v>22</v>
      </c>
      <c r="C2383">
        <v>1.643835616438356E-2</v>
      </c>
    </row>
    <row r="2384" spans="1:3" x14ac:dyDescent="0.25">
      <c r="A2384" t="s">
        <v>223</v>
      </c>
      <c r="B2384">
        <v>10</v>
      </c>
      <c r="C2384">
        <v>1.3698630136986301E-2</v>
      </c>
    </row>
    <row r="2385" spans="1:3" x14ac:dyDescent="0.25">
      <c r="A2385" t="s">
        <v>142</v>
      </c>
      <c r="B2385">
        <v>12</v>
      </c>
      <c r="C2385">
        <v>1.643835616438356E-2</v>
      </c>
    </row>
    <row r="2386" spans="1:3" x14ac:dyDescent="0.25">
      <c r="A2386" t="s">
        <v>221</v>
      </c>
      <c r="B2386">
        <v>12</v>
      </c>
      <c r="C2386">
        <v>2.7397260273972601E-2</v>
      </c>
    </row>
    <row r="2387" spans="1:3" x14ac:dyDescent="0.25">
      <c r="A2387" t="s">
        <v>223</v>
      </c>
      <c r="B2387">
        <v>14</v>
      </c>
      <c r="C2387">
        <v>1.3698630136986301E-2</v>
      </c>
    </row>
    <row r="2388" spans="1:3" x14ac:dyDescent="0.25">
      <c r="A2388" t="s">
        <v>154</v>
      </c>
      <c r="B2388">
        <v>21</v>
      </c>
      <c r="C2388">
        <v>1.3698630136986301E-2</v>
      </c>
    </row>
    <row r="2389" spans="1:3" x14ac:dyDescent="0.25">
      <c r="A2389" t="s">
        <v>132</v>
      </c>
      <c r="B2389">
        <v>23</v>
      </c>
      <c r="C2389">
        <v>1.3698630136986301E-2</v>
      </c>
    </row>
    <row r="2390" spans="1:3" x14ac:dyDescent="0.25">
      <c r="A2390" t="s">
        <v>124</v>
      </c>
      <c r="B2390">
        <v>17</v>
      </c>
      <c r="C2390">
        <v>1.3698630136986301E-2</v>
      </c>
    </row>
    <row r="2391" spans="1:3" x14ac:dyDescent="0.25">
      <c r="A2391" t="s">
        <v>100</v>
      </c>
      <c r="B2391">
        <v>16</v>
      </c>
      <c r="C2391">
        <v>1.643835616438356E-2</v>
      </c>
    </row>
    <row r="2392" spans="1:3" x14ac:dyDescent="0.25">
      <c r="A2392" t="s">
        <v>185</v>
      </c>
      <c r="B2392">
        <v>22</v>
      </c>
      <c r="C2392">
        <v>2.1917808219178082E-2</v>
      </c>
    </row>
    <row r="2393" spans="1:3" x14ac:dyDescent="0.25">
      <c r="A2393" t="s">
        <v>167</v>
      </c>
      <c r="B2393">
        <v>20</v>
      </c>
      <c r="C2393">
        <v>1.643835616438356E-2</v>
      </c>
    </row>
    <row r="2394" spans="1:3" x14ac:dyDescent="0.25">
      <c r="A2394" t="s">
        <v>135</v>
      </c>
      <c r="B2394">
        <v>20</v>
      </c>
      <c r="C2394">
        <v>2.4657534246575342E-2</v>
      </c>
    </row>
    <row r="2395" spans="1:3" x14ac:dyDescent="0.25">
      <c r="A2395" t="s">
        <v>149</v>
      </c>
      <c r="B2395">
        <v>1</v>
      </c>
      <c r="C2395">
        <v>1.3698630136986301E-2</v>
      </c>
    </row>
    <row r="2396" spans="1:3" x14ac:dyDescent="0.25">
      <c r="A2396" t="s">
        <v>130</v>
      </c>
      <c r="B2396">
        <v>3</v>
      </c>
      <c r="C2396">
        <v>2.7397260273972601E-2</v>
      </c>
    </row>
    <row r="2397" spans="1:3" x14ac:dyDescent="0.25">
      <c r="A2397" t="s">
        <v>168</v>
      </c>
      <c r="B2397">
        <v>1</v>
      </c>
      <c r="C2397">
        <v>1.3698630136986301E-2</v>
      </c>
    </row>
    <row r="2398" spans="1:3" x14ac:dyDescent="0.25">
      <c r="A2398" t="s">
        <v>182</v>
      </c>
      <c r="B2398">
        <v>6</v>
      </c>
      <c r="C2398">
        <v>1.0958904109589041E-2</v>
      </c>
    </row>
    <row r="2399" spans="1:3" x14ac:dyDescent="0.25">
      <c r="A2399" t="s">
        <v>147</v>
      </c>
      <c r="B2399">
        <v>9</v>
      </c>
      <c r="C2399">
        <v>3.287671232876712E-2</v>
      </c>
    </row>
    <row r="2400" spans="1:3" x14ac:dyDescent="0.25">
      <c r="A2400" t="s">
        <v>180</v>
      </c>
      <c r="B2400">
        <v>13</v>
      </c>
      <c r="C2400">
        <v>1.643835616438356E-2</v>
      </c>
    </row>
    <row r="2401" spans="1:3" x14ac:dyDescent="0.25">
      <c r="A2401" t="s">
        <v>208</v>
      </c>
      <c r="B2401">
        <v>12</v>
      </c>
      <c r="C2401">
        <v>1.643835616438356E-2</v>
      </c>
    </row>
    <row r="2402" spans="1:3" x14ac:dyDescent="0.25">
      <c r="A2402" t="s">
        <v>218</v>
      </c>
      <c r="B2402">
        <v>14</v>
      </c>
      <c r="C2402">
        <v>1.3698630136986301E-2</v>
      </c>
    </row>
    <row r="2403" spans="1:3" x14ac:dyDescent="0.25">
      <c r="A2403" t="s">
        <v>85</v>
      </c>
      <c r="B2403">
        <v>16</v>
      </c>
      <c r="C2403">
        <v>1.643835616438356E-2</v>
      </c>
    </row>
    <row r="2404" spans="1:3" x14ac:dyDescent="0.25">
      <c r="A2404" t="s">
        <v>195</v>
      </c>
      <c r="B2404">
        <v>23</v>
      </c>
      <c r="C2404">
        <v>1.3698630136986301E-2</v>
      </c>
    </row>
    <row r="2405" spans="1:3" x14ac:dyDescent="0.25">
      <c r="A2405" t="s">
        <v>200</v>
      </c>
      <c r="B2405">
        <v>21</v>
      </c>
      <c r="C2405">
        <v>1.3698630136986301E-2</v>
      </c>
    </row>
    <row r="2406" spans="1:3" x14ac:dyDescent="0.25">
      <c r="A2406" t="s">
        <v>71</v>
      </c>
      <c r="B2406">
        <v>23</v>
      </c>
      <c r="C2406">
        <v>4.6575342465753428E-2</v>
      </c>
    </row>
    <row r="2407" spans="1:3" x14ac:dyDescent="0.25">
      <c r="A2407" t="s">
        <v>160</v>
      </c>
      <c r="B2407">
        <v>4</v>
      </c>
      <c r="C2407">
        <v>1.643835616438356E-2</v>
      </c>
    </row>
    <row r="2408" spans="1:3" x14ac:dyDescent="0.25">
      <c r="A2408" t="s">
        <v>130</v>
      </c>
      <c r="B2408">
        <v>6</v>
      </c>
      <c r="C2408">
        <v>2.7397260273972601E-2</v>
      </c>
    </row>
    <row r="2409" spans="1:3" x14ac:dyDescent="0.25">
      <c r="A2409" t="s">
        <v>220</v>
      </c>
      <c r="B2409">
        <v>0</v>
      </c>
      <c r="C2409">
        <v>8.21917808219178E-3</v>
      </c>
    </row>
    <row r="2410" spans="1:3" x14ac:dyDescent="0.25">
      <c r="A2410" t="s">
        <v>81</v>
      </c>
      <c r="B2410">
        <v>4</v>
      </c>
      <c r="C2410">
        <v>1.3698630136986301E-2</v>
      </c>
    </row>
    <row r="2411" spans="1:3" x14ac:dyDescent="0.25">
      <c r="A2411" t="s">
        <v>195</v>
      </c>
      <c r="B2411">
        <v>14</v>
      </c>
      <c r="C2411">
        <v>1.643835616438356E-2</v>
      </c>
    </row>
    <row r="2412" spans="1:3" x14ac:dyDescent="0.25">
      <c r="A2412" t="s">
        <v>137</v>
      </c>
      <c r="B2412">
        <v>9</v>
      </c>
      <c r="C2412">
        <v>2.7397260273972601E-2</v>
      </c>
    </row>
    <row r="2413" spans="1:3" x14ac:dyDescent="0.25">
      <c r="A2413" t="s">
        <v>184</v>
      </c>
      <c r="B2413">
        <v>14</v>
      </c>
      <c r="C2413">
        <v>1.3698630136986301E-2</v>
      </c>
    </row>
    <row r="2414" spans="1:3" x14ac:dyDescent="0.25">
      <c r="A2414" t="s">
        <v>179</v>
      </c>
      <c r="B2414">
        <v>16</v>
      </c>
      <c r="C2414">
        <v>2.7397260273972601E-2</v>
      </c>
    </row>
    <row r="2415" spans="1:3" x14ac:dyDescent="0.25">
      <c r="A2415" t="s">
        <v>146</v>
      </c>
      <c r="B2415">
        <v>19</v>
      </c>
      <c r="C2415">
        <v>1.643835616438356E-2</v>
      </c>
    </row>
    <row r="2416" spans="1:3" x14ac:dyDescent="0.25">
      <c r="A2416" t="s">
        <v>229</v>
      </c>
      <c r="B2416">
        <v>19</v>
      </c>
      <c r="C2416">
        <v>1.3698630136986301E-2</v>
      </c>
    </row>
    <row r="2417" spans="1:3" x14ac:dyDescent="0.25">
      <c r="A2417" t="s">
        <v>168</v>
      </c>
      <c r="B2417">
        <v>23</v>
      </c>
      <c r="C2417">
        <v>2.1917808219178082E-2</v>
      </c>
    </row>
    <row r="2418" spans="1:3" x14ac:dyDescent="0.25">
      <c r="A2418" t="s">
        <v>138</v>
      </c>
      <c r="B2418">
        <v>22</v>
      </c>
      <c r="C2418">
        <v>1.3698630136986301E-2</v>
      </c>
    </row>
    <row r="2419" spans="1:3" x14ac:dyDescent="0.25">
      <c r="A2419" t="s">
        <v>65</v>
      </c>
      <c r="B2419">
        <v>23</v>
      </c>
      <c r="C2419">
        <v>2.7397260273972601E-2</v>
      </c>
    </row>
    <row r="2420" spans="1:3" x14ac:dyDescent="0.25">
      <c r="A2420" t="s">
        <v>191</v>
      </c>
      <c r="B2420">
        <v>2</v>
      </c>
      <c r="C2420">
        <v>1.0958904109589041E-2</v>
      </c>
    </row>
    <row r="2421" spans="1:3" x14ac:dyDescent="0.25">
      <c r="A2421" t="s">
        <v>107</v>
      </c>
      <c r="B2421">
        <v>3</v>
      </c>
      <c r="C2421">
        <v>1.0958904109589041E-2</v>
      </c>
    </row>
    <row r="2422" spans="1:3" x14ac:dyDescent="0.25">
      <c r="A2422" t="s">
        <v>43</v>
      </c>
      <c r="B2422">
        <v>12</v>
      </c>
      <c r="C2422">
        <v>1.643835616438356E-2</v>
      </c>
    </row>
    <row r="2423" spans="1:3" x14ac:dyDescent="0.25">
      <c r="A2423" t="s">
        <v>78</v>
      </c>
      <c r="B2423">
        <v>4</v>
      </c>
      <c r="C2423">
        <v>8.21917808219178E-3</v>
      </c>
    </row>
    <row r="2424" spans="1:3" x14ac:dyDescent="0.25">
      <c r="A2424" t="s">
        <v>198</v>
      </c>
      <c r="B2424">
        <v>3</v>
      </c>
      <c r="C2424">
        <v>8.21917808219178E-3</v>
      </c>
    </row>
    <row r="2425" spans="1:3" x14ac:dyDescent="0.25">
      <c r="A2425" t="s">
        <v>200</v>
      </c>
      <c r="B2425">
        <v>3</v>
      </c>
      <c r="C2425">
        <v>1.3698630136986301E-2</v>
      </c>
    </row>
    <row r="2426" spans="1:3" x14ac:dyDescent="0.25">
      <c r="A2426" t="s">
        <v>187</v>
      </c>
      <c r="B2426">
        <v>0</v>
      </c>
      <c r="C2426">
        <v>1.3698630136986301E-2</v>
      </c>
    </row>
    <row r="2427" spans="1:3" x14ac:dyDescent="0.25">
      <c r="A2427" t="s">
        <v>166</v>
      </c>
      <c r="B2427">
        <v>7</v>
      </c>
      <c r="C2427">
        <v>1.9178082191780823E-2</v>
      </c>
    </row>
    <row r="2428" spans="1:3" x14ac:dyDescent="0.25">
      <c r="A2428" t="s">
        <v>226</v>
      </c>
      <c r="B2428">
        <v>11</v>
      </c>
      <c r="C2428">
        <v>1.643835616438356E-2</v>
      </c>
    </row>
    <row r="2429" spans="1:3" x14ac:dyDescent="0.25">
      <c r="A2429" t="s">
        <v>172</v>
      </c>
      <c r="B2429">
        <v>13</v>
      </c>
      <c r="C2429">
        <v>1.643835616438356E-2</v>
      </c>
    </row>
    <row r="2430" spans="1:3" x14ac:dyDescent="0.25">
      <c r="A2430" t="s">
        <v>141</v>
      </c>
      <c r="B2430">
        <v>15</v>
      </c>
      <c r="C2430">
        <v>2.7397260273972601E-2</v>
      </c>
    </row>
    <row r="2431" spans="1:3" x14ac:dyDescent="0.25">
      <c r="A2431" t="s">
        <v>96</v>
      </c>
      <c r="B2431">
        <v>23</v>
      </c>
      <c r="C2431">
        <v>2.1917808219178082E-2</v>
      </c>
    </row>
    <row r="2432" spans="1:3" x14ac:dyDescent="0.25">
      <c r="A2432" t="s">
        <v>153</v>
      </c>
      <c r="B2432">
        <v>22</v>
      </c>
      <c r="C2432">
        <v>3.287671232876712E-2</v>
      </c>
    </row>
    <row r="2433" spans="1:3" x14ac:dyDescent="0.25">
      <c r="A2433" t="s">
        <v>226</v>
      </c>
      <c r="B2433">
        <v>17</v>
      </c>
      <c r="C2433">
        <v>1.3698630136986301E-2</v>
      </c>
    </row>
    <row r="2434" spans="1:3" x14ac:dyDescent="0.25">
      <c r="A2434" t="s">
        <v>221</v>
      </c>
      <c r="B2434">
        <v>16</v>
      </c>
      <c r="C2434">
        <v>1.9178082191780823E-2</v>
      </c>
    </row>
    <row r="2435" spans="1:3" x14ac:dyDescent="0.25">
      <c r="A2435" t="s">
        <v>166</v>
      </c>
      <c r="B2435">
        <v>17</v>
      </c>
      <c r="C2435">
        <v>3.0136986301369864E-2</v>
      </c>
    </row>
    <row r="2436" spans="1:3" x14ac:dyDescent="0.25">
      <c r="A2436" t="s">
        <v>198</v>
      </c>
      <c r="B2436">
        <v>22</v>
      </c>
      <c r="C2436">
        <v>1.9178082191780823E-2</v>
      </c>
    </row>
    <row r="2437" spans="1:3" x14ac:dyDescent="0.25">
      <c r="A2437" t="s">
        <v>101</v>
      </c>
      <c r="B2437">
        <v>6</v>
      </c>
      <c r="C2437">
        <v>8.21917808219178E-3</v>
      </c>
    </row>
    <row r="2438" spans="1:3" x14ac:dyDescent="0.25">
      <c r="A2438" t="s">
        <v>167</v>
      </c>
      <c r="B2438">
        <v>0</v>
      </c>
      <c r="C2438">
        <v>1.643835616438356E-2</v>
      </c>
    </row>
    <row r="2439" spans="1:3" x14ac:dyDescent="0.25">
      <c r="A2439" t="s">
        <v>211</v>
      </c>
      <c r="B2439">
        <v>7</v>
      </c>
      <c r="C2439">
        <v>1.0958904109589041E-2</v>
      </c>
    </row>
    <row r="2440" spans="1:3" x14ac:dyDescent="0.25">
      <c r="A2440" t="s">
        <v>204</v>
      </c>
      <c r="B2440">
        <v>7</v>
      </c>
      <c r="C2440">
        <v>8.21917808219178E-3</v>
      </c>
    </row>
    <row r="2441" spans="1:3" x14ac:dyDescent="0.25">
      <c r="A2441" t="s">
        <v>122</v>
      </c>
      <c r="B2441">
        <v>0</v>
      </c>
      <c r="C2441">
        <v>1.0958904109589041E-2</v>
      </c>
    </row>
    <row r="2442" spans="1:3" x14ac:dyDescent="0.25">
      <c r="A2442" t="s">
        <v>21</v>
      </c>
      <c r="B2442">
        <v>3</v>
      </c>
      <c r="C2442">
        <v>1.643835616438356E-2</v>
      </c>
    </row>
    <row r="2443" spans="1:3" x14ac:dyDescent="0.25">
      <c r="A2443" t="s">
        <v>34</v>
      </c>
      <c r="B2443">
        <v>1</v>
      </c>
      <c r="C2443">
        <v>1.643835616438356E-2</v>
      </c>
    </row>
    <row r="2444" spans="1:3" x14ac:dyDescent="0.25">
      <c r="A2444" t="s">
        <v>38</v>
      </c>
      <c r="B2444">
        <v>16</v>
      </c>
      <c r="C2444">
        <v>1.643835616438356E-2</v>
      </c>
    </row>
    <row r="2445" spans="1:3" x14ac:dyDescent="0.25">
      <c r="A2445" t="s">
        <v>178</v>
      </c>
      <c r="B2445">
        <v>11</v>
      </c>
      <c r="C2445">
        <v>3.287671232876712E-2</v>
      </c>
    </row>
    <row r="2446" spans="1:3" x14ac:dyDescent="0.25">
      <c r="A2446" t="s">
        <v>199</v>
      </c>
      <c r="B2446">
        <v>14</v>
      </c>
      <c r="C2446">
        <v>1.3698630136986301E-2</v>
      </c>
    </row>
    <row r="2447" spans="1:3" x14ac:dyDescent="0.25">
      <c r="A2447" t="s">
        <v>230</v>
      </c>
      <c r="B2447">
        <v>11</v>
      </c>
      <c r="C2447">
        <v>1.3698630136986301E-2</v>
      </c>
    </row>
    <row r="2448" spans="1:3" x14ac:dyDescent="0.25">
      <c r="A2448" t="s">
        <v>147</v>
      </c>
      <c r="B2448">
        <v>23</v>
      </c>
      <c r="C2448">
        <v>1.9178082191780823E-2</v>
      </c>
    </row>
    <row r="2449" spans="1:3" x14ac:dyDescent="0.25">
      <c r="A2449" t="s">
        <v>129</v>
      </c>
      <c r="B2449">
        <v>23</v>
      </c>
      <c r="C2449">
        <v>1.9178082191780823E-2</v>
      </c>
    </row>
    <row r="2450" spans="1:3" x14ac:dyDescent="0.25">
      <c r="A2450" t="s">
        <v>172</v>
      </c>
      <c r="B2450">
        <v>17</v>
      </c>
      <c r="C2450">
        <v>1.9178082191780823E-2</v>
      </c>
    </row>
    <row r="2451" spans="1:3" x14ac:dyDescent="0.25">
      <c r="A2451" t="s">
        <v>172</v>
      </c>
      <c r="B2451">
        <v>23</v>
      </c>
      <c r="C2451">
        <v>1.9178082191780823E-2</v>
      </c>
    </row>
    <row r="2452" spans="1:3" x14ac:dyDescent="0.25">
      <c r="A2452" t="s">
        <v>136</v>
      </c>
      <c r="B2452">
        <v>21</v>
      </c>
      <c r="C2452">
        <v>1.643835616438356E-2</v>
      </c>
    </row>
    <row r="2453" spans="1:3" x14ac:dyDescent="0.25">
      <c r="A2453" t="s">
        <v>190</v>
      </c>
      <c r="B2453">
        <v>17</v>
      </c>
      <c r="C2453">
        <v>1.3698630136986301E-2</v>
      </c>
    </row>
    <row r="2454" spans="1:3" x14ac:dyDescent="0.25">
      <c r="A2454" t="s">
        <v>194</v>
      </c>
      <c r="B2454">
        <v>17</v>
      </c>
      <c r="C2454">
        <v>1.3698630136986301E-2</v>
      </c>
    </row>
    <row r="2455" spans="1:3" x14ac:dyDescent="0.25">
      <c r="A2455" t="s">
        <v>146</v>
      </c>
      <c r="B2455">
        <v>17</v>
      </c>
      <c r="C2455">
        <v>1.3698630136986301E-2</v>
      </c>
    </row>
    <row r="2456" spans="1:3" x14ac:dyDescent="0.25">
      <c r="A2456" t="s">
        <v>81</v>
      </c>
      <c r="B2456">
        <v>3</v>
      </c>
      <c r="C2456">
        <v>1.3698630136986301E-2</v>
      </c>
    </row>
    <row r="2457" spans="1:3" x14ac:dyDescent="0.25">
      <c r="A2457" t="s">
        <v>38</v>
      </c>
      <c r="B2457">
        <v>14</v>
      </c>
      <c r="C2457">
        <v>1.3698630136986301E-2</v>
      </c>
    </row>
    <row r="2458" spans="1:3" x14ac:dyDescent="0.25">
      <c r="A2458" t="s">
        <v>133</v>
      </c>
      <c r="B2458">
        <v>6</v>
      </c>
      <c r="C2458">
        <v>2.1917808219178082E-2</v>
      </c>
    </row>
    <row r="2459" spans="1:3" x14ac:dyDescent="0.25">
      <c r="A2459" t="s">
        <v>105</v>
      </c>
      <c r="B2459">
        <v>6</v>
      </c>
      <c r="C2459">
        <v>2.7397260273972601E-2</v>
      </c>
    </row>
    <row r="2460" spans="1:3" x14ac:dyDescent="0.25">
      <c r="A2460" t="s">
        <v>96</v>
      </c>
      <c r="B2460">
        <v>7</v>
      </c>
      <c r="C2460">
        <v>1.9178082191780823E-2</v>
      </c>
    </row>
    <row r="2461" spans="1:3" x14ac:dyDescent="0.25">
      <c r="A2461" t="s">
        <v>95</v>
      </c>
      <c r="B2461">
        <v>3</v>
      </c>
      <c r="C2461">
        <v>2.1917808219178082E-2</v>
      </c>
    </row>
    <row r="2462" spans="1:3" x14ac:dyDescent="0.25">
      <c r="A2462" t="s">
        <v>207</v>
      </c>
      <c r="B2462">
        <v>12</v>
      </c>
      <c r="C2462">
        <v>1.643835616438356E-2</v>
      </c>
    </row>
    <row r="2463" spans="1:3" x14ac:dyDescent="0.25">
      <c r="A2463" t="s">
        <v>231</v>
      </c>
      <c r="B2463">
        <v>8</v>
      </c>
      <c r="C2463">
        <v>1.3698630136986301E-2</v>
      </c>
    </row>
    <row r="2464" spans="1:3" x14ac:dyDescent="0.25">
      <c r="A2464" t="s">
        <v>139</v>
      </c>
      <c r="B2464">
        <v>20</v>
      </c>
      <c r="C2464">
        <v>1.3698630136986301E-2</v>
      </c>
    </row>
    <row r="2465" spans="1:3" x14ac:dyDescent="0.25">
      <c r="A2465" t="s">
        <v>213</v>
      </c>
      <c r="B2465">
        <v>19</v>
      </c>
      <c r="C2465">
        <v>8.21917808219178E-3</v>
      </c>
    </row>
    <row r="2466" spans="1:3" x14ac:dyDescent="0.25">
      <c r="A2466" t="s">
        <v>44</v>
      </c>
      <c r="B2466">
        <v>17</v>
      </c>
      <c r="C2466">
        <v>1.3698630136986301E-2</v>
      </c>
    </row>
    <row r="2467" spans="1:3" x14ac:dyDescent="0.25">
      <c r="A2467" t="s">
        <v>101</v>
      </c>
      <c r="B2467">
        <v>22</v>
      </c>
      <c r="C2467">
        <v>1.3698630136986301E-2</v>
      </c>
    </row>
    <row r="2468" spans="1:3" x14ac:dyDescent="0.25">
      <c r="A2468" t="s">
        <v>142</v>
      </c>
      <c r="B2468">
        <v>7</v>
      </c>
      <c r="C2468">
        <v>8.21917808219178E-3</v>
      </c>
    </row>
    <row r="2469" spans="1:3" x14ac:dyDescent="0.25">
      <c r="A2469" t="s">
        <v>181</v>
      </c>
      <c r="B2469">
        <v>6</v>
      </c>
      <c r="C2469">
        <v>8.21917808219178E-3</v>
      </c>
    </row>
    <row r="2470" spans="1:3" x14ac:dyDescent="0.25">
      <c r="A2470" t="s">
        <v>193</v>
      </c>
      <c r="B2470">
        <v>1</v>
      </c>
      <c r="C2470">
        <v>8.21917808219178E-3</v>
      </c>
    </row>
    <row r="2471" spans="1:3" x14ac:dyDescent="0.25">
      <c r="A2471" t="s">
        <v>134</v>
      </c>
      <c r="B2471">
        <v>2</v>
      </c>
      <c r="C2471">
        <v>1.643835616438356E-2</v>
      </c>
    </row>
    <row r="2472" spans="1:3" x14ac:dyDescent="0.25">
      <c r="A2472" t="s">
        <v>136</v>
      </c>
      <c r="B2472">
        <v>13</v>
      </c>
      <c r="C2472">
        <v>1.643835616438356E-2</v>
      </c>
    </row>
    <row r="2473" spans="1:3" x14ac:dyDescent="0.25">
      <c r="A2473" t="s">
        <v>165</v>
      </c>
      <c r="B2473">
        <v>13</v>
      </c>
      <c r="C2473">
        <v>1.643835616438356E-2</v>
      </c>
    </row>
    <row r="2474" spans="1:3" x14ac:dyDescent="0.25">
      <c r="A2474" t="s">
        <v>169</v>
      </c>
      <c r="B2474">
        <v>14</v>
      </c>
      <c r="C2474">
        <v>1.643835616438356E-2</v>
      </c>
    </row>
    <row r="2475" spans="1:3" x14ac:dyDescent="0.25">
      <c r="A2475" t="s">
        <v>45</v>
      </c>
      <c r="B2475">
        <v>8</v>
      </c>
      <c r="C2475">
        <v>2.7397260273972601E-2</v>
      </c>
    </row>
    <row r="2476" spans="1:3" x14ac:dyDescent="0.25">
      <c r="A2476" t="s">
        <v>159</v>
      </c>
      <c r="B2476">
        <v>23</v>
      </c>
      <c r="C2476">
        <v>1.0958904109589041E-2</v>
      </c>
    </row>
    <row r="2477" spans="1:3" x14ac:dyDescent="0.25">
      <c r="A2477" t="s">
        <v>178</v>
      </c>
      <c r="B2477">
        <v>16</v>
      </c>
      <c r="C2477">
        <v>3.0136986301369864E-2</v>
      </c>
    </row>
    <row r="2478" spans="1:3" x14ac:dyDescent="0.25">
      <c r="A2478" t="s">
        <v>147</v>
      </c>
      <c r="B2478">
        <v>16</v>
      </c>
      <c r="C2478">
        <v>1.643835616438356E-2</v>
      </c>
    </row>
    <row r="2479" spans="1:3" x14ac:dyDescent="0.25">
      <c r="A2479" t="s">
        <v>199</v>
      </c>
      <c r="B2479">
        <v>17</v>
      </c>
      <c r="C2479">
        <v>1.0958904109589041E-2</v>
      </c>
    </row>
    <row r="2480" spans="1:3" x14ac:dyDescent="0.25">
      <c r="A2480" t="s">
        <v>220</v>
      </c>
      <c r="B2480">
        <v>19</v>
      </c>
      <c r="C2480">
        <v>1.0958904109589041E-2</v>
      </c>
    </row>
    <row r="2481" spans="1:3" x14ac:dyDescent="0.25">
      <c r="A2481" t="s">
        <v>157</v>
      </c>
      <c r="B2481">
        <v>23</v>
      </c>
      <c r="C2481">
        <v>1.3698630136986301E-2</v>
      </c>
    </row>
    <row r="2482" spans="1:3" x14ac:dyDescent="0.25">
      <c r="A2482" t="s">
        <v>182</v>
      </c>
      <c r="B2482">
        <v>22</v>
      </c>
      <c r="C2482">
        <v>1.9178082191780823E-2</v>
      </c>
    </row>
    <row r="2483" spans="1:3" x14ac:dyDescent="0.25">
      <c r="A2483" t="s">
        <v>212</v>
      </c>
      <c r="B2483">
        <v>19</v>
      </c>
      <c r="C2483">
        <v>1.643835616438356E-2</v>
      </c>
    </row>
    <row r="2484" spans="1:3" x14ac:dyDescent="0.25">
      <c r="A2484" t="s">
        <v>217</v>
      </c>
      <c r="B2484">
        <v>23</v>
      </c>
      <c r="C2484">
        <v>1.0958904109589041E-2</v>
      </c>
    </row>
    <row r="2485" spans="1:3" x14ac:dyDescent="0.25">
      <c r="A2485" t="s">
        <v>191</v>
      </c>
      <c r="B2485">
        <v>22</v>
      </c>
      <c r="C2485">
        <v>1.3698630136986301E-2</v>
      </c>
    </row>
    <row r="2486" spans="1:3" x14ac:dyDescent="0.25">
      <c r="A2486" t="s">
        <v>111</v>
      </c>
      <c r="B2486">
        <v>3</v>
      </c>
      <c r="C2486">
        <v>2.1917808219178082E-2</v>
      </c>
    </row>
    <row r="2487" spans="1:3" x14ac:dyDescent="0.25">
      <c r="A2487" t="s">
        <v>132</v>
      </c>
      <c r="B2487">
        <v>5</v>
      </c>
      <c r="C2487">
        <v>8.21917808219178E-3</v>
      </c>
    </row>
    <row r="2488" spans="1:3" x14ac:dyDescent="0.25">
      <c r="A2488" t="s">
        <v>187</v>
      </c>
      <c r="B2488">
        <v>6</v>
      </c>
      <c r="C2488">
        <v>1.3698630136986301E-2</v>
      </c>
    </row>
    <row r="2489" spans="1:3" x14ac:dyDescent="0.25">
      <c r="A2489" t="s">
        <v>116</v>
      </c>
      <c r="B2489">
        <v>5</v>
      </c>
      <c r="C2489">
        <v>1.3698630136986301E-2</v>
      </c>
    </row>
    <row r="2490" spans="1:3" x14ac:dyDescent="0.25">
      <c r="A2490" t="s">
        <v>76</v>
      </c>
      <c r="B2490">
        <v>3</v>
      </c>
      <c r="C2490">
        <v>1.0958904109589041E-2</v>
      </c>
    </row>
    <row r="2491" spans="1:3" x14ac:dyDescent="0.25">
      <c r="A2491" t="s">
        <v>148</v>
      </c>
      <c r="B2491">
        <v>5</v>
      </c>
      <c r="C2491">
        <v>8.21917808219178E-3</v>
      </c>
    </row>
    <row r="2492" spans="1:3" x14ac:dyDescent="0.25">
      <c r="A2492" t="s">
        <v>178</v>
      </c>
      <c r="B2492">
        <v>13</v>
      </c>
      <c r="C2492">
        <v>3.0136986301369864E-2</v>
      </c>
    </row>
    <row r="2493" spans="1:3" x14ac:dyDescent="0.25">
      <c r="A2493" t="s">
        <v>147</v>
      </c>
      <c r="B2493">
        <v>12</v>
      </c>
      <c r="C2493">
        <v>3.8356164383561646E-2</v>
      </c>
    </row>
    <row r="2494" spans="1:3" x14ac:dyDescent="0.25">
      <c r="A2494" t="s">
        <v>193</v>
      </c>
      <c r="B2494">
        <v>9</v>
      </c>
      <c r="C2494">
        <v>1.643835616438356E-2</v>
      </c>
    </row>
    <row r="2495" spans="1:3" x14ac:dyDescent="0.25">
      <c r="A2495" t="s">
        <v>209</v>
      </c>
      <c r="B2495">
        <v>8</v>
      </c>
      <c r="C2495">
        <v>2.4657534246575342E-2</v>
      </c>
    </row>
    <row r="2496" spans="1:3" x14ac:dyDescent="0.25">
      <c r="A2496" t="s">
        <v>213</v>
      </c>
      <c r="B2496">
        <v>15</v>
      </c>
      <c r="C2496">
        <v>1.3698630136986301E-2</v>
      </c>
    </row>
    <row r="2497" spans="1:3" x14ac:dyDescent="0.25">
      <c r="A2497" t="s">
        <v>191</v>
      </c>
      <c r="B2497">
        <v>9</v>
      </c>
      <c r="C2497">
        <v>1.643835616438356E-2</v>
      </c>
    </row>
    <row r="2498" spans="1:3" x14ac:dyDescent="0.25">
      <c r="A2498" t="s">
        <v>145</v>
      </c>
      <c r="B2498">
        <v>20</v>
      </c>
      <c r="C2498">
        <v>1.3698630136986301E-2</v>
      </c>
    </row>
    <row r="2499" spans="1:3" x14ac:dyDescent="0.25">
      <c r="A2499" t="s">
        <v>162</v>
      </c>
      <c r="B2499">
        <v>16</v>
      </c>
      <c r="C2499">
        <v>1.3698630136986301E-2</v>
      </c>
    </row>
    <row r="2500" spans="1:3" x14ac:dyDescent="0.25">
      <c r="A2500" t="s">
        <v>222</v>
      </c>
      <c r="B2500">
        <v>20</v>
      </c>
      <c r="C2500">
        <v>5.4794520547945206E-3</v>
      </c>
    </row>
    <row r="2501" spans="1:3" x14ac:dyDescent="0.25">
      <c r="A2501" t="s">
        <v>116</v>
      </c>
      <c r="B2501">
        <v>21</v>
      </c>
      <c r="C2501">
        <v>5.7534246575342465E-2</v>
      </c>
    </row>
    <row r="2502" spans="1:3" x14ac:dyDescent="0.25">
      <c r="A2502" t="s">
        <v>139</v>
      </c>
      <c r="B2502">
        <v>23</v>
      </c>
      <c r="C2502">
        <v>1.3698630136986301E-2</v>
      </c>
    </row>
    <row r="2503" spans="1:3" x14ac:dyDescent="0.25">
      <c r="A2503" t="s">
        <v>112</v>
      </c>
      <c r="B2503">
        <v>2</v>
      </c>
      <c r="C2503">
        <v>1.3698630136986301E-2</v>
      </c>
    </row>
    <row r="2504" spans="1:3" x14ac:dyDescent="0.25">
      <c r="A2504" t="s">
        <v>101</v>
      </c>
      <c r="B2504">
        <v>0</v>
      </c>
      <c r="C2504">
        <v>8.21917808219178E-3</v>
      </c>
    </row>
    <row r="2505" spans="1:3" x14ac:dyDescent="0.25">
      <c r="A2505" t="s">
        <v>84</v>
      </c>
      <c r="B2505">
        <v>4</v>
      </c>
      <c r="C2505">
        <v>1.0958904109589041E-2</v>
      </c>
    </row>
    <row r="2506" spans="1:3" x14ac:dyDescent="0.25">
      <c r="A2506" t="s">
        <v>185</v>
      </c>
      <c r="B2506">
        <v>7</v>
      </c>
      <c r="C2506">
        <v>1.0958904109589041E-2</v>
      </c>
    </row>
    <row r="2507" spans="1:3" x14ac:dyDescent="0.25">
      <c r="A2507" t="s">
        <v>191</v>
      </c>
      <c r="B2507">
        <v>10</v>
      </c>
      <c r="C2507">
        <v>1.643835616438356E-2</v>
      </c>
    </row>
    <row r="2508" spans="1:3" x14ac:dyDescent="0.25">
      <c r="A2508" t="s">
        <v>161</v>
      </c>
      <c r="B2508">
        <v>10</v>
      </c>
      <c r="C2508">
        <v>1.643835616438356E-2</v>
      </c>
    </row>
    <row r="2509" spans="1:3" x14ac:dyDescent="0.25">
      <c r="A2509" t="s">
        <v>215</v>
      </c>
      <c r="B2509">
        <v>11</v>
      </c>
      <c r="C2509">
        <v>1.0958904109589041E-2</v>
      </c>
    </row>
    <row r="2510" spans="1:3" x14ac:dyDescent="0.25">
      <c r="A2510" t="s">
        <v>157</v>
      </c>
      <c r="B2510">
        <v>9</v>
      </c>
      <c r="C2510">
        <v>1.643835616438356E-2</v>
      </c>
    </row>
    <row r="2511" spans="1:3" x14ac:dyDescent="0.25">
      <c r="A2511" t="s">
        <v>166</v>
      </c>
      <c r="B2511">
        <v>14</v>
      </c>
      <c r="C2511">
        <v>2.7397260273972601E-2</v>
      </c>
    </row>
    <row r="2512" spans="1:3" x14ac:dyDescent="0.25">
      <c r="A2512" t="s">
        <v>201</v>
      </c>
      <c r="B2512">
        <v>9</v>
      </c>
      <c r="C2512">
        <v>1.9178082191780823E-2</v>
      </c>
    </row>
    <row r="2513" spans="1:3" x14ac:dyDescent="0.25">
      <c r="A2513" t="s">
        <v>223</v>
      </c>
      <c r="B2513">
        <v>13</v>
      </c>
      <c r="C2513">
        <v>1.0958904109589041E-2</v>
      </c>
    </row>
    <row r="2514" spans="1:3" x14ac:dyDescent="0.25">
      <c r="A2514" t="s">
        <v>140</v>
      </c>
      <c r="B2514">
        <v>10</v>
      </c>
      <c r="C2514">
        <v>1.0958904109589041E-2</v>
      </c>
    </row>
    <row r="2515" spans="1:3" x14ac:dyDescent="0.25">
      <c r="A2515" t="s">
        <v>87</v>
      </c>
      <c r="B2515">
        <v>21</v>
      </c>
      <c r="C2515">
        <v>1.3698630136986301E-2</v>
      </c>
    </row>
    <row r="2516" spans="1:3" x14ac:dyDescent="0.25">
      <c r="A2516" t="s">
        <v>118</v>
      </c>
      <c r="B2516">
        <v>22</v>
      </c>
      <c r="C2516">
        <v>1.643835616438356E-2</v>
      </c>
    </row>
    <row r="2517" spans="1:3" x14ac:dyDescent="0.25">
      <c r="A2517" t="s">
        <v>232</v>
      </c>
      <c r="B2517">
        <v>17</v>
      </c>
      <c r="C2517">
        <v>1.643835616438356E-2</v>
      </c>
    </row>
    <row r="2518" spans="1:3" x14ac:dyDescent="0.25">
      <c r="A2518" t="s">
        <v>124</v>
      </c>
      <c r="B2518">
        <v>18</v>
      </c>
      <c r="C2518">
        <v>1.0958904109589041E-2</v>
      </c>
    </row>
    <row r="2519" spans="1:3" x14ac:dyDescent="0.25">
      <c r="A2519" t="s">
        <v>215</v>
      </c>
      <c r="B2519">
        <v>16</v>
      </c>
      <c r="C2519">
        <v>1.0958904109589041E-2</v>
      </c>
    </row>
    <row r="2520" spans="1:3" x14ac:dyDescent="0.25">
      <c r="A2520" t="s">
        <v>221</v>
      </c>
      <c r="B2520">
        <v>18</v>
      </c>
      <c r="C2520">
        <v>1.643835616438356E-2</v>
      </c>
    </row>
    <row r="2521" spans="1:3" x14ac:dyDescent="0.25">
      <c r="A2521" t="s">
        <v>96</v>
      </c>
      <c r="B2521">
        <v>0</v>
      </c>
      <c r="C2521">
        <v>1.3698630136986301E-2</v>
      </c>
    </row>
    <row r="2522" spans="1:3" x14ac:dyDescent="0.25">
      <c r="A2522" t="s">
        <v>110</v>
      </c>
      <c r="B2522">
        <v>1</v>
      </c>
      <c r="C2522">
        <v>1.3698630136986301E-2</v>
      </c>
    </row>
    <row r="2523" spans="1:3" x14ac:dyDescent="0.25">
      <c r="A2523" t="s">
        <v>207</v>
      </c>
      <c r="B2523">
        <v>1</v>
      </c>
      <c r="C2523">
        <v>8.21917808219178E-3</v>
      </c>
    </row>
    <row r="2524" spans="1:3" x14ac:dyDescent="0.25">
      <c r="A2524" t="s">
        <v>192</v>
      </c>
      <c r="B2524">
        <v>15</v>
      </c>
      <c r="C2524">
        <v>1.3698630136986301E-2</v>
      </c>
    </row>
    <row r="2525" spans="1:3" x14ac:dyDescent="0.25">
      <c r="A2525" t="s">
        <v>45</v>
      </c>
      <c r="B2525">
        <v>9</v>
      </c>
      <c r="C2525">
        <v>2.4657534246575342E-2</v>
      </c>
    </row>
    <row r="2526" spans="1:3" x14ac:dyDescent="0.25">
      <c r="A2526" t="s">
        <v>198</v>
      </c>
      <c r="B2526">
        <v>14</v>
      </c>
      <c r="C2526">
        <v>1.643835616438356E-2</v>
      </c>
    </row>
    <row r="2527" spans="1:3" x14ac:dyDescent="0.25">
      <c r="A2527" t="s">
        <v>233</v>
      </c>
      <c r="B2527">
        <v>9</v>
      </c>
      <c r="C2527">
        <v>1.0958904109589041E-2</v>
      </c>
    </row>
    <row r="2528" spans="1:3" x14ac:dyDescent="0.25">
      <c r="A2528" t="s">
        <v>141</v>
      </c>
      <c r="B2528">
        <v>13</v>
      </c>
      <c r="C2528">
        <v>2.4657534246575342E-2</v>
      </c>
    </row>
    <row r="2529" spans="1:3" x14ac:dyDescent="0.25">
      <c r="A2529" t="s">
        <v>178</v>
      </c>
      <c r="B2529">
        <v>10</v>
      </c>
      <c r="C2529">
        <v>2.7397260273972601E-2</v>
      </c>
    </row>
    <row r="2530" spans="1:3" x14ac:dyDescent="0.25">
      <c r="A2530" t="s">
        <v>133</v>
      </c>
      <c r="B2530">
        <v>8</v>
      </c>
      <c r="C2530">
        <v>3.5616438356164383E-2</v>
      </c>
    </row>
    <row r="2531" spans="1:3" x14ac:dyDescent="0.25">
      <c r="A2531" t="s">
        <v>150</v>
      </c>
      <c r="B2531">
        <v>17</v>
      </c>
      <c r="C2531">
        <v>4.1095890410958902E-2</v>
      </c>
    </row>
    <row r="2532" spans="1:3" x14ac:dyDescent="0.25">
      <c r="A2532" t="s">
        <v>219</v>
      </c>
      <c r="B2532">
        <v>16</v>
      </c>
      <c r="C2532">
        <v>1.643835616438356E-2</v>
      </c>
    </row>
    <row r="2533" spans="1:3" x14ac:dyDescent="0.25">
      <c r="A2533" t="s">
        <v>213</v>
      </c>
      <c r="B2533">
        <v>21</v>
      </c>
      <c r="C2533">
        <v>2.7397260273972603E-3</v>
      </c>
    </row>
    <row r="2534" spans="1:3" x14ac:dyDescent="0.25">
      <c r="A2534" t="s">
        <v>231</v>
      </c>
      <c r="B2534">
        <v>17</v>
      </c>
      <c r="C2534">
        <v>1.0958904109589041E-2</v>
      </c>
    </row>
    <row r="2535" spans="1:3" x14ac:dyDescent="0.25">
      <c r="A2535" t="s">
        <v>172</v>
      </c>
      <c r="B2535">
        <v>21</v>
      </c>
      <c r="C2535">
        <v>1.643835616438356E-2</v>
      </c>
    </row>
    <row r="2536" spans="1:3" x14ac:dyDescent="0.25">
      <c r="A2536" t="s">
        <v>163</v>
      </c>
      <c r="B2536">
        <v>23</v>
      </c>
      <c r="C2536">
        <v>1.9178082191780823E-2</v>
      </c>
    </row>
    <row r="2537" spans="1:3" x14ac:dyDescent="0.25">
      <c r="A2537" t="s">
        <v>161</v>
      </c>
      <c r="B2537">
        <v>16</v>
      </c>
      <c r="C2537">
        <v>1.3698630136986301E-2</v>
      </c>
    </row>
    <row r="2538" spans="1:3" x14ac:dyDescent="0.25">
      <c r="A2538" t="s">
        <v>110</v>
      </c>
      <c r="B2538">
        <v>4</v>
      </c>
      <c r="C2538">
        <v>1.0958904109589041E-2</v>
      </c>
    </row>
    <row r="2539" spans="1:3" x14ac:dyDescent="0.25">
      <c r="A2539" t="s">
        <v>78</v>
      </c>
      <c r="B2539">
        <v>6</v>
      </c>
      <c r="C2539">
        <v>8.21917808219178E-3</v>
      </c>
    </row>
    <row r="2540" spans="1:3" x14ac:dyDescent="0.25">
      <c r="A2540" t="s">
        <v>98</v>
      </c>
      <c r="B2540">
        <v>4</v>
      </c>
      <c r="C2540">
        <v>8.21917808219178E-3</v>
      </c>
    </row>
    <row r="2541" spans="1:3" x14ac:dyDescent="0.25">
      <c r="A2541" t="s">
        <v>65</v>
      </c>
      <c r="B2541">
        <v>6</v>
      </c>
      <c r="C2541">
        <v>1.3698630136986301E-2</v>
      </c>
    </row>
    <row r="2542" spans="1:3" x14ac:dyDescent="0.25">
      <c r="A2542" t="s">
        <v>174</v>
      </c>
      <c r="B2542">
        <v>0</v>
      </c>
      <c r="C2542">
        <v>2.7397260273972601E-2</v>
      </c>
    </row>
    <row r="2543" spans="1:3" x14ac:dyDescent="0.25">
      <c r="A2543" t="s">
        <v>38</v>
      </c>
      <c r="B2543">
        <v>12</v>
      </c>
      <c r="C2543">
        <v>1.3698630136986301E-2</v>
      </c>
    </row>
    <row r="2544" spans="1:3" x14ac:dyDescent="0.25">
      <c r="A2544" t="s">
        <v>234</v>
      </c>
      <c r="B2544">
        <v>0</v>
      </c>
      <c r="C2544">
        <v>8.21917808219178E-3</v>
      </c>
    </row>
    <row r="2545" spans="1:3" x14ac:dyDescent="0.25">
      <c r="A2545" t="s">
        <v>145</v>
      </c>
      <c r="B2545">
        <v>3</v>
      </c>
      <c r="C2545">
        <v>5.4794520547945206E-3</v>
      </c>
    </row>
    <row r="2546" spans="1:3" x14ac:dyDescent="0.25">
      <c r="A2546" t="s">
        <v>190</v>
      </c>
      <c r="B2546">
        <v>10</v>
      </c>
      <c r="C2546">
        <v>1.0958904109589041E-2</v>
      </c>
    </row>
    <row r="2547" spans="1:3" x14ac:dyDescent="0.25">
      <c r="A2547" t="s">
        <v>183</v>
      </c>
      <c r="B2547">
        <v>8</v>
      </c>
      <c r="C2547">
        <v>1.0958904109589041E-2</v>
      </c>
    </row>
    <row r="2548" spans="1:3" x14ac:dyDescent="0.25">
      <c r="A2548" t="s">
        <v>170</v>
      </c>
      <c r="B2548">
        <v>12</v>
      </c>
      <c r="C2548">
        <v>1.643835616438356E-2</v>
      </c>
    </row>
    <row r="2549" spans="1:3" x14ac:dyDescent="0.25">
      <c r="A2549" t="s">
        <v>193</v>
      </c>
      <c r="B2549">
        <v>17</v>
      </c>
      <c r="C2549">
        <v>1.3698630136986301E-2</v>
      </c>
    </row>
    <row r="2550" spans="1:3" x14ac:dyDescent="0.25">
      <c r="A2550" t="s">
        <v>226</v>
      </c>
      <c r="B2550">
        <v>19</v>
      </c>
      <c r="C2550">
        <v>1.3698630136986301E-2</v>
      </c>
    </row>
    <row r="2551" spans="1:3" x14ac:dyDescent="0.25">
      <c r="A2551" t="s">
        <v>183</v>
      </c>
      <c r="B2551">
        <v>20</v>
      </c>
      <c r="C2551">
        <v>1.0958904109589041E-2</v>
      </c>
    </row>
    <row r="2552" spans="1:3" x14ac:dyDescent="0.25">
      <c r="A2552" t="s">
        <v>181</v>
      </c>
      <c r="B2552">
        <v>20</v>
      </c>
      <c r="C2552">
        <v>1.0958904109589041E-2</v>
      </c>
    </row>
    <row r="2553" spans="1:3" x14ac:dyDescent="0.25">
      <c r="A2553" t="s">
        <v>42</v>
      </c>
      <c r="B2553">
        <v>5</v>
      </c>
      <c r="C2553">
        <v>1.3698630136986301E-2</v>
      </c>
    </row>
    <row r="2554" spans="1:3" x14ac:dyDescent="0.25">
      <c r="A2554" t="s">
        <v>28</v>
      </c>
      <c r="B2554">
        <v>4</v>
      </c>
      <c r="C2554">
        <v>1.3698630136986301E-2</v>
      </c>
    </row>
    <row r="2555" spans="1:3" x14ac:dyDescent="0.25">
      <c r="A2555" t="s">
        <v>212</v>
      </c>
      <c r="B2555">
        <v>20</v>
      </c>
      <c r="C2555">
        <v>1.643835616438356E-2</v>
      </c>
    </row>
    <row r="2556" spans="1:3" x14ac:dyDescent="0.25">
      <c r="A2556" t="s">
        <v>45</v>
      </c>
      <c r="B2556">
        <v>23</v>
      </c>
      <c r="C2556">
        <v>1.3698630136986301E-2</v>
      </c>
    </row>
    <row r="2557" spans="1:3" x14ac:dyDescent="0.25">
      <c r="A2557" t="s">
        <v>100</v>
      </c>
      <c r="B2557">
        <v>6</v>
      </c>
      <c r="C2557">
        <v>8.21917808219178E-3</v>
      </c>
    </row>
    <row r="2558" spans="1:3" x14ac:dyDescent="0.25">
      <c r="A2558" t="s">
        <v>214</v>
      </c>
      <c r="B2558">
        <v>0</v>
      </c>
      <c r="C2558">
        <v>1.0958904109589041E-2</v>
      </c>
    </row>
    <row r="2559" spans="1:3" x14ac:dyDescent="0.25">
      <c r="A2559" t="s">
        <v>164</v>
      </c>
      <c r="B2559">
        <v>0</v>
      </c>
      <c r="C2559">
        <v>1.643835616438356E-2</v>
      </c>
    </row>
    <row r="2560" spans="1:3" x14ac:dyDescent="0.25">
      <c r="A2560" t="s">
        <v>38</v>
      </c>
      <c r="B2560">
        <v>23</v>
      </c>
      <c r="C2560">
        <v>1.3698630136986301E-2</v>
      </c>
    </row>
    <row r="2561" spans="1:3" x14ac:dyDescent="0.25">
      <c r="A2561" t="s">
        <v>43</v>
      </c>
      <c r="B2561">
        <v>22</v>
      </c>
      <c r="C2561">
        <v>1.3698630136986301E-2</v>
      </c>
    </row>
    <row r="2562" spans="1:3" x14ac:dyDescent="0.25">
      <c r="A2562" t="s">
        <v>25</v>
      </c>
      <c r="B2562">
        <v>12</v>
      </c>
      <c r="C2562">
        <v>1.3698630136986301E-2</v>
      </c>
    </row>
    <row r="2563" spans="1:3" x14ac:dyDescent="0.25">
      <c r="A2563" t="s">
        <v>104</v>
      </c>
      <c r="B2563">
        <v>6</v>
      </c>
      <c r="C2563">
        <v>1.643835616438356E-2</v>
      </c>
    </row>
    <row r="2564" spans="1:3" x14ac:dyDescent="0.25">
      <c r="A2564" t="s">
        <v>211</v>
      </c>
      <c r="B2564">
        <v>1</v>
      </c>
      <c r="C2564">
        <v>1.0958904109589041E-2</v>
      </c>
    </row>
    <row r="2565" spans="1:3" x14ac:dyDescent="0.25">
      <c r="A2565" t="s">
        <v>227</v>
      </c>
      <c r="B2565">
        <v>11</v>
      </c>
      <c r="C2565">
        <v>1.3698630136986301E-2</v>
      </c>
    </row>
    <row r="2566" spans="1:3" x14ac:dyDescent="0.25">
      <c r="A2566" t="s">
        <v>229</v>
      </c>
      <c r="B2566">
        <v>11</v>
      </c>
      <c r="C2566">
        <v>1.643835616438356E-2</v>
      </c>
    </row>
    <row r="2567" spans="1:3" x14ac:dyDescent="0.25">
      <c r="A2567" t="s">
        <v>229</v>
      </c>
      <c r="B2567">
        <v>17</v>
      </c>
      <c r="C2567">
        <v>1.3698630136986301E-2</v>
      </c>
    </row>
    <row r="2568" spans="1:3" x14ac:dyDescent="0.25">
      <c r="A2568" t="s">
        <v>212</v>
      </c>
      <c r="B2568">
        <v>21</v>
      </c>
      <c r="C2568">
        <v>1.3698630136986301E-2</v>
      </c>
    </row>
    <row r="2569" spans="1:3" x14ac:dyDescent="0.25">
      <c r="A2569" t="s">
        <v>178</v>
      </c>
      <c r="B2569">
        <v>18</v>
      </c>
      <c r="C2569">
        <v>3.0136986301369864E-2</v>
      </c>
    </row>
    <row r="2570" spans="1:3" x14ac:dyDescent="0.25">
      <c r="A2570" t="s">
        <v>108</v>
      </c>
      <c r="B2570">
        <v>21</v>
      </c>
      <c r="C2570">
        <v>1.3698630136986301E-2</v>
      </c>
    </row>
    <row r="2571" spans="1:3" x14ac:dyDescent="0.25">
      <c r="A2571" t="s">
        <v>85</v>
      </c>
      <c r="B2571">
        <v>21</v>
      </c>
      <c r="C2571">
        <v>1.3698630136986301E-2</v>
      </c>
    </row>
    <row r="2572" spans="1:3" x14ac:dyDescent="0.25">
      <c r="A2572" t="s">
        <v>216</v>
      </c>
      <c r="B2572">
        <v>18</v>
      </c>
      <c r="C2572">
        <v>1.0958904109589041E-2</v>
      </c>
    </row>
    <row r="2573" spans="1:3" x14ac:dyDescent="0.25">
      <c r="A2573" t="s">
        <v>231</v>
      </c>
      <c r="B2573">
        <v>6</v>
      </c>
      <c r="C2573">
        <v>8.21917808219178E-3</v>
      </c>
    </row>
    <row r="2574" spans="1:3" x14ac:dyDescent="0.25">
      <c r="A2574" t="s">
        <v>160</v>
      </c>
      <c r="B2574">
        <v>2</v>
      </c>
      <c r="C2574">
        <v>1.643835616438356E-2</v>
      </c>
    </row>
    <row r="2575" spans="1:3" x14ac:dyDescent="0.25">
      <c r="A2575" t="s">
        <v>174</v>
      </c>
      <c r="B2575">
        <v>7</v>
      </c>
      <c r="C2575">
        <v>2.1917808219178082E-2</v>
      </c>
    </row>
    <row r="2576" spans="1:3" x14ac:dyDescent="0.25">
      <c r="A2576" t="s">
        <v>120</v>
      </c>
      <c r="B2576">
        <v>1</v>
      </c>
      <c r="C2576">
        <v>1.0958904109589041E-2</v>
      </c>
    </row>
    <row r="2577" spans="1:3" x14ac:dyDescent="0.25">
      <c r="A2577" t="s">
        <v>148</v>
      </c>
      <c r="B2577">
        <v>1</v>
      </c>
      <c r="C2577">
        <v>8.21917808219178E-3</v>
      </c>
    </row>
    <row r="2578" spans="1:3" x14ac:dyDescent="0.25">
      <c r="A2578" t="s">
        <v>169</v>
      </c>
      <c r="B2578">
        <v>5</v>
      </c>
      <c r="C2578">
        <v>1.0958904109589041E-2</v>
      </c>
    </row>
    <row r="2579" spans="1:3" x14ac:dyDescent="0.25">
      <c r="A2579" t="s">
        <v>164</v>
      </c>
      <c r="B2579">
        <v>5</v>
      </c>
      <c r="C2579">
        <v>1.0958904109589041E-2</v>
      </c>
    </row>
    <row r="2580" spans="1:3" x14ac:dyDescent="0.25">
      <c r="A2580" t="s">
        <v>128</v>
      </c>
      <c r="B2580">
        <v>5</v>
      </c>
      <c r="C2580">
        <v>8.21917808219178E-3</v>
      </c>
    </row>
    <row r="2581" spans="1:3" x14ac:dyDescent="0.25">
      <c r="A2581" t="s">
        <v>68</v>
      </c>
      <c r="B2581">
        <v>1</v>
      </c>
      <c r="C2581">
        <v>1.3698630136986301E-2</v>
      </c>
    </row>
    <row r="2582" spans="1:3" x14ac:dyDescent="0.25">
      <c r="A2582" t="s">
        <v>124</v>
      </c>
      <c r="B2582">
        <v>23</v>
      </c>
      <c r="C2582">
        <v>1.0958904109589041E-2</v>
      </c>
    </row>
    <row r="2583" spans="1:3" x14ac:dyDescent="0.25">
      <c r="A2583" t="s">
        <v>210</v>
      </c>
      <c r="B2583">
        <v>19</v>
      </c>
      <c r="C2583">
        <v>1.3698630136986301E-2</v>
      </c>
    </row>
    <row r="2584" spans="1:3" x14ac:dyDescent="0.25">
      <c r="A2584" t="s">
        <v>159</v>
      </c>
      <c r="B2584">
        <v>22</v>
      </c>
      <c r="C2584">
        <v>1.0958904109589041E-2</v>
      </c>
    </row>
    <row r="2585" spans="1:3" x14ac:dyDescent="0.25">
      <c r="A2585" t="s">
        <v>148</v>
      </c>
      <c r="B2585">
        <v>21</v>
      </c>
      <c r="C2585">
        <v>1.0958904109589041E-2</v>
      </c>
    </row>
    <row r="2586" spans="1:3" x14ac:dyDescent="0.25">
      <c r="A2586" t="s">
        <v>207</v>
      </c>
      <c r="B2586">
        <v>23</v>
      </c>
      <c r="C2586">
        <v>1.3698630136986301E-2</v>
      </c>
    </row>
    <row r="2587" spans="1:3" x14ac:dyDescent="0.25">
      <c r="A2587" t="s">
        <v>194</v>
      </c>
      <c r="B2587">
        <v>23</v>
      </c>
      <c r="C2587">
        <v>1.0958904109589041E-2</v>
      </c>
    </row>
    <row r="2588" spans="1:3" x14ac:dyDescent="0.25">
      <c r="A2588" t="s">
        <v>162</v>
      </c>
      <c r="B2588">
        <v>22</v>
      </c>
      <c r="C2588">
        <v>1.3698630136986301E-2</v>
      </c>
    </row>
    <row r="2589" spans="1:3" x14ac:dyDescent="0.25">
      <c r="A2589" t="s">
        <v>221</v>
      </c>
      <c r="B2589">
        <v>22</v>
      </c>
      <c r="C2589">
        <v>1.3698630136986301E-2</v>
      </c>
    </row>
    <row r="2590" spans="1:3" x14ac:dyDescent="0.25">
      <c r="A2590" t="s">
        <v>149</v>
      </c>
      <c r="B2590">
        <v>5</v>
      </c>
      <c r="C2590">
        <v>1.0958904109589041E-2</v>
      </c>
    </row>
    <row r="2591" spans="1:3" x14ac:dyDescent="0.25">
      <c r="A2591" t="s">
        <v>105</v>
      </c>
      <c r="B2591">
        <v>3</v>
      </c>
      <c r="C2591">
        <v>2.1917808219178082E-2</v>
      </c>
    </row>
    <row r="2592" spans="1:3" x14ac:dyDescent="0.25">
      <c r="A2592" t="s">
        <v>154</v>
      </c>
      <c r="B2592">
        <v>7</v>
      </c>
      <c r="C2592">
        <v>8.21917808219178E-3</v>
      </c>
    </row>
    <row r="2593" spans="1:3" x14ac:dyDescent="0.25">
      <c r="A2593" t="s">
        <v>185</v>
      </c>
      <c r="B2593">
        <v>11</v>
      </c>
      <c r="C2593">
        <v>1.643835616438356E-2</v>
      </c>
    </row>
    <row r="2594" spans="1:3" x14ac:dyDescent="0.25">
      <c r="A2594" t="s">
        <v>218</v>
      </c>
      <c r="B2594">
        <v>12</v>
      </c>
      <c r="C2594">
        <v>1.0958904109589041E-2</v>
      </c>
    </row>
    <row r="2595" spans="1:3" x14ac:dyDescent="0.25">
      <c r="A2595" t="s">
        <v>221</v>
      </c>
      <c r="B2595">
        <v>13</v>
      </c>
      <c r="C2595">
        <v>2.4657534246575342E-2</v>
      </c>
    </row>
    <row r="2596" spans="1:3" x14ac:dyDescent="0.25">
      <c r="A2596" t="s">
        <v>235</v>
      </c>
      <c r="B2596">
        <v>18</v>
      </c>
      <c r="C2596">
        <v>1.3698630136986301E-2</v>
      </c>
    </row>
    <row r="2597" spans="1:3" x14ac:dyDescent="0.25">
      <c r="A2597" t="s">
        <v>128</v>
      </c>
      <c r="B2597">
        <v>20</v>
      </c>
      <c r="C2597">
        <v>1.0958904109589041E-2</v>
      </c>
    </row>
    <row r="2598" spans="1:3" x14ac:dyDescent="0.25">
      <c r="A2598" t="s">
        <v>83</v>
      </c>
      <c r="B2598">
        <v>22</v>
      </c>
      <c r="C2598">
        <v>1.3698630136986301E-2</v>
      </c>
    </row>
    <row r="2599" spans="1:3" x14ac:dyDescent="0.25">
      <c r="A2599" t="s">
        <v>23</v>
      </c>
      <c r="B2599">
        <v>1</v>
      </c>
      <c r="C2599">
        <v>1.3698630136986301E-2</v>
      </c>
    </row>
    <row r="2600" spans="1:3" x14ac:dyDescent="0.25">
      <c r="A2600" t="s">
        <v>96</v>
      </c>
      <c r="B2600">
        <v>22</v>
      </c>
      <c r="C2600">
        <v>1.643835616438356E-2</v>
      </c>
    </row>
    <row r="2601" spans="1:3" x14ac:dyDescent="0.25">
      <c r="A2601" t="s">
        <v>101</v>
      </c>
      <c r="B2601">
        <v>4</v>
      </c>
      <c r="C2601">
        <v>5.4794520547945206E-3</v>
      </c>
    </row>
    <row r="2602" spans="1:3" x14ac:dyDescent="0.25">
      <c r="A2602" t="s">
        <v>132</v>
      </c>
      <c r="B2602">
        <v>2</v>
      </c>
      <c r="C2602">
        <v>8.21917808219178E-3</v>
      </c>
    </row>
    <row r="2603" spans="1:3" x14ac:dyDescent="0.25">
      <c r="A2603" t="s">
        <v>235</v>
      </c>
      <c r="B2603">
        <v>13</v>
      </c>
      <c r="C2603">
        <v>1.3698630136986301E-2</v>
      </c>
    </row>
    <row r="2604" spans="1:3" x14ac:dyDescent="0.25">
      <c r="A2604" t="s">
        <v>45</v>
      </c>
      <c r="B2604">
        <v>14</v>
      </c>
      <c r="C2604">
        <v>2.1917808219178082E-2</v>
      </c>
    </row>
    <row r="2605" spans="1:3" x14ac:dyDescent="0.25">
      <c r="A2605" t="s">
        <v>137</v>
      </c>
      <c r="B2605">
        <v>14</v>
      </c>
      <c r="C2605">
        <v>2.1917808219178082E-2</v>
      </c>
    </row>
    <row r="2606" spans="1:3" x14ac:dyDescent="0.25">
      <c r="A2606" t="s">
        <v>215</v>
      </c>
      <c r="B2606">
        <v>14</v>
      </c>
      <c r="C2606">
        <v>1.0958904109589041E-2</v>
      </c>
    </row>
    <row r="2607" spans="1:3" x14ac:dyDescent="0.25">
      <c r="A2607" t="s">
        <v>236</v>
      </c>
      <c r="B2607">
        <v>9</v>
      </c>
      <c r="C2607">
        <v>1.0958904109589041E-2</v>
      </c>
    </row>
    <row r="2608" spans="1:3" x14ac:dyDescent="0.25">
      <c r="A2608" t="s">
        <v>97</v>
      </c>
      <c r="B2608">
        <v>11</v>
      </c>
      <c r="C2608">
        <v>1.3698630136986301E-2</v>
      </c>
    </row>
    <row r="2609" spans="1:3" x14ac:dyDescent="0.25">
      <c r="A2609" t="s">
        <v>237</v>
      </c>
      <c r="B2609">
        <v>13</v>
      </c>
      <c r="C2609">
        <v>1.0958904109589041E-2</v>
      </c>
    </row>
    <row r="2610" spans="1:3" x14ac:dyDescent="0.25">
      <c r="A2610" t="s">
        <v>230</v>
      </c>
      <c r="B2610">
        <v>10</v>
      </c>
      <c r="C2610">
        <v>1.0958904109589041E-2</v>
      </c>
    </row>
    <row r="2611" spans="1:3" x14ac:dyDescent="0.25">
      <c r="A2611" t="s">
        <v>139</v>
      </c>
      <c r="B2611">
        <v>13</v>
      </c>
      <c r="C2611">
        <v>2.1917808219178082E-2</v>
      </c>
    </row>
    <row r="2612" spans="1:3" x14ac:dyDescent="0.25">
      <c r="A2612" t="s">
        <v>196</v>
      </c>
      <c r="B2612">
        <v>21</v>
      </c>
      <c r="C2612">
        <v>1.3698630136986301E-2</v>
      </c>
    </row>
    <row r="2613" spans="1:3" x14ac:dyDescent="0.25">
      <c r="A2613" t="s">
        <v>210</v>
      </c>
      <c r="B2613">
        <v>18</v>
      </c>
      <c r="C2613">
        <v>1.0958904109589041E-2</v>
      </c>
    </row>
    <row r="2614" spans="1:3" x14ac:dyDescent="0.25">
      <c r="A2614" t="s">
        <v>229</v>
      </c>
      <c r="B2614">
        <v>20</v>
      </c>
      <c r="C2614">
        <v>1.0958904109589041E-2</v>
      </c>
    </row>
    <row r="2615" spans="1:3" x14ac:dyDescent="0.25">
      <c r="A2615" t="s">
        <v>150</v>
      </c>
      <c r="B2615">
        <v>2</v>
      </c>
      <c r="C2615">
        <v>2.1917808219178082E-2</v>
      </c>
    </row>
    <row r="2616" spans="1:3" x14ac:dyDescent="0.25">
      <c r="A2616" t="s">
        <v>85</v>
      </c>
      <c r="B2616">
        <v>4</v>
      </c>
      <c r="C2616">
        <v>5.4794520547945206E-3</v>
      </c>
    </row>
    <row r="2617" spans="1:3" x14ac:dyDescent="0.25">
      <c r="A2617" t="s">
        <v>105</v>
      </c>
      <c r="B2617">
        <v>4</v>
      </c>
      <c r="C2617">
        <v>1.9178082191780823E-2</v>
      </c>
    </row>
    <row r="2618" spans="1:3" x14ac:dyDescent="0.25">
      <c r="A2618" t="s">
        <v>209</v>
      </c>
      <c r="B2618">
        <v>12</v>
      </c>
      <c r="C2618">
        <v>1.9178082191780823E-2</v>
      </c>
    </row>
    <row r="2619" spans="1:3" x14ac:dyDescent="0.25">
      <c r="A2619" t="s">
        <v>100</v>
      </c>
      <c r="B2619">
        <v>8</v>
      </c>
      <c r="C2619">
        <v>1.643835616438356E-2</v>
      </c>
    </row>
    <row r="2620" spans="1:3" x14ac:dyDescent="0.25">
      <c r="A2620" t="s">
        <v>178</v>
      </c>
      <c r="B2620">
        <v>15</v>
      </c>
      <c r="C2620">
        <v>1.9178082191780823E-2</v>
      </c>
    </row>
    <row r="2621" spans="1:3" x14ac:dyDescent="0.25">
      <c r="A2621" t="s">
        <v>214</v>
      </c>
      <c r="B2621">
        <v>10</v>
      </c>
      <c r="C2621">
        <v>1.643835616438356E-2</v>
      </c>
    </row>
    <row r="2622" spans="1:3" x14ac:dyDescent="0.25">
      <c r="A2622" t="s">
        <v>79</v>
      </c>
      <c r="B2622">
        <v>21</v>
      </c>
      <c r="C2622">
        <v>1.0958904109589041E-2</v>
      </c>
    </row>
    <row r="2623" spans="1:3" x14ac:dyDescent="0.25">
      <c r="A2623" t="s">
        <v>220</v>
      </c>
      <c r="B2623">
        <v>18</v>
      </c>
      <c r="C2623">
        <v>1.0958904109589041E-2</v>
      </c>
    </row>
    <row r="2624" spans="1:3" x14ac:dyDescent="0.25">
      <c r="A2624" t="s">
        <v>130</v>
      </c>
      <c r="B2624">
        <v>7</v>
      </c>
      <c r="C2624">
        <v>1.9178082191780823E-2</v>
      </c>
    </row>
    <row r="2625" spans="1:3" x14ac:dyDescent="0.25">
      <c r="A2625" t="s">
        <v>238</v>
      </c>
      <c r="B2625">
        <v>9</v>
      </c>
      <c r="C2625">
        <v>1.3698630136986301E-2</v>
      </c>
    </row>
    <row r="2626" spans="1:3" x14ac:dyDescent="0.25">
      <c r="A2626" t="s">
        <v>235</v>
      </c>
      <c r="B2626">
        <v>8</v>
      </c>
      <c r="C2626">
        <v>1.0958904109589041E-2</v>
      </c>
    </row>
    <row r="2627" spans="1:3" x14ac:dyDescent="0.25">
      <c r="A2627" t="s">
        <v>229</v>
      </c>
      <c r="B2627">
        <v>9</v>
      </c>
      <c r="C2627">
        <v>1.643835616438356E-2</v>
      </c>
    </row>
    <row r="2628" spans="1:3" x14ac:dyDescent="0.25">
      <c r="A2628" t="s">
        <v>184</v>
      </c>
      <c r="B2628">
        <v>12</v>
      </c>
      <c r="C2628">
        <v>1.0958904109589041E-2</v>
      </c>
    </row>
    <row r="2629" spans="1:3" x14ac:dyDescent="0.25">
      <c r="A2629" t="s">
        <v>217</v>
      </c>
      <c r="B2629">
        <v>9</v>
      </c>
      <c r="C2629">
        <v>1.643835616438356E-2</v>
      </c>
    </row>
    <row r="2630" spans="1:3" x14ac:dyDescent="0.25">
      <c r="A2630" t="s">
        <v>140</v>
      </c>
      <c r="B2630">
        <v>14</v>
      </c>
      <c r="C2630">
        <v>1.0958904109589041E-2</v>
      </c>
    </row>
    <row r="2631" spans="1:3" x14ac:dyDescent="0.25">
      <c r="A2631" t="s">
        <v>70</v>
      </c>
      <c r="B2631">
        <v>17</v>
      </c>
      <c r="C2631">
        <v>1.0958904109589041E-2</v>
      </c>
    </row>
    <row r="2632" spans="1:3" x14ac:dyDescent="0.25">
      <c r="A2632" t="s">
        <v>127</v>
      </c>
      <c r="B2632">
        <v>20</v>
      </c>
      <c r="C2632">
        <v>1.643835616438356E-2</v>
      </c>
    </row>
    <row r="2633" spans="1:3" x14ac:dyDescent="0.25">
      <c r="A2633" t="s">
        <v>44</v>
      </c>
      <c r="B2633">
        <v>13</v>
      </c>
      <c r="C2633">
        <v>1.3698630136986301E-2</v>
      </c>
    </row>
    <row r="2634" spans="1:3" x14ac:dyDescent="0.25">
      <c r="A2634" t="s">
        <v>23</v>
      </c>
      <c r="B2634">
        <v>4</v>
      </c>
      <c r="C2634">
        <v>1.3698630136986301E-2</v>
      </c>
    </row>
    <row r="2635" spans="1:3" x14ac:dyDescent="0.25">
      <c r="A2635" t="s">
        <v>168</v>
      </c>
      <c r="B2635">
        <v>0</v>
      </c>
      <c r="C2635">
        <v>1.0958904109589041E-2</v>
      </c>
    </row>
    <row r="2636" spans="1:3" x14ac:dyDescent="0.25">
      <c r="A2636" t="s">
        <v>121</v>
      </c>
      <c r="B2636">
        <v>3</v>
      </c>
      <c r="C2636">
        <v>1.3698630136986301E-2</v>
      </c>
    </row>
    <row r="2637" spans="1:3" x14ac:dyDescent="0.25">
      <c r="A2637" t="s">
        <v>175</v>
      </c>
      <c r="B2637">
        <v>1</v>
      </c>
      <c r="C2637">
        <v>1.0958904109589041E-2</v>
      </c>
    </row>
    <row r="2638" spans="1:3" x14ac:dyDescent="0.25">
      <c r="A2638" t="s">
        <v>167</v>
      </c>
      <c r="B2638">
        <v>12</v>
      </c>
      <c r="C2638">
        <v>1.9178082191780823E-2</v>
      </c>
    </row>
    <row r="2639" spans="1:3" x14ac:dyDescent="0.25">
      <c r="A2639" t="s">
        <v>176</v>
      </c>
      <c r="B2639">
        <v>11</v>
      </c>
      <c r="C2639">
        <v>1.643835616438356E-2</v>
      </c>
    </row>
    <row r="2640" spans="1:3" x14ac:dyDescent="0.25">
      <c r="A2640" t="s">
        <v>221</v>
      </c>
      <c r="B2640">
        <v>15</v>
      </c>
      <c r="C2640">
        <v>1.9178082191780823E-2</v>
      </c>
    </row>
    <row r="2641" spans="1:3" x14ac:dyDescent="0.25">
      <c r="A2641" t="s">
        <v>207</v>
      </c>
      <c r="B2641">
        <v>8</v>
      </c>
      <c r="C2641">
        <v>1.643835616438356E-2</v>
      </c>
    </row>
    <row r="2642" spans="1:3" x14ac:dyDescent="0.25">
      <c r="A2642" t="s">
        <v>186</v>
      </c>
      <c r="B2642">
        <v>14</v>
      </c>
      <c r="C2642">
        <v>1.643835616438356E-2</v>
      </c>
    </row>
    <row r="2643" spans="1:3" x14ac:dyDescent="0.25">
      <c r="A2643" t="s">
        <v>209</v>
      </c>
      <c r="B2643">
        <v>14</v>
      </c>
      <c r="C2643">
        <v>1.643835616438356E-2</v>
      </c>
    </row>
    <row r="2644" spans="1:3" x14ac:dyDescent="0.25">
      <c r="A2644" t="s">
        <v>157</v>
      </c>
      <c r="B2644">
        <v>14</v>
      </c>
      <c r="C2644">
        <v>1.643835616438356E-2</v>
      </c>
    </row>
    <row r="2645" spans="1:3" x14ac:dyDescent="0.25">
      <c r="A2645" t="s">
        <v>158</v>
      </c>
      <c r="B2645">
        <v>12</v>
      </c>
      <c r="C2645">
        <v>1.9178082191780823E-2</v>
      </c>
    </row>
    <row r="2646" spans="1:3" x14ac:dyDescent="0.25">
      <c r="A2646" t="s">
        <v>106</v>
      </c>
      <c r="B2646">
        <v>21</v>
      </c>
      <c r="C2646">
        <v>2.7397260273972601E-2</v>
      </c>
    </row>
    <row r="2647" spans="1:3" x14ac:dyDescent="0.25">
      <c r="A2647" t="s">
        <v>214</v>
      </c>
      <c r="B2647">
        <v>23</v>
      </c>
      <c r="C2647">
        <v>1.0958904109589041E-2</v>
      </c>
    </row>
    <row r="2648" spans="1:3" x14ac:dyDescent="0.25">
      <c r="A2648" t="s">
        <v>196</v>
      </c>
      <c r="B2648">
        <v>20</v>
      </c>
      <c r="C2648">
        <v>1.0958904109589041E-2</v>
      </c>
    </row>
    <row r="2649" spans="1:3" x14ac:dyDescent="0.25">
      <c r="A2649" t="s">
        <v>234</v>
      </c>
      <c r="B2649">
        <v>17</v>
      </c>
      <c r="C2649">
        <v>8.21917808219178E-3</v>
      </c>
    </row>
    <row r="2650" spans="1:3" x14ac:dyDescent="0.25">
      <c r="A2650" t="s">
        <v>140</v>
      </c>
      <c r="B2650">
        <v>20</v>
      </c>
      <c r="C2650">
        <v>8.21917808219178E-3</v>
      </c>
    </row>
    <row r="2651" spans="1:3" x14ac:dyDescent="0.25">
      <c r="A2651" t="s">
        <v>117</v>
      </c>
      <c r="B2651">
        <v>2</v>
      </c>
      <c r="C2651">
        <v>1.643835616438356E-2</v>
      </c>
    </row>
    <row r="2652" spans="1:3" x14ac:dyDescent="0.25">
      <c r="A2652" t="s">
        <v>129</v>
      </c>
      <c r="B2652">
        <v>1</v>
      </c>
      <c r="C2652">
        <v>1.0958904109589041E-2</v>
      </c>
    </row>
    <row r="2653" spans="1:3" x14ac:dyDescent="0.25">
      <c r="A2653" t="s">
        <v>145</v>
      </c>
      <c r="B2653">
        <v>12</v>
      </c>
      <c r="C2653">
        <v>1.3698630136986301E-2</v>
      </c>
    </row>
    <row r="2654" spans="1:3" x14ac:dyDescent="0.25">
      <c r="A2654" t="s">
        <v>169</v>
      </c>
      <c r="B2654">
        <v>10</v>
      </c>
      <c r="C2654">
        <v>2.4657534246575342E-2</v>
      </c>
    </row>
    <row r="2655" spans="1:3" x14ac:dyDescent="0.25">
      <c r="A2655" t="s">
        <v>223</v>
      </c>
      <c r="B2655">
        <v>17</v>
      </c>
      <c r="C2655">
        <v>8.21917808219178E-3</v>
      </c>
    </row>
    <row r="2656" spans="1:3" x14ac:dyDescent="0.25">
      <c r="A2656" t="s">
        <v>239</v>
      </c>
      <c r="B2656">
        <v>17</v>
      </c>
      <c r="C2656">
        <v>1.0958904109589041E-2</v>
      </c>
    </row>
    <row r="2657" spans="1:3" x14ac:dyDescent="0.25">
      <c r="A2657" t="s">
        <v>194</v>
      </c>
      <c r="B2657">
        <v>1</v>
      </c>
      <c r="C2657">
        <v>5.4794520547945206E-3</v>
      </c>
    </row>
    <row r="2658" spans="1:3" x14ac:dyDescent="0.25">
      <c r="A2658" t="s">
        <v>176</v>
      </c>
      <c r="B2658">
        <v>3</v>
      </c>
      <c r="C2658">
        <v>1.0958904109589041E-2</v>
      </c>
    </row>
    <row r="2659" spans="1:3" x14ac:dyDescent="0.25">
      <c r="A2659" t="s">
        <v>150</v>
      </c>
      <c r="B2659">
        <v>5</v>
      </c>
      <c r="C2659">
        <v>1.643835616438356E-2</v>
      </c>
    </row>
    <row r="2660" spans="1:3" x14ac:dyDescent="0.25">
      <c r="A2660" t="s">
        <v>145</v>
      </c>
      <c r="B2660">
        <v>0</v>
      </c>
      <c r="C2660">
        <v>5.4794520547945206E-3</v>
      </c>
    </row>
    <row r="2661" spans="1:3" x14ac:dyDescent="0.25">
      <c r="A2661" t="s">
        <v>44</v>
      </c>
      <c r="B2661">
        <v>15</v>
      </c>
      <c r="C2661">
        <v>1.0958904109589041E-2</v>
      </c>
    </row>
    <row r="2662" spans="1:3" x14ac:dyDescent="0.25">
      <c r="A2662" t="s">
        <v>169</v>
      </c>
      <c r="B2662">
        <v>9</v>
      </c>
      <c r="C2662">
        <v>1.3698630136986301E-2</v>
      </c>
    </row>
    <row r="2663" spans="1:3" x14ac:dyDescent="0.25">
      <c r="A2663" t="s">
        <v>229</v>
      </c>
      <c r="B2663">
        <v>12</v>
      </c>
      <c r="C2663">
        <v>1.3698630136986301E-2</v>
      </c>
    </row>
    <row r="2664" spans="1:3" x14ac:dyDescent="0.25">
      <c r="A2664" t="s">
        <v>171</v>
      </c>
      <c r="B2664">
        <v>11</v>
      </c>
      <c r="C2664">
        <v>2.4657534246575342E-2</v>
      </c>
    </row>
    <row r="2665" spans="1:3" x14ac:dyDescent="0.25">
      <c r="A2665" t="s">
        <v>118</v>
      </c>
      <c r="B2665">
        <v>11</v>
      </c>
      <c r="C2665">
        <v>1.3698630136986301E-2</v>
      </c>
    </row>
    <row r="2666" spans="1:3" x14ac:dyDescent="0.25">
      <c r="A2666" t="s">
        <v>208</v>
      </c>
      <c r="B2666">
        <v>14</v>
      </c>
      <c r="C2666">
        <v>1.3698630136986301E-2</v>
      </c>
    </row>
    <row r="2667" spans="1:3" x14ac:dyDescent="0.25">
      <c r="A2667" t="s">
        <v>85</v>
      </c>
      <c r="B2667">
        <v>23</v>
      </c>
      <c r="C2667">
        <v>1.0958904109589041E-2</v>
      </c>
    </row>
    <row r="2668" spans="1:3" x14ac:dyDescent="0.25">
      <c r="A2668" t="s">
        <v>45</v>
      </c>
      <c r="B2668">
        <v>22</v>
      </c>
      <c r="C2668">
        <v>1.0958904109589041E-2</v>
      </c>
    </row>
    <row r="2669" spans="1:3" x14ac:dyDescent="0.25">
      <c r="A2669" t="s">
        <v>98</v>
      </c>
      <c r="B2669">
        <v>23</v>
      </c>
      <c r="C2669">
        <v>1.0958904109589041E-2</v>
      </c>
    </row>
    <row r="2670" spans="1:3" x14ac:dyDescent="0.25">
      <c r="A2670" t="s">
        <v>38</v>
      </c>
      <c r="B2670">
        <v>8</v>
      </c>
      <c r="C2670">
        <v>1.0958904109589041E-2</v>
      </c>
    </row>
    <row r="2671" spans="1:3" x14ac:dyDescent="0.25">
      <c r="A2671" t="s">
        <v>193</v>
      </c>
      <c r="B2671">
        <v>18</v>
      </c>
      <c r="C2671">
        <v>1.0958904109589041E-2</v>
      </c>
    </row>
    <row r="2672" spans="1:3" x14ac:dyDescent="0.25">
      <c r="A2672" t="s">
        <v>188</v>
      </c>
      <c r="B2672">
        <v>17</v>
      </c>
      <c r="C2672">
        <v>1.0958904109589041E-2</v>
      </c>
    </row>
    <row r="2673" spans="1:3" x14ac:dyDescent="0.25">
      <c r="A2673" t="s">
        <v>140</v>
      </c>
      <c r="B2673">
        <v>4</v>
      </c>
      <c r="C2673">
        <v>5.4794520547945206E-3</v>
      </c>
    </row>
    <row r="2674" spans="1:3" x14ac:dyDescent="0.25">
      <c r="A2674" t="s">
        <v>184</v>
      </c>
      <c r="B2674">
        <v>5</v>
      </c>
      <c r="C2674">
        <v>5.4794520547945206E-3</v>
      </c>
    </row>
    <row r="2675" spans="1:3" x14ac:dyDescent="0.25">
      <c r="A2675" t="s">
        <v>223</v>
      </c>
      <c r="B2675">
        <v>0</v>
      </c>
      <c r="C2675">
        <v>5.4794520547945206E-3</v>
      </c>
    </row>
    <row r="2676" spans="1:3" x14ac:dyDescent="0.25">
      <c r="A2676" t="s">
        <v>147</v>
      </c>
      <c r="B2676">
        <v>7</v>
      </c>
      <c r="C2676">
        <v>5.4794520547945206E-3</v>
      </c>
    </row>
    <row r="2677" spans="1:3" x14ac:dyDescent="0.25">
      <c r="A2677" t="s">
        <v>104</v>
      </c>
      <c r="B2677">
        <v>7</v>
      </c>
      <c r="C2677">
        <v>2.4657534246575342E-2</v>
      </c>
    </row>
    <row r="2678" spans="1:3" x14ac:dyDescent="0.25">
      <c r="A2678" t="s">
        <v>75</v>
      </c>
      <c r="B2678">
        <v>2</v>
      </c>
      <c r="C2678">
        <v>1.9178082191780823E-2</v>
      </c>
    </row>
    <row r="2679" spans="1:3" x14ac:dyDescent="0.25">
      <c r="A2679" t="s">
        <v>83</v>
      </c>
      <c r="B2679">
        <v>14</v>
      </c>
      <c r="C2679">
        <v>1.3698630136986301E-2</v>
      </c>
    </row>
    <row r="2680" spans="1:3" x14ac:dyDescent="0.25">
      <c r="A2680" t="s">
        <v>127</v>
      </c>
      <c r="B2680">
        <v>13</v>
      </c>
      <c r="C2680">
        <v>7.1232876712328766E-2</v>
      </c>
    </row>
    <row r="2681" spans="1:3" x14ac:dyDescent="0.25">
      <c r="A2681" t="s">
        <v>216</v>
      </c>
      <c r="B2681">
        <v>15</v>
      </c>
      <c r="C2681">
        <v>1.643835616438356E-2</v>
      </c>
    </row>
    <row r="2682" spans="1:3" x14ac:dyDescent="0.25">
      <c r="A2682" t="s">
        <v>178</v>
      </c>
      <c r="B2682">
        <v>17</v>
      </c>
      <c r="C2682">
        <v>2.4657534246575342E-2</v>
      </c>
    </row>
    <row r="2683" spans="1:3" x14ac:dyDescent="0.25">
      <c r="A2683" t="s">
        <v>214</v>
      </c>
      <c r="B2683">
        <v>21</v>
      </c>
      <c r="C2683">
        <v>1.0958904109589041E-2</v>
      </c>
    </row>
    <row r="2684" spans="1:3" x14ac:dyDescent="0.25">
      <c r="A2684" t="s">
        <v>83</v>
      </c>
      <c r="B2684">
        <v>21</v>
      </c>
      <c r="C2684">
        <v>1.0958904109589041E-2</v>
      </c>
    </row>
    <row r="2685" spans="1:3" x14ac:dyDescent="0.25">
      <c r="A2685" t="s">
        <v>166</v>
      </c>
      <c r="B2685">
        <v>23</v>
      </c>
      <c r="C2685">
        <v>2.1917808219178082E-2</v>
      </c>
    </row>
    <row r="2686" spans="1:3" x14ac:dyDescent="0.25">
      <c r="A2686" t="s">
        <v>227</v>
      </c>
      <c r="B2686">
        <v>17</v>
      </c>
      <c r="C2686">
        <v>1.0958904109589041E-2</v>
      </c>
    </row>
    <row r="2687" spans="1:3" x14ac:dyDescent="0.25">
      <c r="A2687" t="s">
        <v>239</v>
      </c>
      <c r="B2687">
        <v>4</v>
      </c>
      <c r="C2687">
        <v>8.21917808219178E-3</v>
      </c>
    </row>
    <row r="2688" spans="1:3" x14ac:dyDescent="0.25">
      <c r="A2688" t="s">
        <v>217</v>
      </c>
      <c r="B2688">
        <v>7</v>
      </c>
      <c r="C2688">
        <v>1.0958904109589041E-2</v>
      </c>
    </row>
    <row r="2689" spans="1:3" x14ac:dyDescent="0.25">
      <c r="A2689" t="s">
        <v>159</v>
      </c>
      <c r="B2689">
        <v>3</v>
      </c>
      <c r="C2689">
        <v>5.4794520547945206E-3</v>
      </c>
    </row>
    <row r="2690" spans="1:3" x14ac:dyDescent="0.25">
      <c r="A2690" t="s">
        <v>186</v>
      </c>
      <c r="B2690">
        <v>2</v>
      </c>
      <c r="C2690">
        <v>8.21917808219178E-3</v>
      </c>
    </row>
    <row r="2691" spans="1:3" x14ac:dyDescent="0.25">
      <c r="A2691" t="s">
        <v>176</v>
      </c>
      <c r="B2691">
        <v>0</v>
      </c>
      <c r="C2691">
        <v>1.0958904109589041E-2</v>
      </c>
    </row>
    <row r="2692" spans="1:3" x14ac:dyDescent="0.25">
      <c r="A2692" t="s">
        <v>158</v>
      </c>
      <c r="B2692">
        <v>7</v>
      </c>
      <c r="C2692">
        <v>8.21917808219178E-3</v>
      </c>
    </row>
    <row r="2693" spans="1:3" x14ac:dyDescent="0.25">
      <c r="A2693" t="s">
        <v>231</v>
      </c>
      <c r="B2693">
        <v>13</v>
      </c>
      <c r="C2693">
        <v>1.0958904109589041E-2</v>
      </c>
    </row>
    <row r="2694" spans="1:3" x14ac:dyDescent="0.25">
      <c r="A2694" t="s">
        <v>221</v>
      </c>
      <c r="B2694">
        <v>10</v>
      </c>
      <c r="C2694">
        <v>1.643835616438356E-2</v>
      </c>
    </row>
    <row r="2695" spans="1:3" x14ac:dyDescent="0.25">
      <c r="A2695" t="s">
        <v>213</v>
      </c>
      <c r="B2695">
        <v>12</v>
      </c>
      <c r="C2695">
        <v>1.0958904109589041E-2</v>
      </c>
    </row>
    <row r="2696" spans="1:3" x14ac:dyDescent="0.25">
      <c r="A2696" t="s">
        <v>138</v>
      </c>
      <c r="B2696">
        <v>12</v>
      </c>
      <c r="C2696">
        <v>1.3698630136986301E-2</v>
      </c>
    </row>
    <row r="2697" spans="1:3" x14ac:dyDescent="0.25">
      <c r="A2697" t="s">
        <v>188</v>
      </c>
      <c r="B2697">
        <v>12</v>
      </c>
      <c r="C2697">
        <v>1.3698630136986301E-2</v>
      </c>
    </row>
    <row r="2698" spans="1:3" x14ac:dyDescent="0.25">
      <c r="A2698" t="s">
        <v>196</v>
      </c>
      <c r="B2698">
        <v>15</v>
      </c>
      <c r="C2698">
        <v>1.3698630136986301E-2</v>
      </c>
    </row>
    <row r="2699" spans="1:3" x14ac:dyDescent="0.25">
      <c r="A2699" t="s">
        <v>85</v>
      </c>
      <c r="B2699">
        <v>10</v>
      </c>
      <c r="C2699">
        <v>1.3698630136986301E-2</v>
      </c>
    </row>
    <row r="2700" spans="1:3" x14ac:dyDescent="0.25">
      <c r="A2700" t="s">
        <v>207</v>
      </c>
      <c r="B2700">
        <v>17</v>
      </c>
      <c r="C2700">
        <v>1.0958904109589041E-2</v>
      </c>
    </row>
    <row r="2701" spans="1:3" x14ac:dyDescent="0.25">
      <c r="A2701" t="s">
        <v>138</v>
      </c>
      <c r="B2701">
        <v>17</v>
      </c>
      <c r="C2701">
        <v>1.0958904109589041E-2</v>
      </c>
    </row>
    <row r="2702" spans="1:3" x14ac:dyDescent="0.25">
      <c r="A2702" t="s">
        <v>129</v>
      </c>
      <c r="B2702">
        <v>4</v>
      </c>
      <c r="C2702">
        <v>8.21917808219178E-3</v>
      </c>
    </row>
    <row r="2703" spans="1:3" x14ac:dyDescent="0.25">
      <c r="A2703" t="s">
        <v>183</v>
      </c>
      <c r="B2703">
        <v>13</v>
      </c>
      <c r="C2703">
        <v>1.0958904109589041E-2</v>
      </c>
    </row>
    <row r="2704" spans="1:3" x14ac:dyDescent="0.25">
      <c r="A2704" t="s">
        <v>136</v>
      </c>
      <c r="B2704">
        <v>15</v>
      </c>
      <c r="C2704">
        <v>1.3698630136986301E-2</v>
      </c>
    </row>
    <row r="2705" spans="1:3" x14ac:dyDescent="0.25">
      <c r="A2705" t="s">
        <v>123</v>
      </c>
      <c r="B2705">
        <v>13</v>
      </c>
      <c r="C2705">
        <v>1.3698630136986301E-2</v>
      </c>
    </row>
    <row r="2706" spans="1:3" x14ac:dyDescent="0.25">
      <c r="A2706" t="s">
        <v>234</v>
      </c>
      <c r="B2706">
        <v>10</v>
      </c>
      <c r="C2706">
        <v>1.0958904109589041E-2</v>
      </c>
    </row>
    <row r="2707" spans="1:3" x14ac:dyDescent="0.25">
      <c r="A2707" t="s">
        <v>171</v>
      </c>
      <c r="B2707">
        <v>17</v>
      </c>
      <c r="C2707">
        <v>1.643835616438356E-2</v>
      </c>
    </row>
    <row r="2708" spans="1:3" x14ac:dyDescent="0.25">
      <c r="A2708" t="s">
        <v>201</v>
      </c>
      <c r="B2708">
        <v>2</v>
      </c>
      <c r="C2708">
        <v>1.3698630136986301E-2</v>
      </c>
    </row>
    <row r="2709" spans="1:3" x14ac:dyDescent="0.25">
      <c r="A2709" t="s">
        <v>111</v>
      </c>
      <c r="B2709">
        <v>5</v>
      </c>
      <c r="C2709">
        <v>1.3698630136986301E-2</v>
      </c>
    </row>
    <row r="2710" spans="1:3" x14ac:dyDescent="0.25">
      <c r="A2710" t="s">
        <v>176</v>
      </c>
      <c r="B2710">
        <v>4</v>
      </c>
      <c r="C2710">
        <v>8.21917808219178E-3</v>
      </c>
    </row>
    <row r="2711" spans="1:3" x14ac:dyDescent="0.25">
      <c r="A2711" t="s">
        <v>174</v>
      </c>
      <c r="B2711">
        <v>5</v>
      </c>
      <c r="C2711">
        <v>1.643835616438356E-2</v>
      </c>
    </row>
    <row r="2712" spans="1:3" x14ac:dyDescent="0.25">
      <c r="A2712" t="s">
        <v>86</v>
      </c>
      <c r="B2712">
        <v>1</v>
      </c>
      <c r="C2712">
        <v>5.4794520547945206E-3</v>
      </c>
    </row>
    <row r="2713" spans="1:3" x14ac:dyDescent="0.25">
      <c r="A2713" t="s">
        <v>176</v>
      </c>
      <c r="B2713">
        <v>12</v>
      </c>
      <c r="C2713">
        <v>1.643835616438356E-2</v>
      </c>
    </row>
    <row r="2714" spans="1:3" x14ac:dyDescent="0.25">
      <c r="A2714" t="s">
        <v>166</v>
      </c>
      <c r="B2714">
        <v>9</v>
      </c>
      <c r="C2714">
        <v>1.3698630136986301E-2</v>
      </c>
    </row>
    <row r="2715" spans="1:3" x14ac:dyDescent="0.25">
      <c r="A2715" t="s">
        <v>175</v>
      </c>
      <c r="B2715">
        <v>17</v>
      </c>
      <c r="C2715">
        <v>3.8356164383561646E-2</v>
      </c>
    </row>
    <row r="2716" spans="1:3" x14ac:dyDescent="0.25">
      <c r="A2716" t="s">
        <v>101</v>
      </c>
      <c r="B2716">
        <v>23</v>
      </c>
      <c r="C2716">
        <v>1.0958904109589041E-2</v>
      </c>
    </row>
    <row r="2717" spans="1:3" x14ac:dyDescent="0.25">
      <c r="A2717" t="s">
        <v>216</v>
      </c>
      <c r="B2717">
        <v>20</v>
      </c>
      <c r="C2717">
        <v>1.0958904109589041E-2</v>
      </c>
    </row>
    <row r="2718" spans="1:3" x14ac:dyDescent="0.25">
      <c r="A2718" t="s">
        <v>166</v>
      </c>
      <c r="B2718">
        <v>22</v>
      </c>
      <c r="C2718">
        <v>1.9178082191780823E-2</v>
      </c>
    </row>
    <row r="2719" spans="1:3" x14ac:dyDescent="0.25">
      <c r="A2719" t="s">
        <v>201</v>
      </c>
      <c r="B2719">
        <v>20</v>
      </c>
      <c r="C2719">
        <v>2.7397260273972601E-2</v>
      </c>
    </row>
    <row r="2720" spans="1:3" x14ac:dyDescent="0.25">
      <c r="A2720" t="s">
        <v>68</v>
      </c>
      <c r="B2720">
        <v>22</v>
      </c>
      <c r="C2720">
        <v>2.4657534246575342E-2</v>
      </c>
    </row>
    <row r="2721" spans="1:3" x14ac:dyDescent="0.25">
      <c r="A2721" t="s">
        <v>84</v>
      </c>
      <c r="B2721">
        <v>23</v>
      </c>
      <c r="C2721">
        <v>1.0958904109589041E-2</v>
      </c>
    </row>
    <row r="2722" spans="1:3" x14ac:dyDescent="0.25">
      <c r="A2722" t="s">
        <v>42</v>
      </c>
      <c r="B2722">
        <v>1</v>
      </c>
      <c r="C2722">
        <v>1.0958904109589041E-2</v>
      </c>
    </row>
    <row r="2723" spans="1:3" x14ac:dyDescent="0.25">
      <c r="A2723" t="s">
        <v>167</v>
      </c>
      <c r="B2723">
        <v>23</v>
      </c>
      <c r="C2723">
        <v>8.21917808219178E-3</v>
      </c>
    </row>
    <row r="2724" spans="1:3" x14ac:dyDescent="0.25">
      <c r="A2724" t="s">
        <v>93</v>
      </c>
      <c r="B2724">
        <v>3</v>
      </c>
      <c r="C2724">
        <v>8.21917808219178E-3</v>
      </c>
    </row>
    <row r="2725" spans="1:3" x14ac:dyDescent="0.25">
      <c r="A2725" t="s">
        <v>188</v>
      </c>
      <c r="B2725">
        <v>2</v>
      </c>
      <c r="C2725">
        <v>8.21917808219178E-3</v>
      </c>
    </row>
    <row r="2726" spans="1:3" x14ac:dyDescent="0.25">
      <c r="A2726" t="s">
        <v>191</v>
      </c>
      <c r="B2726">
        <v>6</v>
      </c>
      <c r="C2726">
        <v>8.21917808219178E-3</v>
      </c>
    </row>
    <row r="2727" spans="1:3" x14ac:dyDescent="0.25">
      <c r="A2727" t="s">
        <v>114</v>
      </c>
      <c r="B2727">
        <v>3</v>
      </c>
      <c r="C2727">
        <v>1.3698630136986301E-2</v>
      </c>
    </row>
    <row r="2728" spans="1:3" x14ac:dyDescent="0.25">
      <c r="A2728" t="s">
        <v>44</v>
      </c>
      <c r="B2728">
        <v>11</v>
      </c>
      <c r="C2728">
        <v>1.0958904109589041E-2</v>
      </c>
    </row>
    <row r="2729" spans="1:3" x14ac:dyDescent="0.25">
      <c r="A2729" t="s">
        <v>109</v>
      </c>
      <c r="B2729">
        <v>5</v>
      </c>
      <c r="C2729">
        <v>1.0958904109589041E-2</v>
      </c>
    </row>
    <row r="2730" spans="1:3" x14ac:dyDescent="0.25">
      <c r="A2730" t="s">
        <v>119</v>
      </c>
      <c r="B2730">
        <v>3</v>
      </c>
      <c r="C2730">
        <v>8.21917808219178E-3</v>
      </c>
    </row>
    <row r="2731" spans="1:3" x14ac:dyDescent="0.25">
      <c r="A2731" t="s">
        <v>156</v>
      </c>
      <c r="B2731">
        <v>5</v>
      </c>
      <c r="C2731">
        <v>1.3698630136986301E-2</v>
      </c>
    </row>
    <row r="2732" spans="1:3" x14ac:dyDescent="0.25">
      <c r="A2732" t="s">
        <v>118</v>
      </c>
      <c r="B2732">
        <v>15</v>
      </c>
      <c r="C2732">
        <v>1.3698630136986301E-2</v>
      </c>
    </row>
    <row r="2733" spans="1:3" x14ac:dyDescent="0.25">
      <c r="A2733" t="s">
        <v>212</v>
      </c>
      <c r="B2733">
        <v>14</v>
      </c>
      <c r="C2733">
        <v>1.0958904109589041E-2</v>
      </c>
    </row>
    <row r="2734" spans="1:3" x14ac:dyDescent="0.25">
      <c r="A2734" t="s">
        <v>199</v>
      </c>
      <c r="B2734">
        <v>11</v>
      </c>
      <c r="C2734">
        <v>1.0958904109589041E-2</v>
      </c>
    </row>
    <row r="2735" spans="1:3" x14ac:dyDescent="0.25">
      <c r="A2735" t="s">
        <v>228</v>
      </c>
      <c r="B2735">
        <v>18</v>
      </c>
      <c r="C2735">
        <v>8.21917808219178E-3</v>
      </c>
    </row>
    <row r="2736" spans="1:3" x14ac:dyDescent="0.25">
      <c r="A2736" t="s">
        <v>238</v>
      </c>
      <c r="B2736">
        <v>19</v>
      </c>
      <c r="C2736">
        <v>1.0958904109589041E-2</v>
      </c>
    </row>
    <row r="2737" spans="1:3" x14ac:dyDescent="0.25">
      <c r="A2737" t="s">
        <v>198</v>
      </c>
      <c r="B2737">
        <v>20</v>
      </c>
      <c r="C2737">
        <v>1.643835616438356E-2</v>
      </c>
    </row>
    <row r="2738" spans="1:3" x14ac:dyDescent="0.25">
      <c r="A2738" t="s">
        <v>232</v>
      </c>
      <c r="B2738">
        <v>20</v>
      </c>
      <c r="C2738">
        <v>1.643835616438356E-2</v>
      </c>
    </row>
    <row r="2739" spans="1:3" x14ac:dyDescent="0.25">
      <c r="A2739" t="s">
        <v>136</v>
      </c>
      <c r="B2739">
        <v>4</v>
      </c>
      <c r="C2739">
        <v>5.4794520547945206E-3</v>
      </c>
    </row>
    <row r="2740" spans="1:3" x14ac:dyDescent="0.25">
      <c r="A2740" t="s">
        <v>115</v>
      </c>
      <c r="B2740">
        <v>5</v>
      </c>
      <c r="C2740">
        <v>1.0958904109589041E-2</v>
      </c>
    </row>
    <row r="2741" spans="1:3" x14ac:dyDescent="0.25">
      <c r="A2741" t="s">
        <v>183</v>
      </c>
      <c r="B2741">
        <v>9</v>
      </c>
      <c r="C2741">
        <v>1.0958904109589041E-2</v>
      </c>
    </row>
    <row r="2742" spans="1:3" x14ac:dyDescent="0.25">
      <c r="A2742" t="s">
        <v>192</v>
      </c>
      <c r="B2742">
        <v>13</v>
      </c>
      <c r="C2742">
        <v>1.3698630136986301E-2</v>
      </c>
    </row>
    <row r="2743" spans="1:3" x14ac:dyDescent="0.25">
      <c r="A2743" t="s">
        <v>218</v>
      </c>
      <c r="B2743">
        <v>21</v>
      </c>
      <c r="C2743">
        <v>8.21917808219178E-3</v>
      </c>
    </row>
    <row r="2744" spans="1:3" x14ac:dyDescent="0.25">
      <c r="A2744" t="s">
        <v>170</v>
      </c>
      <c r="B2744">
        <v>21</v>
      </c>
      <c r="C2744">
        <v>1.643835616438356E-2</v>
      </c>
    </row>
    <row r="2745" spans="1:3" x14ac:dyDescent="0.25">
      <c r="A2745" t="s">
        <v>203</v>
      </c>
      <c r="B2745">
        <v>16</v>
      </c>
      <c r="C2745">
        <v>1.0958904109589041E-2</v>
      </c>
    </row>
    <row r="2746" spans="1:3" x14ac:dyDescent="0.25">
      <c r="A2746" t="s">
        <v>164</v>
      </c>
      <c r="B2746">
        <v>2</v>
      </c>
      <c r="C2746">
        <v>5.4794520547945206E-3</v>
      </c>
    </row>
    <row r="2747" spans="1:3" x14ac:dyDescent="0.25">
      <c r="A2747" t="s">
        <v>97</v>
      </c>
      <c r="B2747">
        <v>4</v>
      </c>
      <c r="C2747">
        <v>5.4794520547945206E-3</v>
      </c>
    </row>
    <row r="2748" spans="1:3" x14ac:dyDescent="0.25">
      <c r="A2748" t="s">
        <v>94</v>
      </c>
      <c r="B2748">
        <v>4</v>
      </c>
      <c r="C2748">
        <v>8.21917808219178E-3</v>
      </c>
    </row>
    <row r="2749" spans="1:3" x14ac:dyDescent="0.25">
      <c r="A2749" t="s">
        <v>119</v>
      </c>
      <c r="B2749">
        <v>14</v>
      </c>
      <c r="C2749">
        <v>1.3698630136986301E-2</v>
      </c>
    </row>
    <row r="2750" spans="1:3" x14ac:dyDescent="0.25">
      <c r="A2750" t="s">
        <v>225</v>
      </c>
      <c r="B2750">
        <v>15</v>
      </c>
      <c r="C2750">
        <v>1.3698630136986301E-2</v>
      </c>
    </row>
    <row r="2751" spans="1:3" x14ac:dyDescent="0.25">
      <c r="A2751" t="s">
        <v>234</v>
      </c>
      <c r="B2751">
        <v>11</v>
      </c>
      <c r="C2751">
        <v>1.0958904109589041E-2</v>
      </c>
    </row>
    <row r="2752" spans="1:3" x14ac:dyDescent="0.25">
      <c r="A2752" t="s">
        <v>217</v>
      </c>
      <c r="B2752">
        <v>14</v>
      </c>
      <c r="C2752">
        <v>1.643835616438356E-2</v>
      </c>
    </row>
    <row r="2753" spans="1:3" x14ac:dyDescent="0.25">
      <c r="A2753" t="s">
        <v>187</v>
      </c>
      <c r="B2753">
        <v>22</v>
      </c>
      <c r="C2753">
        <v>1.643835616438356E-2</v>
      </c>
    </row>
    <row r="2754" spans="1:3" x14ac:dyDescent="0.25">
      <c r="A2754" t="s">
        <v>173</v>
      </c>
      <c r="B2754">
        <v>23</v>
      </c>
      <c r="C2754">
        <v>1.0958904109589041E-2</v>
      </c>
    </row>
    <row r="2755" spans="1:3" x14ac:dyDescent="0.25">
      <c r="A2755" t="s">
        <v>123</v>
      </c>
      <c r="B2755">
        <v>23</v>
      </c>
      <c r="C2755">
        <v>1.0958904109589041E-2</v>
      </c>
    </row>
    <row r="2756" spans="1:3" x14ac:dyDescent="0.25">
      <c r="A2756" t="s">
        <v>169</v>
      </c>
      <c r="B2756">
        <v>20</v>
      </c>
      <c r="C2756">
        <v>1.3698630136986301E-2</v>
      </c>
    </row>
    <row r="2757" spans="1:3" x14ac:dyDescent="0.25">
      <c r="A2757" t="s">
        <v>127</v>
      </c>
      <c r="B2757">
        <v>0</v>
      </c>
      <c r="C2757">
        <v>1.0958904109589041E-2</v>
      </c>
    </row>
    <row r="2758" spans="1:3" x14ac:dyDescent="0.25">
      <c r="A2758" t="s">
        <v>179</v>
      </c>
      <c r="B2758">
        <v>3</v>
      </c>
      <c r="C2758">
        <v>1.0958904109589041E-2</v>
      </c>
    </row>
    <row r="2759" spans="1:3" x14ac:dyDescent="0.25">
      <c r="A2759" t="s">
        <v>93</v>
      </c>
      <c r="B2759">
        <v>0</v>
      </c>
      <c r="C2759">
        <v>8.21917808219178E-3</v>
      </c>
    </row>
    <row r="2760" spans="1:3" x14ac:dyDescent="0.25">
      <c r="A2760" t="s">
        <v>175</v>
      </c>
      <c r="B2760">
        <v>0</v>
      </c>
      <c r="C2760">
        <v>1.0958904109589041E-2</v>
      </c>
    </row>
    <row r="2761" spans="1:3" x14ac:dyDescent="0.25">
      <c r="A2761" t="s">
        <v>203</v>
      </c>
      <c r="B2761">
        <v>0</v>
      </c>
      <c r="C2761">
        <v>8.21917808219178E-3</v>
      </c>
    </row>
    <row r="2762" spans="1:3" x14ac:dyDescent="0.25">
      <c r="A2762" t="s">
        <v>240</v>
      </c>
      <c r="B2762">
        <v>10</v>
      </c>
      <c r="C2762">
        <v>1.3698630136986301E-2</v>
      </c>
    </row>
    <row r="2763" spans="1:3" x14ac:dyDescent="0.25">
      <c r="A2763" t="s">
        <v>213</v>
      </c>
      <c r="B2763">
        <v>13</v>
      </c>
      <c r="C2763">
        <v>1.0958904109589041E-2</v>
      </c>
    </row>
    <row r="2764" spans="1:3" x14ac:dyDescent="0.25">
      <c r="A2764" t="s">
        <v>162</v>
      </c>
      <c r="B2764">
        <v>13</v>
      </c>
      <c r="C2764">
        <v>1.3698630136986301E-2</v>
      </c>
    </row>
    <row r="2765" spans="1:3" x14ac:dyDescent="0.25">
      <c r="A2765" t="s">
        <v>235</v>
      </c>
      <c r="B2765">
        <v>14</v>
      </c>
      <c r="C2765">
        <v>1.0958904109589041E-2</v>
      </c>
    </row>
    <row r="2766" spans="1:3" x14ac:dyDescent="0.25">
      <c r="A2766" t="s">
        <v>232</v>
      </c>
      <c r="B2766">
        <v>19</v>
      </c>
      <c r="C2766">
        <v>1.3698630136986301E-2</v>
      </c>
    </row>
    <row r="2767" spans="1:3" x14ac:dyDescent="0.25">
      <c r="A2767" t="s">
        <v>141</v>
      </c>
      <c r="B2767">
        <v>22</v>
      </c>
      <c r="C2767">
        <v>8.21917808219178E-3</v>
      </c>
    </row>
    <row r="2768" spans="1:3" x14ac:dyDescent="0.25">
      <c r="A2768" t="s">
        <v>136</v>
      </c>
      <c r="B2768">
        <v>7</v>
      </c>
      <c r="C2768">
        <v>5.4794520547945206E-3</v>
      </c>
    </row>
    <row r="2769" spans="1:3" x14ac:dyDescent="0.25">
      <c r="A2769" t="s">
        <v>38</v>
      </c>
      <c r="B2769">
        <v>21</v>
      </c>
      <c r="C2769">
        <v>1.0958904109589041E-2</v>
      </c>
    </row>
    <row r="2770" spans="1:3" x14ac:dyDescent="0.25">
      <c r="A2770" t="s">
        <v>158</v>
      </c>
      <c r="B2770">
        <v>2</v>
      </c>
      <c r="C2770">
        <v>5.4794520547945206E-3</v>
      </c>
    </row>
    <row r="2771" spans="1:3" x14ac:dyDescent="0.25">
      <c r="A2771" t="s">
        <v>135</v>
      </c>
      <c r="B2771">
        <v>3</v>
      </c>
      <c r="C2771">
        <v>8.21917808219178E-3</v>
      </c>
    </row>
    <row r="2772" spans="1:3" x14ac:dyDescent="0.25">
      <c r="A2772" t="s">
        <v>157</v>
      </c>
      <c r="B2772">
        <v>2</v>
      </c>
      <c r="C2772">
        <v>8.21917808219178E-3</v>
      </c>
    </row>
    <row r="2773" spans="1:3" x14ac:dyDescent="0.25">
      <c r="A2773" t="s">
        <v>192</v>
      </c>
      <c r="B2773">
        <v>7</v>
      </c>
      <c r="C2773">
        <v>5.4794520547945206E-3</v>
      </c>
    </row>
    <row r="2774" spans="1:3" x14ac:dyDescent="0.25">
      <c r="A2774" t="s">
        <v>232</v>
      </c>
      <c r="B2774">
        <v>9</v>
      </c>
      <c r="C2774">
        <v>1.3698630136986301E-2</v>
      </c>
    </row>
    <row r="2775" spans="1:3" x14ac:dyDescent="0.25">
      <c r="A2775" t="s">
        <v>43</v>
      </c>
      <c r="B2775">
        <v>0</v>
      </c>
      <c r="C2775">
        <v>1.0958904109589041E-2</v>
      </c>
    </row>
    <row r="2776" spans="1:3" x14ac:dyDescent="0.25">
      <c r="A2776" t="s">
        <v>208</v>
      </c>
      <c r="B2776">
        <v>15</v>
      </c>
      <c r="C2776">
        <v>1.3698630136986301E-2</v>
      </c>
    </row>
    <row r="2777" spans="1:3" x14ac:dyDescent="0.25">
      <c r="A2777" t="s">
        <v>216</v>
      </c>
      <c r="B2777">
        <v>14</v>
      </c>
      <c r="C2777">
        <v>1.3698630136986301E-2</v>
      </c>
    </row>
    <row r="2778" spans="1:3" x14ac:dyDescent="0.25">
      <c r="A2778" t="s">
        <v>165</v>
      </c>
      <c r="B2778">
        <v>11</v>
      </c>
      <c r="C2778">
        <v>8.21917808219178E-3</v>
      </c>
    </row>
    <row r="2779" spans="1:3" x14ac:dyDescent="0.25">
      <c r="A2779" t="s">
        <v>235</v>
      </c>
      <c r="B2779">
        <v>9</v>
      </c>
      <c r="C2779">
        <v>1.0958904109589041E-2</v>
      </c>
    </row>
    <row r="2780" spans="1:3" x14ac:dyDescent="0.25">
      <c r="A2780" t="s">
        <v>210</v>
      </c>
      <c r="B2780">
        <v>20</v>
      </c>
      <c r="C2780">
        <v>1.0958904109589041E-2</v>
      </c>
    </row>
    <row r="2781" spans="1:3" x14ac:dyDescent="0.25">
      <c r="A2781" t="s">
        <v>227</v>
      </c>
      <c r="B2781">
        <v>18</v>
      </c>
      <c r="C2781">
        <v>1.0958904109589041E-2</v>
      </c>
    </row>
    <row r="2782" spans="1:3" x14ac:dyDescent="0.25">
      <c r="A2782" t="s">
        <v>218</v>
      </c>
      <c r="B2782">
        <v>19</v>
      </c>
      <c r="C2782">
        <v>8.21917808219178E-3</v>
      </c>
    </row>
    <row r="2783" spans="1:3" x14ac:dyDescent="0.25">
      <c r="A2783" t="s">
        <v>157</v>
      </c>
      <c r="B2783">
        <v>22</v>
      </c>
      <c r="C2783">
        <v>1.0958904109589041E-2</v>
      </c>
    </row>
    <row r="2784" spans="1:3" x14ac:dyDescent="0.25">
      <c r="A2784" t="s">
        <v>167</v>
      </c>
      <c r="B2784">
        <v>2</v>
      </c>
      <c r="C2784">
        <v>1.0958904109589041E-2</v>
      </c>
    </row>
    <row r="2785" spans="1:3" x14ac:dyDescent="0.25">
      <c r="A2785" t="s">
        <v>175</v>
      </c>
      <c r="B2785">
        <v>7</v>
      </c>
      <c r="C2785">
        <v>1.0958904109589041E-2</v>
      </c>
    </row>
    <row r="2786" spans="1:3" x14ac:dyDescent="0.25">
      <c r="A2786" t="s">
        <v>209</v>
      </c>
      <c r="B2786">
        <v>9</v>
      </c>
      <c r="C2786">
        <v>1.3698630136986301E-2</v>
      </c>
    </row>
    <row r="2787" spans="1:3" x14ac:dyDescent="0.25">
      <c r="A2787" t="s">
        <v>139</v>
      </c>
      <c r="B2787">
        <v>15</v>
      </c>
      <c r="C2787">
        <v>1.9178082191780823E-2</v>
      </c>
    </row>
    <row r="2788" spans="1:3" x14ac:dyDescent="0.25">
      <c r="A2788" t="s">
        <v>205</v>
      </c>
      <c r="B2788">
        <v>11</v>
      </c>
      <c r="C2788">
        <v>1.3698630136986301E-2</v>
      </c>
    </row>
    <row r="2789" spans="1:3" x14ac:dyDescent="0.25">
      <c r="A2789" t="s">
        <v>128</v>
      </c>
      <c r="B2789">
        <v>15</v>
      </c>
      <c r="C2789">
        <v>1.0958904109589041E-2</v>
      </c>
    </row>
    <row r="2790" spans="1:3" x14ac:dyDescent="0.25">
      <c r="A2790" t="s">
        <v>232</v>
      </c>
      <c r="B2790">
        <v>14</v>
      </c>
      <c r="C2790">
        <v>1.3698630136986301E-2</v>
      </c>
    </row>
    <row r="2791" spans="1:3" x14ac:dyDescent="0.25">
      <c r="A2791" t="s">
        <v>195</v>
      </c>
      <c r="B2791">
        <v>12</v>
      </c>
      <c r="C2791">
        <v>1.3698630136986301E-2</v>
      </c>
    </row>
    <row r="2792" spans="1:3" x14ac:dyDescent="0.25">
      <c r="A2792" t="s">
        <v>184</v>
      </c>
      <c r="B2792">
        <v>20</v>
      </c>
      <c r="C2792">
        <v>8.21917808219178E-3</v>
      </c>
    </row>
    <row r="2793" spans="1:3" x14ac:dyDescent="0.25">
      <c r="A2793" t="s">
        <v>197</v>
      </c>
      <c r="B2793">
        <v>21</v>
      </c>
      <c r="C2793">
        <v>8.21917808219178E-3</v>
      </c>
    </row>
    <row r="2794" spans="1:3" x14ac:dyDescent="0.25">
      <c r="A2794" t="s">
        <v>173</v>
      </c>
      <c r="B2794">
        <v>21</v>
      </c>
      <c r="C2794">
        <v>1.0958904109589041E-2</v>
      </c>
    </row>
    <row r="2795" spans="1:3" x14ac:dyDescent="0.25">
      <c r="A2795" t="s">
        <v>202</v>
      </c>
      <c r="B2795">
        <v>4</v>
      </c>
      <c r="C2795">
        <v>8.21917808219178E-3</v>
      </c>
    </row>
    <row r="2796" spans="1:3" x14ac:dyDescent="0.25">
      <c r="A2796" t="s">
        <v>150</v>
      </c>
      <c r="B2796">
        <v>7</v>
      </c>
      <c r="C2796">
        <v>1.3698630136986301E-2</v>
      </c>
    </row>
    <row r="2797" spans="1:3" x14ac:dyDescent="0.25">
      <c r="A2797" t="s">
        <v>235</v>
      </c>
      <c r="B2797">
        <v>0</v>
      </c>
      <c r="C2797">
        <v>8.21917808219178E-3</v>
      </c>
    </row>
    <row r="2798" spans="1:3" x14ac:dyDescent="0.25">
      <c r="A2798" t="s">
        <v>133</v>
      </c>
      <c r="B2798">
        <v>4</v>
      </c>
      <c r="C2798">
        <v>1.3698630136986301E-2</v>
      </c>
    </row>
    <row r="2799" spans="1:3" x14ac:dyDescent="0.25">
      <c r="A2799" t="s">
        <v>171</v>
      </c>
      <c r="B2799">
        <v>5</v>
      </c>
      <c r="C2799">
        <v>5.4794520547945206E-3</v>
      </c>
    </row>
    <row r="2800" spans="1:3" x14ac:dyDescent="0.25">
      <c r="A2800" t="s">
        <v>139</v>
      </c>
      <c r="B2800">
        <v>12</v>
      </c>
      <c r="C2800">
        <v>1.9178082191780823E-2</v>
      </c>
    </row>
    <row r="2801" spans="1:3" x14ac:dyDescent="0.25">
      <c r="A2801" t="s">
        <v>159</v>
      </c>
      <c r="B2801">
        <v>14</v>
      </c>
      <c r="C2801">
        <v>1.0958904109589041E-2</v>
      </c>
    </row>
    <row r="2802" spans="1:3" x14ac:dyDescent="0.25">
      <c r="A2802" t="s">
        <v>213</v>
      </c>
      <c r="B2802">
        <v>11</v>
      </c>
      <c r="C2802">
        <v>8.21917808219178E-3</v>
      </c>
    </row>
    <row r="2803" spans="1:3" x14ac:dyDescent="0.25">
      <c r="A2803" t="s">
        <v>227</v>
      </c>
      <c r="B2803">
        <v>13</v>
      </c>
      <c r="C2803">
        <v>1.0958904109589041E-2</v>
      </c>
    </row>
    <row r="2804" spans="1:3" x14ac:dyDescent="0.25">
      <c r="A2804" t="s">
        <v>205</v>
      </c>
      <c r="B2804">
        <v>9</v>
      </c>
      <c r="C2804">
        <v>1.0958904109589041E-2</v>
      </c>
    </row>
    <row r="2805" spans="1:3" x14ac:dyDescent="0.25">
      <c r="A2805" t="s">
        <v>224</v>
      </c>
      <c r="B2805">
        <v>11</v>
      </c>
      <c r="C2805">
        <v>1.0958904109589041E-2</v>
      </c>
    </row>
    <row r="2806" spans="1:3" x14ac:dyDescent="0.25">
      <c r="A2806" t="s">
        <v>228</v>
      </c>
      <c r="B2806">
        <v>21</v>
      </c>
      <c r="C2806">
        <v>8.21917808219178E-3</v>
      </c>
    </row>
    <row r="2807" spans="1:3" x14ac:dyDescent="0.25">
      <c r="A2807" t="s">
        <v>235</v>
      </c>
      <c r="B2807">
        <v>17</v>
      </c>
      <c r="C2807">
        <v>1.0958904109589041E-2</v>
      </c>
    </row>
    <row r="2808" spans="1:3" x14ac:dyDescent="0.25">
      <c r="A2808" t="s">
        <v>86</v>
      </c>
      <c r="B2808">
        <v>22</v>
      </c>
      <c r="C2808">
        <v>8.21917808219178E-3</v>
      </c>
    </row>
    <row r="2809" spans="1:3" x14ac:dyDescent="0.25">
      <c r="A2809" t="s">
        <v>165</v>
      </c>
      <c r="B2809">
        <v>19</v>
      </c>
      <c r="C2809">
        <v>1.643835616438356E-2</v>
      </c>
    </row>
    <row r="2810" spans="1:3" x14ac:dyDescent="0.25">
      <c r="A2810" t="s">
        <v>170</v>
      </c>
      <c r="B2810">
        <v>18</v>
      </c>
      <c r="C2810">
        <v>1.3698630136986301E-2</v>
      </c>
    </row>
    <row r="2811" spans="1:3" x14ac:dyDescent="0.25">
      <c r="A2811" t="s">
        <v>45</v>
      </c>
      <c r="B2811">
        <v>21</v>
      </c>
      <c r="C2811">
        <v>8.21917808219178E-3</v>
      </c>
    </row>
    <row r="2812" spans="1:3" x14ac:dyDescent="0.25">
      <c r="A2812" t="s">
        <v>188</v>
      </c>
      <c r="B2812">
        <v>22</v>
      </c>
      <c r="C2812">
        <v>1.0958904109589041E-2</v>
      </c>
    </row>
    <row r="2813" spans="1:3" x14ac:dyDescent="0.25">
      <c r="A2813" t="s">
        <v>227</v>
      </c>
      <c r="B2813">
        <v>19</v>
      </c>
      <c r="C2813">
        <v>1.0958904109589041E-2</v>
      </c>
    </row>
    <row r="2814" spans="1:3" x14ac:dyDescent="0.25">
      <c r="A2814" t="s">
        <v>223</v>
      </c>
      <c r="B2814">
        <v>19</v>
      </c>
      <c r="C2814">
        <v>8.21917808219178E-3</v>
      </c>
    </row>
    <row r="2815" spans="1:3" x14ac:dyDescent="0.25">
      <c r="A2815" t="s">
        <v>108</v>
      </c>
      <c r="B2815">
        <v>7</v>
      </c>
      <c r="C2815">
        <v>8.21917808219178E-3</v>
      </c>
    </row>
    <row r="2816" spans="1:3" x14ac:dyDescent="0.25">
      <c r="A2816" t="s">
        <v>44</v>
      </c>
      <c r="B2816">
        <v>8</v>
      </c>
      <c r="C2816">
        <v>1.0958904109589041E-2</v>
      </c>
    </row>
    <row r="2817" spans="1:3" x14ac:dyDescent="0.25">
      <c r="A2817" t="s">
        <v>99</v>
      </c>
      <c r="B2817">
        <v>4</v>
      </c>
      <c r="C2817">
        <v>1.0958904109589041E-2</v>
      </c>
    </row>
    <row r="2818" spans="1:3" x14ac:dyDescent="0.25">
      <c r="A2818" t="s">
        <v>102</v>
      </c>
      <c r="B2818">
        <v>4</v>
      </c>
      <c r="C2818">
        <v>1.643835616438356E-2</v>
      </c>
    </row>
    <row r="2819" spans="1:3" x14ac:dyDescent="0.25">
      <c r="A2819" t="s">
        <v>119</v>
      </c>
      <c r="B2819">
        <v>7</v>
      </c>
      <c r="C2819">
        <v>8.21917808219178E-3</v>
      </c>
    </row>
    <row r="2820" spans="1:3" x14ac:dyDescent="0.25">
      <c r="A2820" t="s">
        <v>134</v>
      </c>
      <c r="B2820">
        <v>3</v>
      </c>
      <c r="C2820">
        <v>1.3698630136986301E-2</v>
      </c>
    </row>
    <row r="2821" spans="1:3" x14ac:dyDescent="0.25">
      <c r="A2821" t="s">
        <v>100</v>
      </c>
      <c r="B2821">
        <v>13</v>
      </c>
      <c r="C2821">
        <v>1.3698630136986301E-2</v>
      </c>
    </row>
    <row r="2822" spans="1:3" x14ac:dyDescent="0.25">
      <c r="A2822" t="s">
        <v>23</v>
      </c>
      <c r="B2822">
        <v>5</v>
      </c>
      <c r="C2822">
        <v>1.0958904109589041E-2</v>
      </c>
    </row>
    <row r="2823" spans="1:3" x14ac:dyDescent="0.25">
      <c r="A2823" t="s">
        <v>123</v>
      </c>
      <c r="B2823">
        <v>1</v>
      </c>
      <c r="C2823">
        <v>5.4794520547945206E-3</v>
      </c>
    </row>
    <row r="2824" spans="1:3" x14ac:dyDescent="0.25">
      <c r="A2824" t="s">
        <v>139</v>
      </c>
      <c r="B2824">
        <v>6</v>
      </c>
      <c r="C2824">
        <v>2.7397260273972603E-3</v>
      </c>
    </row>
    <row r="2825" spans="1:3" x14ac:dyDescent="0.25">
      <c r="A2825" t="s">
        <v>138</v>
      </c>
      <c r="B2825">
        <v>2</v>
      </c>
      <c r="C2825">
        <v>8.21917808219178E-3</v>
      </c>
    </row>
    <row r="2826" spans="1:3" x14ac:dyDescent="0.25">
      <c r="A2826" t="s">
        <v>115</v>
      </c>
      <c r="B2826">
        <v>2</v>
      </c>
      <c r="C2826">
        <v>1.0958904109589041E-2</v>
      </c>
    </row>
    <row r="2827" spans="1:3" x14ac:dyDescent="0.25">
      <c r="A2827" t="s">
        <v>226</v>
      </c>
      <c r="B2827">
        <v>10</v>
      </c>
      <c r="C2827">
        <v>1.3698630136986301E-2</v>
      </c>
    </row>
    <row r="2828" spans="1:3" x14ac:dyDescent="0.25">
      <c r="A2828" t="s">
        <v>100</v>
      </c>
      <c r="B2828">
        <v>18</v>
      </c>
      <c r="C2828">
        <v>1.0958904109589041E-2</v>
      </c>
    </row>
    <row r="2829" spans="1:3" x14ac:dyDescent="0.25">
      <c r="A2829" t="s">
        <v>148</v>
      </c>
      <c r="B2829">
        <v>22</v>
      </c>
      <c r="C2829">
        <v>8.21917808219178E-3</v>
      </c>
    </row>
    <row r="2830" spans="1:3" x14ac:dyDescent="0.25">
      <c r="A2830" t="s">
        <v>239</v>
      </c>
      <c r="B2830">
        <v>18</v>
      </c>
      <c r="C2830">
        <v>8.21917808219178E-3</v>
      </c>
    </row>
    <row r="2831" spans="1:3" x14ac:dyDescent="0.25">
      <c r="A2831" t="s">
        <v>175</v>
      </c>
      <c r="B2831">
        <v>21</v>
      </c>
      <c r="C2831">
        <v>1.0958904109589041E-2</v>
      </c>
    </row>
    <row r="2832" spans="1:3" x14ac:dyDescent="0.25">
      <c r="A2832" t="s">
        <v>221</v>
      </c>
      <c r="B2832">
        <v>21</v>
      </c>
      <c r="C2832">
        <v>1.0958904109589041E-2</v>
      </c>
    </row>
    <row r="2833" spans="1:3" x14ac:dyDescent="0.25">
      <c r="A2833" t="s">
        <v>121</v>
      </c>
      <c r="B2833">
        <v>22</v>
      </c>
      <c r="C2833">
        <v>3.0136986301369864E-2</v>
      </c>
    </row>
    <row r="2834" spans="1:3" x14ac:dyDescent="0.25">
      <c r="A2834" t="s">
        <v>215</v>
      </c>
      <c r="B2834">
        <v>5</v>
      </c>
      <c r="C2834">
        <v>5.4794520547945206E-3</v>
      </c>
    </row>
    <row r="2835" spans="1:3" x14ac:dyDescent="0.25">
      <c r="A2835" t="s">
        <v>25</v>
      </c>
      <c r="B2835">
        <v>2</v>
      </c>
      <c r="C2835">
        <v>1.0958904109589041E-2</v>
      </c>
    </row>
    <row r="2836" spans="1:3" x14ac:dyDescent="0.25">
      <c r="A2836" t="s">
        <v>147</v>
      </c>
      <c r="B2836">
        <v>10</v>
      </c>
      <c r="C2836">
        <v>1.9178082191780823E-2</v>
      </c>
    </row>
    <row r="2837" spans="1:3" x14ac:dyDescent="0.25">
      <c r="A2837" t="s">
        <v>98</v>
      </c>
      <c r="B2837">
        <v>8</v>
      </c>
      <c r="C2837">
        <v>1.0958904109589041E-2</v>
      </c>
    </row>
    <row r="2838" spans="1:3" x14ac:dyDescent="0.25">
      <c r="A2838" t="s">
        <v>150</v>
      </c>
      <c r="B2838">
        <v>14</v>
      </c>
      <c r="C2838">
        <v>3.5616438356164383E-2</v>
      </c>
    </row>
    <row r="2839" spans="1:3" x14ac:dyDescent="0.25">
      <c r="A2839" t="s">
        <v>219</v>
      </c>
      <c r="B2839">
        <v>11</v>
      </c>
      <c r="C2839">
        <v>1.0958904109589041E-2</v>
      </c>
    </row>
    <row r="2840" spans="1:3" x14ac:dyDescent="0.25">
      <c r="A2840" t="s">
        <v>162</v>
      </c>
      <c r="B2840">
        <v>20</v>
      </c>
      <c r="C2840">
        <v>1.0958904109589041E-2</v>
      </c>
    </row>
    <row r="2841" spans="1:3" x14ac:dyDescent="0.25">
      <c r="A2841" t="s">
        <v>98</v>
      </c>
      <c r="B2841">
        <v>19</v>
      </c>
      <c r="C2841">
        <v>1.0958904109589041E-2</v>
      </c>
    </row>
    <row r="2842" spans="1:3" x14ac:dyDescent="0.25">
      <c r="A2842" t="s">
        <v>97</v>
      </c>
      <c r="B2842">
        <v>6</v>
      </c>
      <c r="C2842">
        <v>5.4794520547945206E-3</v>
      </c>
    </row>
    <row r="2843" spans="1:3" x14ac:dyDescent="0.25">
      <c r="A2843" t="s">
        <v>113</v>
      </c>
      <c r="B2843">
        <v>3</v>
      </c>
      <c r="C2843">
        <v>5.4794520547945206E-3</v>
      </c>
    </row>
    <row r="2844" spans="1:3" x14ac:dyDescent="0.25">
      <c r="A2844" t="s">
        <v>164</v>
      </c>
      <c r="B2844">
        <v>4</v>
      </c>
      <c r="C2844">
        <v>5.4794520547945206E-3</v>
      </c>
    </row>
    <row r="2845" spans="1:3" x14ac:dyDescent="0.25">
      <c r="A2845" t="s">
        <v>183</v>
      </c>
      <c r="B2845">
        <v>4</v>
      </c>
      <c r="C2845">
        <v>5.4794520547945206E-3</v>
      </c>
    </row>
    <row r="2846" spans="1:3" x14ac:dyDescent="0.25">
      <c r="A2846" t="s">
        <v>146</v>
      </c>
      <c r="B2846">
        <v>2</v>
      </c>
      <c r="C2846">
        <v>5.4794520547945206E-3</v>
      </c>
    </row>
    <row r="2847" spans="1:3" x14ac:dyDescent="0.25">
      <c r="A2847" t="s">
        <v>111</v>
      </c>
      <c r="B2847">
        <v>2</v>
      </c>
      <c r="C2847">
        <v>1.3698630136986301E-2</v>
      </c>
    </row>
    <row r="2848" spans="1:3" x14ac:dyDescent="0.25">
      <c r="A2848" t="s">
        <v>235</v>
      </c>
      <c r="B2848">
        <v>11</v>
      </c>
      <c r="C2848">
        <v>8.21917808219178E-3</v>
      </c>
    </row>
    <row r="2849" spans="1:3" x14ac:dyDescent="0.25">
      <c r="A2849" t="s">
        <v>227</v>
      </c>
      <c r="B2849">
        <v>10</v>
      </c>
      <c r="C2849">
        <v>8.21917808219178E-3</v>
      </c>
    </row>
    <row r="2850" spans="1:3" x14ac:dyDescent="0.25">
      <c r="A2850" t="s">
        <v>154</v>
      </c>
      <c r="B2850">
        <v>20</v>
      </c>
      <c r="C2850">
        <v>8.21917808219178E-3</v>
      </c>
    </row>
    <row r="2851" spans="1:3" x14ac:dyDescent="0.25">
      <c r="A2851" t="s">
        <v>194</v>
      </c>
      <c r="B2851">
        <v>21</v>
      </c>
      <c r="C2851">
        <v>8.21917808219178E-3</v>
      </c>
    </row>
    <row r="2852" spans="1:3" x14ac:dyDescent="0.25">
      <c r="A2852" t="s">
        <v>84</v>
      </c>
      <c r="B2852">
        <v>22</v>
      </c>
      <c r="C2852">
        <v>1.0958904109589041E-2</v>
      </c>
    </row>
    <row r="2853" spans="1:3" x14ac:dyDescent="0.25">
      <c r="A2853" t="s">
        <v>154</v>
      </c>
      <c r="B2853">
        <v>18</v>
      </c>
      <c r="C2853">
        <v>8.21917808219178E-3</v>
      </c>
    </row>
    <row r="2854" spans="1:3" x14ac:dyDescent="0.25">
      <c r="A2854" t="s">
        <v>133</v>
      </c>
      <c r="B2854">
        <v>20</v>
      </c>
      <c r="C2854">
        <v>5.7534246575342465E-2</v>
      </c>
    </row>
    <row r="2855" spans="1:3" x14ac:dyDescent="0.25">
      <c r="A2855" t="s">
        <v>157</v>
      </c>
      <c r="B2855">
        <v>20</v>
      </c>
      <c r="C2855">
        <v>1.0958904109589041E-2</v>
      </c>
    </row>
    <row r="2856" spans="1:3" x14ac:dyDescent="0.25">
      <c r="A2856" t="s">
        <v>146</v>
      </c>
      <c r="B2856">
        <v>23</v>
      </c>
      <c r="C2856">
        <v>1.0958904109589041E-2</v>
      </c>
    </row>
    <row r="2857" spans="1:3" x14ac:dyDescent="0.25">
      <c r="A2857" t="s">
        <v>108</v>
      </c>
      <c r="B2857">
        <v>4</v>
      </c>
      <c r="C2857">
        <v>8.21917808219178E-3</v>
      </c>
    </row>
    <row r="2858" spans="1:3" x14ac:dyDescent="0.25">
      <c r="A2858" t="s">
        <v>136</v>
      </c>
      <c r="B2858">
        <v>0</v>
      </c>
      <c r="C2858">
        <v>5.4794520547945206E-3</v>
      </c>
    </row>
    <row r="2859" spans="1:3" x14ac:dyDescent="0.25">
      <c r="A2859" t="s">
        <v>187</v>
      </c>
      <c r="B2859">
        <v>5</v>
      </c>
      <c r="C2859">
        <v>1.0958904109589041E-2</v>
      </c>
    </row>
    <row r="2860" spans="1:3" x14ac:dyDescent="0.25">
      <c r="A2860" t="s">
        <v>23</v>
      </c>
      <c r="B2860">
        <v>3</v>
      </c>
      <c r="C2860">
        <v>1.0958904109589041E-2</v>
      </c>
    </row>
    <row r="2861" spans="1:3" x14ac:dyDescent="0.25">
      <c r="A2861" t="s">
        <v>188</v>
      </c>
      <c r="B2861">
        <v>0</v>
      </c>
      <c r="C2861">
        <v>8.21917808219178E-3</v>
      </c>
    </row>
    <row r="2862" spans="1:3" x14ac:dyDescent="0.25">
      <c r="A2862" t="s">
        <v>150</v>
      </c>
      <c r="B2862">
        <v>6</v>
      </c>
      <c r="C2862">
        <v>1.0958904109589041E-2</v>
      </c>
    </row>
    <row r="2863" spans="1:3" x14ac:dyDescent="0.25">
      <c r="A2863" t="s">
        <v>216</v>
      </c>
      <c r="B2863">
        <v>12</v>
      </c>
      <c r="C2863">
        <v>1.3698630136986301E-2</v>
      </c>
    </row>
    <row r="2864" spans="1:3" x14ac:dyDescent="0.25">
      <c r="A2864" t="s">
        <v>186</v>
      </c>
      <c r="B2864">
        <v>21</v>
      </c>
      <c r="C2864">
        <v>1.0958904109589041E-2</v>
      </c>
    </row>
    <row r="2865" spans="1:3" x14ac:dyDescent="0.25">
      <c r="A2865" t="s">
        <v>191</v>
      </c>
      <c r="B2865">
        <v>1</v>
      </c>
      <c r="C2865">
        <v>8.21917808219178E-3</v>
      </c>
    </row>
    <row r="2866" spans="1:3" x14ac:dyDescent="0.25">
      <c r="A2866" t="s">
        <v>174</v>
      </c>
      <c r="B2866">
        <v>4</v>
      </c>
      <c r="C2866">
        <v>1.3698630136986301E-2</v>
      </c>
    </row>
    <row r="2867" spans="1:3" x14ac:dyDescent="0.25">
      <c r="A2867" t="s">
        <v>176</v>
      </c>
      <c r="B2867">
        <v>1</v>
      </c>
      <c r="C2867">
        <v>8.21917808219178E-3</v>
      </c>
    </row>
    <row r="2868" spans="1:3" x14ac:dyDescent="0.25">
      <c r="A2868" t="s">
        <v>210</v>
      </c>
      <c r="B2868">
        <v>10</v>
      </c>
      <c r="C2868">
        <v>1.0958904109589041E-2</v>
      </c>
    </row>
    <row r="2869" spans="1:3" x14ac:dyDescent="0.25">
      <c r="A2869" t="s">
        <v>238</v>
      </c>
      <c r="B2869">
        <v>16</v>
      </c>
      <c r="C2869">
        <v>8.21917808219178E-3</v>
      </c>
    </row>
    <row r="2870" spans="1:3" x14ac:dyDescent="0.25">
      <c r="A2870" t="s">
        <v>119</v>
      </c>
      <c r="B2870">
        <v>22</v>
      </c>
      <c r="C2870">
        <v>1.0958904109589041E-2</v>
      </c>
    </row>
    <row r="2871" spans="1:3" x14ac:dyDescent="0.25">
      <c r="A2871" t="s">
        <v>114</v>
      </c>
      <c r="B2871">
        <v>23</v>
      </c>
      <c r="C2871">
        <v>2.7397260273972601E-2</v>
      </c>
    </row>
    <row r="2872" spans="1:3" x14ac:dyDescent="0.25">
      <c r="A2872" t="s">
        <v>209</v>
      </c>
      <c r="B2872">
        <v>20</v>
      </c>
      <c r="C2872">
        <v>1.643835616438356E-2</v>
      </c>
    </row>
    <row r="2873" spans="1:3" x14ac:dyDescent="0.25">
      <c r="A2873" t="s">
        <v>214</v>
      </c>
      <c r="B2873">
        <v>1</v>
      </c>
      <c r="C2873">
        <v>8.21917808219178E-3</v>
      </c>
    </row>
    <row r="2874" spans="1:3" x14ac:dyDescent="0.25">
      <c r="A2874" t="s">
        <v>217</v>
      </c>
      <c r="B2874">
        <v>4</v>
      </c>
      <c r="C2874">
        <v>8.21917808219178E-3</v>
      </c>
    </row>
    <row r="2875" spans="1:3" x14ac:dyDescent="0.25">
      <c r="A2875" t="s">
        <v>174</v>
      </c>
      <c r="B2875">
        <v>2</v>
      </c>
      <c r="C2875">
        <v>1.3698630136986301E-2</v>
      </c>
    </row>
    <row r="2876" spans="1:3" x14ac:dyDescent="0.25">
      <c r="A2876" t="s">
        <v>229</v>
      </c>
      <c r="B2876">
        <v>3</v>
      </c>
      <c r="C2876">
        <v>5.4794520547945206E-3</v>
      </c>
    </row>
    <row r="2877" spans="1:3" x14ac:dyDescent="0.25">
      <c r="A2877" t="s">
        <v>159</v>
      </c>
      <c r="B2877">
        <v>15</v>
      </c>
      <c r="C2877">
        <v>1.0958904109589041E-2</v>
      </c>
    </row>
    <row r="2878" spans="1:3" x14ac:dyDescent="0.25">
      <c r="A2878" t="s">
        <v>223</v>
      </c>
      <c r="B2878">
        <v>11</v>
      </c>
      <c r="C2878">
        <v>8.21917808219178E-3</v>
      </c>
    </row>
    <row r="2879" spans="1:3" x14ac:dyDescent="0.25">
      <c r="A2879" t="s">
        <v>124</v>
      </c>
      <c r="B2879">
        <v>12</v>
      </c>
      <c r="C2879">
        <v>8.21917808219178E-3</v>
      </c>
    </row>
    <row r="2880" spans="1:3" x14ac:dyDescent="0.25">
      <c r="A2880" t="s">
        <v>181</v>
      </c>
      <c r="B2880">
        <v>12</v>
      </c>
      <c r="C2880">
        <v>8.21917808219178E-3</v>
      </c>
    </row>
    <row r="2881" spans="1:3" x14ac:dyDescent="0.25">
      <c r="A2881" t="s">
        <v>223</v>
      </c>
      <c r="B2881">
        <v>12</v>
      </c>
      <c r="C2881">
        <v>8.21917808219178E-3</v>
      </c>
    </row>
    <row r="2882" spans="1:3" x14ac:dyDescent="0.25">
      <c r="A2882" t="s">
        <v>171</v>
      </c>
      <c r="B2882">
        <v>19</v>
      </c>
      <c r="C2882">
        <v>1.0958904109589041E-2</v>
      </c>
    </row>
    <row r="2883" spans="1:3" x14ac:dyDescent="0.25">
      <c r="A2883" t="s">
        <v>183</v>
      </c>
      <c r="B2883">
        <v>18</v>
      </c>
      <c r="C2883">
        <v>8.21917808219178E-3</v>
      </c>
    </row>
    <row r="2884" spans="1:3" x14ac:dyDescent="0.25">
      <c r="A2884" t="s">
        <v>214</v>
      </c>
      <c r="B2884">
        <v>22</v>
      </c>
      <c r="C2884">
        <v>1.0958904109589041E-2</v>
      </c>
    </row>
    <row r="2885" spans="1:3" x14ac:dyDescent="0.25">
      <c r="A2885" t="s">
        <v>240</v>
      </c>
      <c r="B2885">
        <v>19</v>
      </c>
      <c r="C2885">
        <v>1.3698630136986301E-2</v>
      </c>
    </row>
    <row r="2886" spans="1:3" x14ac:dyDescent="0.25">
      <c r="A2886" t="s">
        <v>169</v>
      </c>
      <c r="B2886">
        <v>21</v>
      </c>
      <c r="C2886">
        <v>1.0958904109589041E-2</v>
      </c>
    </row>
    <row r="2887" spans="1:3" x14ac:dyDescent="0.25">
      <c r="A2887" t="s">
        <v>156</v>
      </c>
      <c r="B2887">
        <v>23</v>
      </c>
      <c r="C2887">
        <v>2.1917808219178082E-2</v>
      </c>
    </row>
    <row r="2888" spans="1:3" x14ac:dyDescent="0.25">
      <c r="A2888" t="s">
        <v>202</v>
      </c>
      <c r="B2888">
        <v>1</v>
      </c>
      <c r="C2888">
        <v>8.21917808219178E-3</v>
      </c>
    </row>
    <row r="2889" spans="1:3" x14ac:dyDescent="0.25">
      <c r="A2889" t="s">
        <v>137</v>
      </c>
      <c r="B2889">
        <v>0</v>
      </c>
      <c r="C2889">
        <v>8.21917808219178E-3</v>
      </c>
    </row>
    <row r="2890" spans="1:3" x14ac:dyDescent="0.25">
      <c r="A2890" t="s">
        <v>171</v>
      </c>
      <c r="B2890">
        <v>1</v>
      </c>
      <c r="C2890">
        <v>2.7397260273972603E-3</v>
      </c>
    </row>
    <row r="2891" spans="1:3" x14ac:dyDescent="0.25">
      <c r="A2891" t="s">
        <v>185</v>
      </c>
      <c r="B2891">
        <v>1</v>
      </c>
      <c r="C2891">
        <v>1.0958904109589041E-2</v>
      </c>
    </row>
    <row r="2892" spans="1:3" x14ac:dyDescent="0.25">
      <c r="A2892" t="s">
        <v>106</v>
      </c>
      <c r="B2892">
        <v>1</v>
      </c>
      <c r="C2892">
        <v>2.4657534246575342E-2</v>
      </c>
    </row>
    <row r="2893" spans="1:3" x14ac:dyDescent="0.25">
      <c r="A2893" t="s">
        <v>163</v>
      </c>
      <c r="B2893">
        <v>1</v>
      </c>
      <c r="C2893">
        <v>1.0958904109589041E-2</v>
      </c>
    </row>
    <row r="2894" spans="1:3" x14ac:dyDescent="0.25">
      <c r="A2894" t="s">
        <v>23</v>
      </c>
      <c r="B2894">
        <v>6</v>
      </c>
      <c r="C2894">
        <v>1.0958904109589041E-2</v>
      </c>
    </row>
    <row r="2895" spans="1:3" x14ac:dyDescent="0.25">
      <c r="A2895" t="s">
        <v>160</v>
      </c>
      <c r="B2895">
        <v>5</v>
      </c>
      <c r="C2895">
        <v>1.0958904109589041E-2</v>
      </c>
    </row>
    <row r="2896" spans="1:3" x14ac:dyDescent="0.25">
      <c r="A2896" t="s">
        <v>44</v>
      </c>
      <c r="B2896">
        <v>16</v>
      </c>
      <c r="C2896">
        <v>8.21917808219178E-3</v>
      </c>
    </row>
    <row r="2897" spans="1:3" x14ac:dyDescent="0.25">
      <c r="A2897" t="s">
        <v>144</v>
      </c>
      <c r="B2897">
        <v>5</v>
      </c>
      <c r="C2897">
        <v>8.21917808219178E-3</v>
      </c>
    </row>
    <row r="2898" spans="1:3" x14ac:dyDescent="0.25">
      <c r="A2898" t="s">
        <v>79</v>
      </c>
      <c r="B2898">
        <v>3</v>
      </c>
      <c r="C2898">
        <v>5.4794520547945206E-3</v>
      </c>
    </row>
    <row r="2899" spans="1:3" x14ac:dyDescent="0.25">
      <c r="A2899" t="s">
        <v>233</v>
      </c>
      <c r="B2899">
        <v>8</v>
      </c>
      <c r="C2899">
        <v>8.21917808219178E-3</v>
      </c>
    </row>
    <row r="2900" spans="1:3" x14ac:dyDescent="0.25">
      <c r="A2900" t="s">
        <v>218</v>
      </c>
      <c r="B2900">
        <v>10</v>
      </c>
      <c r="C2900">
        <v>8.21917808219178E-3</v>
      </c>
    </row>
    <row r="2901" spans="1:3" x14ac:dyDescent="0.25">
      <c r="A2901" t="s">
        <v>166</v>
      </c>
      <c r="B2901">
        <v>12</v>
      </c>
      <c r="C2901">
        <v>1.0958904109589041E-2</v>
      </c>
    </row>
    <row r="2902" spans="1:3" x14ac:dyDescent="0.25">
      <c r="A2902" t="s">
        <v>210</v>
      </c>
      <c r="B2902">
        <v>13</v>
      </c>
      <c r="C2902">
        <v>1.0958904109589041E-2</v>
      </c>
    </row>
    <row r="2903" spans="1:3" x14ac:dyDescent="0.25">
      <c r="A2903" t="s">
        <v>227</v>
      </c>
      <c r="B2903">
        <v>14</v>
      </c>
      <c r="C2903">
        <v>8.21917808219178E-3</v>
      </c>
    </row>
    <row r="2904" spans="1:3" x14ac:dyDescent="0.25">
      <c r="A2904" t="s">
        <v>215</v>
      </c>
      <c r="B2904">
        <v>22</v>
      </c>
      <c r="C2904">
        <v>8.21917808219178E-3</v>
      </c>
    </row>
    <row r="2905" spans="1:3" x14ac:dyDescent="0.25">
      <c r="A2905" t="s">
        <v>229</v>
      </c>
      <c r="B2905">
        <v>22</v>
      </c>
      <c r="C2905">
        <v>8.21917808219178E-3</v>
      </c>
    </row>
    <row r="2906" spans="1:3" x14ac:dyDescent="0.25">
      <c r="A2906" t="s">
        <v>235</v>
      </c>
      <c r="B2906">
        <v>19</v>
      </c>
      <c r="C2906">
        <v>8.21917808219178E-3</v>
      </c>
    </row>
    <row r="2907" spans="1:3" x14ac:dyDescent="0.25">
      <c r="A2907" t="s">
        <v>151</v>
      </c>
      <c r="B2907">
        <v>4</v>
      </c>
      <c r="C2907">
        <v>8.21917808219178E-3</v>
      </c>
    </row>
    <row r="2908" spans="1:3" x14ac:dyDescent="0.25">
      <c r="A2908" t="s">
        <v>163</v>
      </c>
      <c r="B2908">
        <v>6</v>
      </c>
      <c r="C2908">
        <v>1.0958904109589041E-2</v>
      </c>
    </row>
    <row r="2909" spans="1:3" x14ac:dyDescent="0.25">
      <c r="A2909" t="s">
        <v>163</v>
      </c>
      <c r="B2909">
        <v>5</v>
      </c>
      <c r="C2909">
        <v>1.0958904109589041E-2</v>
      </c>
    </row>
    <row r="2910" spans="1:3" x14ac:dyDescent="0.25">
      <c r="A2910" t="s">
        <v>71</v>
      </c>
      <c r="B2910">
        <v>2</v>
      </c>
      <c r="C2910">
        <v>8.21917808219178E-3</v>
      </c>
    </row>
    <row r="2911" spans="1:3" x14ac:dyDescent="0.25">
      <c r="A2911" t="s">
        <v>221</v>
      </c>
      <c r="B2911">
        <v>8</v>
      </c>
      <c r="C2911">
        <v>1.0958904109589041E-2</v>
      </c>
    </row>
    <row r="2912" spans="1:3" x14ac:dyDescent="0.25">
      <c r="A2912" t="s">
        <v>226</v>
      </c>
      <c r="B2912">
        <v>15</v>
      </c>
      <c r="C2912">
        <v>1.3698630136986301E-2</v>
      </c>
    </row>
    <row r="2913" spans="1:3" x14ac:dyDescent="0.25">
      <c r="A2913" t="s">
        <v>212</v>
      </c>
      <c r="B2913">
        <v>10</v>
      </c>
      <c r="C2913">
        <v>8.21917808219178E-3</v>
      </c>
    </row>
    <row r="2914" spans="1:3" x14ac:dyDescent="0.25">
      <c r="A2914" t="s">
        <v>142</v>
      </c>
      <c r="B2914">
        <v>20</v>
      </c>
      <c r="C2914">
        <v>1.0958904109589041E-2</v>
      </c>
    </row>
    <row r="2915" spans="1:3" x14ac:dyDescent="0.25">
      <c r="A2915" t="s">
        <v>173</v>
      </c>
      <c r="B2915">
        <v>22</v>
      </c>
      <c r="C2915">
        <v>8.21917808219178E-3</v>
      </c>
    </row>
    <row r="2916" spans="1:3" x14ac:dyDescent="0.25">
      <c r="A2916" t="s">
        <v>238</v>
      </c>
      <c r="B2916">
        <v>21</v>
      </c>
      <c r="C2916">
        <v>8.21917808219178E-3</v>
      </c>
    </row>
    <row r="2917" spans="1:3" x14ac:dyDescent="0.25">
      <c r="A2917" t="s">
        <v>203</v>
      </c>
      <c r="B2917">
        <v>6</v>
      </c>
      <c r="C2917">
        <v>5.4794520547945206E-3</v>
      </c>
    </row>
    <row r="2918" spans="1:3" x14ac:dyDescent="0.25">
      <c r="A2918" t="s">
        <v>167</v>
      </c>
      <c r="B2918">
        <v>1</v>
      </c>
      <c r="C2918">
        <v>8.21917808219178E-3</v>
      </c>
    </row>
    <row r="2919" spans="1:3" x14ac:dyDescent="0.25">
      <c r="A2919" t="s">
        <v>101</v>
      </c>
      <c r="B2919">
        <v>1</v>
      </c>
      <c r="C2919">
        <v>5.4794520547945206E-3</v>
      </c>
    </row>
    <row r="2920" spans="1:3" x14ac:dyDescent="0.25">
      <c r="A2920" t="s">
        <v>230</v>
      </c>
      <c r="B2920">
        <v>15</v>
      </c>
      <c r="C2920">
        <v>8.21917808219178E-3</v>
      </c>
    </row>
    <row r="2921" spans="1:3" x14ac:dyDescent="0.25">
      <c r="A2921" t="s">
        <v>204</v>
      </c>
      <c r="B2921">
        <v>11</v>
      </c>
      <c r="C2921">
        <v>1.0958904109589041E-2</v>
      </c>
    </row>
    <row r="2922" spans="1:3" x14ac:dyDescent="0.25">
      <c r="A2922" t="s">
        <v>193</v>
      </c>
      <c r="B2922">
        <v>15</v>
      </c>
      <c r="C2922">
        <v>1.0958904109589041E-2</v>
      </c>
    </row>
    <row r="2923" spans="1:3" x14ac:dyDescent="0.25">
      <c r="A2923" t="s">
        <v>165</v>
      </c>
      <c r="B2923">
        <v>20</v>
      </c>
      <c r="C2923">
        <v>2.7397260273972603E-3</v>
      </c>
    </row>
    <row r="2924" spans="1:3" x14ac:dyDescent="0.25">
      <c r="A2924" t="s">
        <v>158</v>
      </c>
      <c r="B2924">
        <v>21</v>
      </c>
      <c r="C2924">
        <v>8.21917808219178E-3</v>
      </c>
    </row>
    <row r="2925" spans="1:3" x14ac:dyDescent="0.25">
      <c r="A2925" t="s">
        <v>85</v>
      </c>
      <c r="B2925">
        <v>20</v>
      </c>
      <c r="C2925">
        <v>8.21917808219178E-3</v>
      </c>
    </row>
    <row r="2926" spans="1:3" x14ac:dyDescent="0.25">
      <c r="A2926" t="s">
        <v>221</v>
      </c>
      <c r="B2926">
        <v>20</v>
      </c>
      <c r="C2926">
        <v>1.0958904109589041E-2</v>
      </c>
    </row>
    <row r="2927" spans="1:3" x14ac:dyDescent="0.25">
      <c r="A2927" t="s">
        <v>44</v>
      </c>
      <c r="B2927">
        <v>14</v>
      </c>
      <c r="C2927">
        <v>8.21917808219178E-3</v>
      </c>
    </row>
    <row r="2928" spans="1:3" x14ac:dyDescent="0.25">
      <c r="A2928" t="s">
        <v>75</v>
      </c>
      <c r="B2928">
        <v>4</v>
      </c>
      <c r="C2928">
        <v>1.3698630136986301E-2</v>
      </c>
    </row>
    <row r="2929" spans="1:3" x14ac:dyDescent="0.25">
      <c r="A2929" t="s">
        <v>38</v>
      </c>
      <c r="B2929">
        <v>19</v>
      </c>
      <c r="C2929">
        <v>8.21917808219178E-3</v>
      </c>
    </row>
    <row r="2930" spans="1:3" x14ac:dyDescent="0.25">
      <c r="A2930" t="s">
        <v>173</v>
      </c>
      <c r="B2930">
        <v>10</v>
      </c>
      <c r="C2930">
        <v>1.3698630136986301E-2</v>
      </c>
    </row>
    <row r="2931" spans="1:3" x14ac:dyDescent="0.25">
      <c r="A2931" t="s">
        <v>204</v>
      </c>
      <c r="B2931">
        <v>9</v>
      </c>
      <c r="C2931">
        <v>1.0958904109589041E-2</v>
      </c>
    </row>
    <row r="2932" spans="1:3" x14ac:dyDescent="0.25">
      <c r="A2932" t="s">
        <v>165</v>
      </c>
      <c r="B2932">
        <v>17</v>
      </c>
      <c r="C2932">
        <v>1.0958904109589041E-2</v>
      </c>
    </row>
    <row r="2933" spans="1:3" x14ac:dyDescent="0.25">
      <c r="A2933" t="s">
        <v>224</v>
      </c>
      <c r="B2933">
        <v>18</v>
      </c>
      <c r="C2933">
        <v>8.21917808219178E-3</v>
      </c>
    </row>
    <row r="2934" spans="1:3" x14ac:dyDescent="0.25">
      <c r="A2934" t="s">
        <v>146</v>
      </c>
      <c r="B2934">
        <v>22</v>
      </c>
      <c r="C2934">
        <v>8.21917808219178E-3</v>
      </c>
    </row>
    <row r="2935" spans="1:3" x14ac:dyDescent="0.25">
      <c r="A2935" t="s">
        <v>197</v>
      </c>
      <c r="B2935">
        <v>23</v>
      </c>
      <c r="C2935">
        <v>8.21917808219178E-3</v>
      </c>
    </row>
    <row r="2936" spans="1:3" x14ac:dyDescent="0.25">
      <c r="A2936" t="s">
        <v>241</v>
      </c>
      <c r="B2936">
        <v>17</v>
      </c>
      <c r="C2936">
        <v>8.21917808219178E-3</v>
      </c>
    </row>
    <row r="2937" spans="1:3" x14ac:dyDescent="0.25">
      <c r="A2937" t="s">
        <v>148</v>
      </c>
      <c r="B2937">
        <v>0</v>
      </c>
      <c r="C2937">
        <v>5.4794520547945206E-3</v>
      </c>
    </row>
    <row r="2938" spans="1:3" x14ac:dyDescent="0.25">
      <c r="A2938" t="s">
        <v>139</v>
      </c>
      <c r="B2938">
        <v>7</v>
      </c>
      <c r="C2938">
        <v>1.3698630136986301E-2</v>
      </c>
    </row>
    <row r="2939" spans="1:3" x14ac:dyDescent="0.25">
      <c r="A2939" t="s">
        <v>215</v>
      </c>
      <c r="B2939">
        <v>10</v>
      </c>
      <c r="C2939">
        <v>8.21917808219178E-3</v>
      </c>
    </row>
    <row r="2940" spans="1:3" x14ac:dyDescent="0.25">
      <c r="A2940" t="s">
        <v>178</v>
      </c>
      <c r="B2940">
        <v>9</v>
      </c>
      <c r="C2940">
        <v>1.0958904109589041E-2</v>
      </c>
    </row>
    <row r="2941" spans="1:3" x14ac:dyDescent="0.25">
      <c r="A2941" t="s">
        <v>146</v>
      </c>
      <c r="B2941">
        <v>11</v>
      </c>
      <c r="C2941">
        <v>1.0958904109589041E-2</v>
      </c>
    </row>
    <row r="2942" spans="1:3" x14ac:dyDescent="0.25">
      <c r="A2942" t="s">
        <v>239</v>
      </c>
      <c r="B2942">
        <v>9</v>
      </c>
      <c r="C2942">
        <v>8.21917808219178E-3</v>
      </c>
    </row>
    <row r="2943" spans="1:3" x14ac:dyDescent="0.25">
      <c r="A2943" t="s">
        <v>178</v>
      </c>
      <c r="B2943">
        <v>19</v>
      </c>
      <c r="C2943">
        <v>1.643835616438356E-2</v>
      </c>
    </row>
    <row r="2944" spans="1:3" x14ac:dyDescent="0.25">
      <c r="A2944" t="s">
        <v>44</v>
      </c>
      <c r="B2944">
        <v>9</v>
      </c>
      <c r="C2944">
        <v>8.21917808219178E-3</v>
      </c>
    </row>
    <row r="2945" spans="1:3" x14ac:dyDescent="0.25">
      <c r="A2945" t="s">
        <v>181</v>
      </c>
      <c r="B2945">
        <v>23</v>
      </c>
      <c r="C2945">
        <v>8.21917808219178E-3</v>
      </c>
    </row>
    <row r="2946" spans="1:3" x14ac:dyDescent="0.25">
      <c r="A2946" t="s">
        <v>153</v>
      </c>
      <c r="B2946">
        <v>23</v>
      </c>
      <c r="C2946">
        <v>1.643835616438356E-2</v>
      </c>
    </row>
    <row r="2947" spans="1:3" x14ac:dyDescent="0.25">
      <c r="A2947" t="s">
        <v>208</v>
      </c>
      <c r="B2947">
        <v>7</v>
      </c>
      <c r="C2947">
        <v>5.4794520547945206E-3</v>
      </c>
    </row>
    <row r="2948" spans="1:3" x14ac:dyDescent="0.25">
      <c r="A2948" t="s">
        <v>165</v>
      </c>
      <c r="B2948">
        <v>0</v>
      </c>
      <c r="C2948">
        <v>8.21917808219178E-3</v>
      </c>
    </row>
    <row r="2949" spans="1:3" x14ac:dyDescent="0.25">
      <c r="A2949" t="s">
        <v>192</v>
      </c>
      <c r="B2949">
        <v>0</v>
      </c>
      <c r="C2949">
        <v>5.4794520547945206E-3</v>
      </c>
    </row>
    <row r="2950" spans="1:3" x14ac:dyDescent="0.25">
      <c r="A2950" t="s">
        <v>172</v>
      </c>
      <c r="B2950">
        <v>7</v>
      </c>
      <c r="C2950">
        <v>1.0958904109589041E-2</v>
      </c>
    </row>
    <row r="2951" spans="1:3" x14ac:dyDescent="0.25">
      <c r="A2951" t="s">
        <v>150</v>
      </c>
      <c r="B2951">
        <v>12</v>
      </c>
      <c r="C2951">
        <v>3.5616438356164383E-2</v>
      </c>
    </row>
    <row r="2952" spans="1:3" x14ac:dyDescent="0.25">
      <c r="A2952" t="s">
        <v>203</v>
      </c>
      <c r="B2952">
        <v>12</v>
      </c>
      <c r="C2952">
        <v>1.0958904109589041E-2</v>
      </c>
    </row>
    <row r="2953" spans="1:3" x14ac:dyDescent="0.25">
      <c r="A2953" t="s">
        <v>154</v>
      </c>
      <c r="B2953">
        <v>15</v>
      </c>
      <c r="C2953">
        <v>8.21917808219178E-3</v>
      </c>
    </row>
    <row r="2954" spans="1:3" x14ac:dyDescent="0.25">
      <c r="A2954" t="s">
        <v>197</v>
      </c>
      <c r="B2954">
        <v>22</v>
      </c>
      <c r="C2954">
        <v>8.21917808219178E-3</v>
      </c>
    </row>
    <row r="2955" spans="1:3" x14ac:dyDescent="0.25">
      <c r="A2955" t="s">
        <v>189</v>
      </c>
      <c r="B2955">
        <v>22</v>
      </c>
      <c r="C2955">
        <v>8.21917808219178E-3</v>
      </c>
    </row>
    <row r="2956" spans="1:3" x14ac:dyDescent="0.25">
      <c r="A2956" t="s">
        <v>198</v>
      </c>
      <c r="B2956">
        <v>23</v>
      </c>
      <c r="C2956">
        <v>1.3698630136986301E-2</v>
      </c>
    </row>
    <row r="2957" spans="1:3" x14ac:dyDescent="0.25">
      <c r="A2957" t="s">
        <v>188</v>
      </c>
      <c r="B2957">
        <v>20</v>
      </c>
      <c r="C2957">
        <v>8.21917808219178E-3</v>
      </c>
    </row>
    <row r="2958" spans="1:3" x14ac:dyDescent="0.25">
      <c r="A2958" t="s">
        <v>202</v>
      </c>
      <c r="B2958">
        <v>0</v>
      </c>
      <c r="C2958">
        <v>8.21917808219178E-3</v>
      </c>
    </row>
    <row r="2959" spans="1:3" x14ac:dyDescent="0.25">
      <c r="A2959" t="s">
        <v>127</v>
      </c>
      <c r="B2959">
        <v>2</v>
      </c>
      <c r="C2959">
        <v>1.0958904109589041E-2</v>
      </c>
    </row>
    <row r="2960" spans="1:3" x14ac:dyDescent="0.25">
      <c r="A2960" t="s">
        <v>127</v>
      </c>
      <c r="B2960">
        <v>22</v>
      </c>
      <c r="C2960">
        <v>1.0958904109589041E-2</v>
      </c>
    </row>
    <row r="2961" spans="1:3" x14ac:dyDescent="0.25">
      <c r="A2961" t="s">
        <v>181</v>
      </c>
      <c r="B2961">
        <v>18</v>
      </c>
      <c r="C2961">
        <v>8.21917808219178E-3</v>
      </c>
    </row>
    <row r="2962" spans="1:3" x14ac:dyDescent="0.25">
      <c r="A2962" t="s">
        <v>170</v>
      </c>
      <c r="B2962">
        <v>20</v>
      </c>
      <c r="C2962">
        <v>1.0958904109589041E-2</v>
      </c>
    </row>
    <row r="2963" spans="1:3" x14ac:dyDescent="0.25">
      <c r="A2963" t="s">
        <v>161</v>
      </c>
      <c r="B2963">
        <v>22</v>
      </c>
      <c r="C2963">
        <v>8.21917808219178E-3</v>
      </c>
    </row>
    <row r="2964" spans="1:3" x14ac:dyDescent="0.25">
      <c r="A2964" t="s">
        <v>141</v>
      </c>
      <c r="B2964">
        <v>0</v>
      </c>
      <c r="C2964">
        <v>1.3698630136986301E-2</v>
      </c>
    </row>
    <row r="2965" spans="1:3" x14ac:dyDescent="0.25">
      <c r="A2965" t="s">
        <v>180</v>
      </c>
      <c r="B2965">
        <v>6</v>
      </c>
      <c r="C2965">
        <v>5.4794520547945206E-3</v>
      </c>
    </row>
    <row r="2966" spans="1:3" x14ac:dyDescent="0.25">
      <c r="A2966" t="s">
        <v>175</v>
      </c>
      <c r="B2966">
        <v>5</v>
      </c>
      <c r="C2966">
        <v>8.21917808219178E-3</v>
      </c>
    </row>
    <row r="2967" spans="1:3" x14ac:dyDescent="0.25">
      <c r="A2967" t="s">
        <v>219</v>
      </c>
      <c r="B2967">
        <v>8</v>
      </c>
      <c r="C2967">
        <v>8.21917808219178E-3</v>
      </c>
    </row>
    <row r="2968" spans="1:3" x14ac:dyDescent="0.25">
      <c r="A2968" t="s">
        <v>207</v>
      </c>
      <c r="B2968">
        <v>15</v>
      </c>
      <c r="C2968">
        <v>1.0958904109589041E-2</v>
      </c>
    </row>
    <row r="2969" spans="1:3" x14ac:dyDescent="0.25">
      <c r="A2969" t="s">
        <v>220</v>
      </c>
      <c r="B2969">
        <v>12</v>
      </c>
      <c r="C2969">
        <v>8.21917808219178E-3</v>
      </c>
    </row>
    <row r="2970" spans="1:3" x14ac:dyDescent="0.25">
      <c r="A2970" t="s">
        <v>204</v>
      </c>
      <c r="B2970">
        <v>15</v>
      </c>
      <c r="C2970">
        <v>1.0958904109589041E-2</v>
      </c>
    </row>
    <row r="2971" spans="1:3" x14ac:dyDescent="0.25">
      <c r="A2971" t="s">
        <v>196</v>
      </c>
      <c r="B2971">
        <v>11</v>
      </c>
      <c r="C2971">
        <v>1.0958904109589041E-2</v>
      </c>
    </row>
    <row r="2972" spans="1:3" x14ac:dyDescent="0.25">
      <c r="A2972" t="s">
        <v>177</v>
      </c>
      <c r="B2972">
        <v>11</v>
      </c>
      <c r="C2972">
        <v>1.0958904109589041E-2</v>
      </c>
    </row>
    <row r="2973" spans="1:3" x14ac:dyDescent="0.25">
      <c r="A2973" t="s">
        <v>216</v>
      </c>
      <c r="B2973">
        <v>9</v>
      </c>
      <c r="C2973">
        <v>1.3698630136986301E-2</v>
      </c>
    </row>
    <row r="2974" spans="1:3" x14ac:dyDescent="0.25">
      <c r="A2974" t="s">
        <v>194</v>
      </c>
      <c r="B2974">
        <v>11</v>
      </c>
      <c r="C2974">
        <v>1.3698630136986301E-2</v>
      </c>
    </row>
    <row r="2975" spans="1:3" x14ac:dyDescent="0.25">
      <c r="A2975" t="s">
        <v>147</v>
      </c>
      <c r="B2975">
        <v>14</v>
      </c>
      <c r="C2975">
        <v>2.4657534246575342E-2</v>
      </c>
    </row>
    <row r="2976" spans="1:3" x14ac:dyDescent="0.25">
      <c r="A2976" t="s">
        <v>85</v>
      </c>
      <c r="B2976">
        <v>18</v>
      </c>
      <c r="C2976">
        <v>8.21917808219178E-3</v>
      </c>
    </row>
    <row r="2977" spans="1:3" x14ac:dyDescent="0.25">
      <c r="A2977" t="s">
        <v>179</v>
      </c>
      <c r="B2977">
        <v>19</v>
      </c>
      <c r="C2977">
        <v>3.5616438356164383E-2</v>
      </c>
    </row>
    <row r="2978" spans="1:3" x14ac:dyDescent="0.25">
      <c r="A2978" t="s">
        <v>217</v>
      </c>
      <c r="B2978">
        <v>22</v>
      </c>
      <c r="C2978">
        <v>8.21917808219178E-3</v>
      </c>
    </row>
    <row r="2979" spans="1:3" x14ac:dyDescent="0.25">
      <c r="A2979" t="s">
        <v>45</v>
      </c>
      <c r="B2979">
        <v>1</v>
      </c>
      <c r="C2979">
        <v>2.7397260273972603E-3</v>
      </c>
    </row>
    <row r="2980" spans="1:3" x14ac:dyDescent="0.25">
      <c r="A2980" t="s">
        <v>147</v>
      </c>
      <c r="B2980">
        <v>1</v>
      </c>
      <c r="C2980">
        <v>8.21917808219178E-3</v>
      </c>
    </row>
    <row r="2981" spans="1:3" x14ac:dyDescent="0.25">
      <c r="A2981" t="s">
        <v>116</v>
      </c>
      <c r="B2981">
        <v>6</v>
      </c>
      <c r="C2981">
        <v>8.21917808219178E-3</v>
      </c>
    </row>
    <row r="2982" spans="1:3" x14ac:dyDescent="0.25">
      <c r="A2982" t="s">
        <v>100</v>
      </c>
      <c r="B2982">
        <v>3</v>
      </c>
      <c r="C2982">
        <v>5.4794520547945206E-3</v>
      </c>
    </row>
    <row r="2983" spans="1:3" x14ac:dyDescent="0.25">
      <c r="A2983" t="s">
        <v>224</v>
      </c>
      <c r="B2983">
        <v>13</v>
      </c>
      <c r="C2983">
        <v>1.0958904109589041E-2</v>
      </c>
    </row>
    <row r="2984" spans="1:3" x14ac:dyDescent="0.25">
      <c r="A2984" t="s">
        <v>209</v>
      </c>
      <c r="B2984">
        <v>16</v>
      </c>
      <c r="C2984">
        <v>1.3698630136986301E-2</v>
      </c>
    </row>
    <row r="2985" spans="1:3" x14ac:dyDescent="0.25">
      <c r="A2985" t="s">
        <v>164</v>
      </c>
      <c r="B2985">
        <v>3</v>
      </c>
      <c r="C2985">
        <v>2.7397260273972603E-3</v>
      </c>
    </row>
    <row r="2986" spans="1:3" x14ac:dyDescent="0.25">
      <c r="A2986" t="s">
        <v>187</v>
      </c>
      <c r="B2986">
        <v>2</v>
      </c>
      <c r="C2986">
        <v>8.21917808219178E-3</v>
      </c>
    </row>
    <row r="2987" spans="1:3" x14ac:dyDescent="0.25">
      <c r="A2987" t="s">
        <v>172</v>
      </c>
      <c r="B2987">
        <v>8</v>
      </c>
      <c r="C2987">
        <v>1.3698630136986301E-2</v>
      </c>
    </row>
    <row r="2988" spans="1:3" x14ac:dyDescent="0.25">
      <c r="A2988" t="s">
        <v>154</v>
      </c>
      <c r="B2988">
        <v>19</v>
      </c>
      <c r="C2988">
        <v>5.4794520547945206E-3</v>
      </c>
    </row>
    <row r="2989" spans="1:3" x14ac:dyDescent="0.25">
      <c r="A2989" t="s">
        <v>172</v>
      </c>
      <c r="B2989">
        <v>19</v>
      </c>
      <c r="C2989">
        <v>1.0958904109589041E-2</v>
      </c>
    </row>
    <row r="2990" spans="1:3" x14ac:dyDescent="0.25">
      <c r="A2990" t="s">
        <v>226</v>
      </c>
      <c r="B2990">
        <v>21</v>
      </c>
      <c r="C2990">
        <v>8.21917808219178E-3</v>
      </c>
    </row>
    <row r="2991" spans="1:3" x14ac:dyDescent="0.25">
      <c r="A2991" t="s">
        <v>108</v>
      </c>
      <c r="B2991">
        <v>0</v>
      </c>
      <c r="C2991">
        <v>5.4794520547945206E-3</v>
      </c>
    </row>
    <row r="2992" spans="1:3" x14ac:dyDescent="0.25">
      <c r="A2992" t="s">
        <v>125</v>
      </c>
      <c r="B2992">
        <v>5</v>
      </c>
      <c r="C2992">
        <v>8.21917808219178E-3</v>
      </c>
    </row>
    <row r="2993" spans="1:3" x14ac:dyDescent="0.25">
      <c r="A2993" t="s">
        <v>212</v>
      </c>
      <c r="B2993">
        <v>3</v>
      </c>
      <c r="C2993">
        <v>8.21917808219178E-3</v>
      </c>
    </row>
    <row r="2994" spans="1:3" x14ac:dyDescent="0.25">
      <c r="A2994" t="s">
        <v>174</v>
      </c>
      <c r="B2994">
        <v>3</v>
      </c>
      <c r="C2994">
        <v>1.3698630136986301E-2</v>
      </c>
    </row>
    <row r="2995" spans="1:3" x14ac:dyDescent="0.25">
      <c r="A2995" t="s">
        <v>178</v>
      </c>
      <c r="B2995">
        <v>8</v>
      </c>
      <c r="C2995">
        <v>1.0958904109589041E-2</v>
      </c>
    </row>
    <row r="2996" spans="1:3" x14ac:dyDescent="0.25">
      <c r="A2996" t="s">
        <v>224</v>
      </c>
      <c r="B2996">
        <v>20</v>
      </c>
      <c r="C2996">
        <v>8.21917808219178E-3</v>
      </c>
    </row>
    <row r="2997" spans="1:3" x14ac:dyDescent="0.25">
      <c r="A2997" t="s">
        <v>167</v>
      </c>
      <c r="B2997">
        <v>22</v>
      </c>
      <c r="C2997">
        <v>8.21917808219178E-3</v>
      </c>
    </row>
    <row r="2998" spans="1:3" x14ac:dyDescent="0.25">
      <c r="A2998" t="s">
        <v>176</v>
      </c>
      <c r="B2998">
        <v>22</v>
      </c>
      <c r="C2998">
        <v>8.21917808219178E-3</v>
      </c>
    </row>
    <row r="2999" spans="1:3" x14ac:dyDescent="0.25">
      <c r="A2999" t="s">
        <v>212</v>
      </c>
      <c r="B2999">
        <v>17</v>
      </c>
      <c r="C2999">
        <v>8.21917808219178E-3</v>
      </c>
    </row>
    <row r="3000" spans="1:3" x14ac:dyDescent="0.25">
      <c r="A3000" t="s">
        <v>192</v>
      </c>
      <c r="B3000">
        <v>1</v>
      </c>
      <c r="C3000">
        <v>5.4794520547945206E-3</v>
      </c>
    </row>
    <row r="3001" spans="1:3" x14ac:dyDescent="0.25">
      <c r="A3001" t="s">
        <v>143</v>
      </c>
      <c r="B3001">
        <v>5</v>
      </c>
      <c r="C3001">
        <v>8.21917808219178E-3</v>
      </c>
    </row>
    <row r="3002" spans="1:3" x14ac:dyDescent="0.25">
      <c r="A3002" t="s">
        <v>141</v>
      </c>
      <c r="B3002">
        <v>7</v>
      </c>
      <c r="C3002">
        <v>1.0958904109589041E-2</v>
      </c>
    </row>
    <row r="3003" spans="1:3" x14ac:dyDescent="0.25">
      <c r="A3003" t="s">
        <v>211</v>
      </c>
      <c r="B3003">
        <v>0</v>
      </c>
      <c r="C3003">
        <v>8.21917808219178E-3</v>
      </c>
    </row>
    <row r="3004" spans="1:3" x14ac:dyDescent="0.25">
      <c r="A3004" t="s">
        <v>181</v>
      </c>
      <c r="B3004">
        <v>15</v>
      </c>
      <c r="C3004">
        <v>8.21917808219178E-3</v>
      </c>
    </row>
    <row r="3005" spans="1:3" x14ac:dyDescent="0.25">
      <c r="A3005" t="s">
        <v>172</v>
      </c>
      <c r="B3005">
        <v>22</v>
      </c>
      <c r="C3005">
        <v>8.21917808219178E-3</v>
      </c>
    </row>
    <row r="3006" spans="1:3" x14ac:dyDescent="0.25">
      <c r="A3006" t="s">
        <v>232</v>
      </c>
      <c r="B3006">
        <v>11</v>
      </c>
      <c r="C3006">
        <v>1.3698630136986301E-2</v>
      </c>
    </row>
    <row r="3007" spans="1:3" x14ac:dyDescent="0.25">
      <c r="A3007" t="s">
        <v>204</v>
      </c>
      <c r="B3007">
        <v>10</v>
      </c>
      <c r="C3007">
        <v>1.0958904109589041E-2</v>
      </c>
    </row>
    <row r="3008" spans="1:3" x14ac:dyDescent="0.25">
      <c r="A3008" t="s">
        <v>222</v>
      </c>
      <c r="B3008">
        <v>13</v>
      </c>
      <c r="C3008">
        <v>8.21917808219178E-3</v>
      </c>
    </row>
    <row r="3009" spans="1:3" x14ac:dyDescent="0.25">
      <c r="A3009" t="s">
        <v>193</v>
      </c>
      <c r="B3009">
        <v>11</v>
      </c>
      <c r="C3009">
        <v>1.0958904109589041E-2</v>
      </c>
    </row>
    <row r="3010" spans="1:3" x14ac:dyDescent="0.25">
      <c r="A3010" t="s">
        <v>196</v>
      </c>
      <c r="B3010">
        <v>17</v>
      </c>
      <c r="C3010">
        <v>8.21917808219178E-3</v>
      </c>
    </row>
    <row r="3011" spans="1:3" x14ac:dyDescent="0.25">
      <c r="A3011" t="s">
        <v>211</v>
      </c>
      <c r="B3011">
        <v>21</v>
      </c>
      <c r="C3011">
        <v>8.21917808219178E-3</v>
      </c>
    </row>
    <row r="3012" spans="1:3" x14ac:dyDescent="0.25">
      <c r="A3012" t="s">
        <v>148</v>
      </c>
      <c r="B3012">
        <v>15</v>
      </c>
      <c r="C3012">
        <v>8.21917808219178E-3</v>
      </c>
    </row>
    <row r="3013" spans="1:3" x14ac:dyDescent="0.25">
      <c r="A3013" t="s">
        <v>132</v>
      </c>
      <c r="B3013">
        <v>12</v>
      </c>
      <c r="C3013">
        <v>8.21917808219178E-3</v>
      </c>
    </row>
    <row r="3014" spans="1:3" x14ac:dyDescent="0.25">
      <c r="A3014" t="s">
        <v>146</v>
      </c>
      <c r="B3014">
        <v>10</v>
      </c>
      <c r="C3014">
        <v>1.0958904109589041E-2</v>
      </c>
    </row>
    <row r="3015" spans="1:3" x14ac:dyDescent="0.25">
      <c r="A3015" t="s">
        <v>150</v>
      </c>
      <c r="B3015">
        <v>15</v>
      </c>
      <c r="C3015">
        <v>3.0136986301369864E-2</v>
      </c>
    </row>
    <row r="3016" spans="1:3" x14ac:dyDescent="0.25">
      <c r="A3016" t="s">
        <v>146</v>
      </c>
      <c r="B3016">
        <v>14</v>
      </c>
      <c r="C3016">
        <v>8.21917808219178E-3</v>
      </c>
    </row>
    <row r="3017" spans="1:3" x14ac:dyDescent="0.25">
      <c r="A3017" t="s">
        <v>234</v>
      </c>
      <c r="B3017">
        <v>21</v>
      </c>
      <c r="C3017">
        <v>5.4794520547945206E-3</v>
      </c>
    </row>
    <row r="3018" spans="1:3" x14ac:dyDescent="0.25">
      <c r="A3018" t="s">
        <v>183</v>
      </c>
      <c r="B3018">
        <v>21</v>
      </c>
      <c r="C3018">
        <v>5.4794520547945206E-3</v>
      </c>
    </row>
    <row r="3019" spans="1:3" x14ac:dyDescent="0.25">
      <c r="A3019" t="s">
        <v>137</v>
      </c>
      <c r="B3019">
        <v>22</v>
      </c>
      <c r="C3019">
        <v>5.4794520547945206E-3</v>
      </c>
    </row>
    <row r="3020" spans="1:3" x14ac:dyDescent="0.25">
      <c r="A3020" t="s">
        <v>195</v>
      </c>
      <c r="B3020">
        <v>7</v>
      </c>
      <c r="C3020">
        <v>5.4794520547945206E-3</v>
      </c>
    </row>
    <row r="3021" spans="1:3" x14ac:dyDescent="0.25">
      <c r="A3021" t="s">
        <v>78</v>
      </c>
      <c r="B3021">
        <v>3</v>
      </c>
      <c r="C3021">
        <v>5.4794520547945206E-3</v>
      </c>
    </row>
    <row r="3022" spans="1:3" x14ac:dyDescent="0.25">
      <c r="A3022" t="s">
        <v>93</v>
      </c>
      <c r="B3022">
        <v>6</v>
      </c>
      <c r="C3022">
        <v>8.21917808219178E-3</v>
      </c>
    </row>
    <row r="3023" spans="1:3" x14ac:dyDescent="0.25">
      <c r="A3023" t="s">
        <v>38</v>
      </c>
      <c r="B3023">
        <v>1</v>
      </c>
      <c r="C3023">
        <v>8.21917808219178E-3</v>
      </c>
    </row>
    <row r="3024" spans="1:3" x14ac:dyDescent="0.25">
      <c r="A3024" t="s">
        <v>118</v>
      </c>
      <c r="B3024">
        <v>14</v>
      </c>
      <c r="C3024">
        <v>1.3698630136986301E-2</v>
      </c>
    </row>
    <row r="3025" spans="1:3" x14ac:dyDescent="0.25">
      <c r="A3025" t="s">
        <v>185</v>
      </c>
      <c r="B3025">
        <v>15</v>
      </c>
      <c r="C3025">
        <v>1.3698630136986301E-2</v>
      </c>
    </row>
    <row r="3026" spans="1:3" x14ac:dyDescent="0.25">
      <c r="A3026" t="s">
        <v>87</v>
      </c>
      <c r="B3026">
        <v>23</v>
      </c>
      <c r="C3026">
        <v>8.21917808219178E-3</v>
      </c>
    </row>
    <row r="3027" spans="1:3" x14ac:dyDescent="0.25">
      <c r="A3027" t="s">
        <v>202</v>
      </c>
      <c r="B3027">
        <v>18</v>
      </c>
      <c r="C3027">
        <v>8.21917808219178E-3</v>
      </c>
    </row>
    <row r="3028" spans="1:3" x14ac:dyDescent="0.25">
      <c r="A3028" t="s">
        <v>178</v>
      </c>
      <c r="B3028">
        <v>0</v>
      </c>
      <c r="C3028">
        <v>5.4794520547945206E-3</v>
      </c>
    </row>
    <row r="3029" spans="1:3" x14ac:dyDescent="0.25">
      <c r="A3029" t="s">
        <v>173</v>
      </c>
      <c r="B3029">
        <v>4</v>
      </c>
      <c r="C3029">
        <v>5.4794520547945206E-3</v>
      </c>
    </row>
    <row r="3030" spans="1:3" x14ac:dyDescent="0.25">
      <c r="A3030" t="s">
        <v>216</v>
      </c>
      <c r="B3030">
        <v>7</v>
      </c>
      <c r="C3030">
        <v>8.21917808219178E-3</v>
      </c>
    </row>
    <row r="3031" spans="1:3" x14ac:dyDescent="0.25">
      <c r="A3031" t="s">
        <v>140</v>
      </c>
      <c r="B3031">
        <v>2</v>
      </c>
      <c r="C3031">
        <v>5.4794520547945206E-3</v>
      </c>
    </row>
    <row r="3032" spans="1:3" x14ac:dyDescent="0.25">
      <c r="A3032" t="s">
        <v>199</v>
      </c>
      <c r="B3032">
        <v>7</v>
      </c>
      <c r="C3032">
        <v>5.4794520547945206E-3</v>
      </c>
    </row>
    <row r="3033" spans="1:3" x14ac:dyDescent="0.25">
      <c r="A3033" t="s">
        <v>208</v>
      </c>
      <c r="B3033">
        <v>6</v>
      </c>
      <c r="C3033">
        <v>5.4794520547945206E-3</v>
      </c>
    </row>
    <row r="3034" spans="1:3" x14ac:dyDescent="0.25">
      <c r="A3034" t="s">
        <v>235</v>
      </c>
      <c r="B3034">
        <v>10</v>
      </c>
      <c r="C3034">
        <v>8.21917808219178E-3</v>
      </c>
    </row>
    <row r="3035" spans="1:3" x14ac:dyDescent="0.25">
      <c r="A3035" t="s">
        <v>193</v>
      </c>
      <c r="B3035">
        <v>10</v>
      </c>
      <c r="C3035">
        <v>8.21917808219178E-3</v>
      </c>
    </row>
    <row r="3036" spans="1:3" x14ac:dyDescent="0.25">
      <c r="A3036" t="s">
        <v>183</v>
      </c>
      <c r="B3036">
        <v>22</v>
      </c>
      <c r="C3036">
        <v>5.4794520547945206E-3</v>
      </c>
    </row>
    <row r="3037" spans="1:3" x14ac:dyDescent="0.25">
      <c r="A3037" t="s">
        <v>170</v>
      </c>
      <c r="B3037">
        <v>6</v>
      </c>
      <c r="C3037">
        <v>8.21917808219178E-3</v>
      </c>
    </row>
    <row r="3038" spans="1:3" x14ac:dyDescent="0.25">
      <c r="A3038" t="s">
        <v>169</v>
      </c>
      <c r="B3038">
        <v>6</v>
      </c>
      <c r="C3038">
        <v>1.0958904109589041E-2</v>
      </c>
    </row>
    <row r="3039" spans="1:3" x14ac:dyDescent="0.25">
      <c r="A3039" t="s">
        <v>76</v>
      </c>
      <c r="B3039">
        <v>0</v>
      </c>
      <c r="C3039">
        <v>8.21917808219178E-3</v>
      </c>
    </row>
    <row r="3040" spans="1:3" x14ac:dyDescent="0.25">
      <c r="A3040" t="s">
        <v>131</v>
      </c>
      <c r="B3040">
        <v>7</v>
      </c>
      <c r="C3040">
        <v>2.7397260273972603E-3</v>
      </c>
    </row>
    <row r="3041" spans="1:3" x14ac:dyDescent="0.25">
      <c r="A3041" t="s">
        <v>170</v>
      </c>
      <c r="B3041">
        <v>10</v>
      </c>
      <c r="C3041">
        <v>1.0958904109589041E-2</v>
      </c>
    </row>
    <row r="3042" spans="1:3" x14ac:dyDescent="0.25">
      <c r="A3042" t="s">
        <v>172</v>
      </c>
      <c r="B3042">
        <v>9</v>
      </c>
      <c r="C3042">
        <v>1.0958904109589041E-2</v>
      </c>
    </row>
    <row r="3043" spans="1:3" x14ac:dyDescent="0.25">
      <c r="A3043" t="s">
        <v>202</v>
      </c>
      <c r="B3043">
        <v>21</v>
      </c>
      <c r="C3043">
        <v>8.21917808219178E-3</v>
      </c>
    </row>
    <row r="3044" spans="1:3" x14ac:dyDescent="0.25">
      <c r="A3044" t="s">
        <v>147</v>
      </c>
      <c r="B3044">
        <v>22</v>
      </c>
      <c r="C3044">
        <v>1.0958904109589041E-2</v>
      </c>
    </row>
    <row r="3045" spans="1:3" x14ac:dyDescent="0.25">
      <c r="A3045" t="s">
        <v>84</v>
      </c>
      <c r="B3045">
        <v>1</v>
      </c>
      <c r="C3045">
        <v>5.4794520547945206E-3</v>
      </c>
    </row>
    <row r="3046" spans="1:3" x14ac:dyDescent="0.25">
      <c r="A3046" t="s">
        <v>217</v>
      </c>
      <c r="B3046">
        <v>6</v>
      </c>
      <c r="C3046">
        <v>8.21917808219178E-3</v>
      </c>
    </row>
    <row r="3047" spans="1:3" x14ac:dyDescent="0.25">
      <c r="A3047" t="s">
        <v>204</v>
      </c>
      <c r="B3047">
        <v>4</v>
      </c>
      <c r="C3047">
        <v>5.4794520547945206E-3</v>
      </c>
    </row>
    <row r="3048" spans="1:3" x14ac:dyDescent="0.25">
      <c r="A3048" t="s">
        <v>76</v>
      </c>
      <c r="B3048">
        <v>6</v>
      </c>
      <c r="C3048">
        <v>8.21917808219178E-3</v>
      </c>
    </row>
    <row r="3049" spans="1:3" x14ac:dyDescent="0.25">
      <c r="A3049" t="s">
        <v>203</v>
      </c>
      <c r="B3049">
        <v>8</v>
      </c>
      <c r="C3049">
        <v>1.0958904109589041E-2</v>
      </c>
    </row>
    <row r="3050" spans="1:3" x14ac:dyDescent="0.25">
      <c r="A3050" t="s">
        <v>195</v>
      </c>
      <c r="B3050">
        <v>9</v>
      </c>
      <c r="C3050">
        <v>1.0958904109589041E-2</v>
      </c>
    </row>
    <row r="3051" spans="1:3" x14ac:dyDescent="0.25">
      <c r="A3051" t="s">
        <v>225</v>
      </c>
      <c r="B3051">
        <v>20</v>
      </c>
      <c r="C3051">
        <v>8.21917808219178E-3</v>
      </c>
    </row>
    <row r="3052" spans="1:3" x14ac:dyDescent="0.25">
      <c r="A3052" t="s">
        <v>203</v>
      </c>
      <c r="B3052">
        <v>20</v>
      </c>
      <c r="C3052">
        <v>8.21917808219178E-3</v>
      </c>
    </row>
    <row r="3053" spans="1:3" x14ac:dyDescent="0.25">
      <c r="A3053" t="s">
        <v>184</v>
      </c>
      <c r="B3053">
        <v>2</v>
      </c>
      <c r="C3053">
        <v>5.4794520547945206E-3</v>
      </c>
    </row>
    <row r="3054" spans="1:3" x14ac:dyDescent="0.25">
      <c r="A3054" t="s">
        <v>157</v>
      </c>
      <c r="B3054">
        <v>3</v>
      </c>
      <c r="C3054">
        <v>5.4794520547945206E-3</v>
      </c>
    </row>
    <row r="3055" spans="1:3" x14ac:dyDescent="0.25">
      <c r="A3055" t="s">
        <v>231</v>
      </c>
      <c r="B3055">
        <v>9</v>
      </c>
      <c r="C3055">
        <v>8.21917808219178E-3</v>
      </c>
    </row>
    <row r="3056" spans="1:3" x14ac:dyDescent="0.25">
      <c r="A3056" t="s">
        <v>212</v>
      </c>
      <c r="B3056">
        <v>18</v>
      </c>
      <c r="C3056">
        <v>8.21917808219178E-3</v>
      </c>
    </row>
    <row r="3057" spans="1:3" x14ac:dyDescent="0.25">
      <c r="A3057" t="s">
        <v>174</v>
      </c>
      <c r="B3057">
        <v>1</v>
      </c>
      <c r="C3057">
        <v>1.3698630136986301E-2</v>
      </c>
    </row>
    <row r="3058" spans="1:3" x14ac:dyDescent="0.25">
      <c r="A3058" t="s">
        <v>163</v>
      </c>
      <c r="B3058">
        <v>4</v>
      </c>
      <c r="C3058">
        <v>8.21917808219178E-3</v>
      </c>
    </row>
    <row r="3059" spans="1:3" x14ac:dyDescent="0.25">
      <c r="A3059" t="s">
        <v>204</v>
      </c>
      <c r="B3059">
        <v>12</v>
      </c>
      <c r="C3059">
        <v>8.21917808219178E-3</v>
      </c>
    </row>
    <row r="3060" spans="1:3" x14ac:dyDescent="0.25">
      <c r="A3060" t="s">
        <v>118</v>
      </c>
      <c r="B3060">
        <v>9</v>
      </c>
      <c r="C3060">
        <v>1.0958904109589041E-2</v>
      </c>
    </row>
    <row r="3061" spans="1:3" x14ac:dyDescent="0.25">
      <c r="A3061" t="s">
        <v>25</v>
      </c>
      <c r="B3061">
        <v>4</v>
      </c>
      <c r="C3061">
        <v>8.21917808219178E-3</v>
      </c>
    </row>
    <row r="3062" spans="1:3" x14ac:dyDescent="0.25">
      <c r="A3062" t="s">
        <v>207</v>
      </c>
      <c r="B3062">
        <v>20</v>
      </c>
      <c r="C3062">
        <v>8.21917808219178E-3</v>
      </c>
    </row>
    <row r="3063" spans="1:3" x14ac:dyDescent="0.25">
      <c r="A3063" t="s">
        <v>221</v>
      </c>
      <c r="B3063">
        <v>23</v>
      </c>
      <c r="C3063">
        <v>5.4794520547945206E-3</v>
      </c>
    </row>
    <row r="3064" spans="1:3" x14ac:dyDescent="0.25">
      <c r="A3064" t="s">
        <v>216</v>
      </c>
      <c r="B3064">
        <v>19</v>
      </c>
      <c r="C3064">
        <v>8.21917808219178E-3</v>
      </c>
    </row>
    <row r="3065" spans="1:3" x14ac:dyDescent="0.25">
      <c r="A3065" t="s">
        <v>175</v>
      </c>
      <c r="B3065">
        <v>22</v>
      </c>
      <c r="C3065">
        <v>1.3698630136986301E-2</v>
      </c>
    </row>
    <row r="3066" spans="1:3" x14ac:dyDescent="0.25">
      <c r="A3066" t="s">
        <v>201</v>
      </c>
      <c r="B3066">
        <v>21</v>
      </c>
      <c r="C3066">
        <v>1.9178082191780823E-2</v>
      </c>
    </row>
    <row r="3067" spans="1:3" x14ac:dyDescent="0.25">
      <c r="A3067" t="s">
        <v>28</v>
      </c>
      <c r="B3067">
        <v>3</v>
      </c>
      <c r="C3067">
        <v>8.21917808219178E-3</v>
      </c>
    </row>
    <row r="3068" spans="1:3" x14ac:dyDescent="0.25">
      <c r="A3068" t="s">
        <v>208</v>
      </c>
      <c r="B3068">
        <v>9</v>
      </c>
      <c r="C3068">
        <v>1.0958904109589041E-2</v>
      </c>
    </row>
    <row r="3069" spans="1:3" x14ac:dyDescent="0.25">
      <c r="A3069" t="s">
        <v>183</v>
      </c>
      <c r="B3069">
        <v>10</v>
      </c>
      <c r="C3069">
        <v>8.21917808219178E-3</v>
      </c>
    </row>
    <row r="3070" spans="1:3" x14ac:dyDescent="0.25">
      <c r="A3070" t="s">
        <v>85</v>
      </c>
      <c r="B3070">
        <v>14</v>
      </c>
      <c r="C3070">
        <v>8.21917808219178E-3</v>
      </c>
    </row>
    <row r="3071" spans="1:3" x14ac:dyDescent="0.25">
      <c r="A3071" t="s">
        <v>197</v>
      </c>
      <c r="B3071">
        <v>1</v>
      </c>
      <c r="C3071">
        <v>5.4794520547945206E-3</v>
      </c>
    </row>
    <row r="3072" spans="1:3" x14ac:dyDescent="0.25">
      <c r="A3072" t="s">
        <v>34</v>
      </c>
      <c r="B3072">
        <v>5</v>
      </c>
      <c r="C3072">
        <v>8.21917808219178E-3</v>
      </c>
    </row>
    <row r="3073" spans="1:3" x14ac:dyDescent="0.25">
      <c r="A3073" t="s">
        <v>171</v>
      </c>
      <c r="B3073">
        <v>15</v>
      </c>
      <c r="C3073">
        <v>2.1917808219178082E-2</v>
      </c>
    </row>
    <row r="3074" spans="1:3" x14ac:dyDescent="0.25">
      <c r="A3074" t="s">
        <v>122</v>
      </c>
      <c r="B3074">
        <v>22</v>
      </c>
      <c r="C3074">
        <v>8.21917808219178E-3</v>
      </c>
    </row>
    <row r="3075" spans="1:3" x14ac:dyDescent="0.25">
      <c r="A3075" t="s">
        <v>218</v>
      </c>
      <c r="B3075">
        <v>18</v>
      </c>
      <c r="C3075">
        <v>5.4794520547945206E-3</v>
      </c>
    </row>
    <row r="3076" spans="1:3" x14ac:dyDescent="0.25">
      <c r="A3076" t="s">
        <v>195</v>
      </c>
      <c r="B3076">
        <v>20</v>
      </c>
      <c r="C3076">
        <v>8.21917808219178E-3</v>
      </c>
    </row>
    <row r="3077" spans="1:3" x14ac:dyDescent="0.25">
      <c r="A3077" t="s">
        <v>214</v>
      </c>
      <c r="B3077">
        <v>2</v>
      </c>
      <c r="C3077">
        <v>5.4794520547945206E-3</v>
      </c>
    </row>
    <row r="3078" spans="1:3" x14ac:dyDescent="0.25">
      <c r="A3078" t="s">
        <v>184</v>
      </c>
      <c r="B3078">
        <v>0</v>
      </c>
      <c r="C3078">
        <v>5.4794520547945206E-3</v>
      </c>
    </row>
    <row r="3079" spans="1:3" x14ac:dyDescent="0.25">
      <c r="A3079" t="s">
        <v>130</v>
      </c>
      <c r="B3079">
        <v>4</v>
      </c>
      <c r="C3079">
        <v>1.3698630136986301E-2</v>
      </c>
    </row>
    <row r="3080" spans="1:3" x14ac:dyDescent="0.25">
      <c r="A3080" t="s">
        <v>177</v>
      </c>
      <c r="B3080">
        <v>5</v>
      </c>
      <c r="C3080">
        <v>5.4794520547945206E-3</v>
      </c>
    </row>
    <row r="3081" spans="1:3" x14ac:dyDescent="0.25">
      <c r="A3081" t="s">
        <v>205</v>
      </c>
      <c r="B3081">
        <v>12</v>
      </c>
      <c r="C3081">
        <v>8.21917808219178E-3</v>
      </c>
    </row>
    <row r="3082" spans="1:3" x14ac:dyDescent="0.25">
      <c r="A3082" t="s">
        <v>194</v>
      </c>
      <c r="B3082">
        <v>8</v>
      </c>
      <c r="C3082">
        <v>1.3698630136986301E-2</v>
      </c>
    </row>
    <row r="3083" spans="1:3" x14ac:dyDescent="0.25">
      <c r="A3083" t="s">
        <v>178</v>
      </c>
      <c r="B3083">
        <v>20</v>
      </c>
      <c r="C3083">
        <v>1.0958904109589041E-2</v>
      </c>
    </row>
    <row r="3084" spans="1:3" x14ac:dyDescent="0.25">
      <c r="A3084" t="s">
        <v>208</v>
      </c>
      <c r="B3084">
        <v>22</v>
      </c>
      <c r="C3084">
        <v>8.21917808219178E-3</v>
      </c>
    </row>
    <row r="3085" spans="1:3" x14ac:dyDescent="0.25">
      <c r="A3085" t="s">
        <v>186</v>
      </c>
      <c r="B3085">
        <v>17</v>
      </c>
      <c r="C3085">
        <v>8.21917808219178E-3</v>
      </c>
    </row>
    <row r="3086" spans="1:3" x14ac:dyDescent="0.25">
      <c r="A3086" t="s">
        <v>242</v>
      </c>
      <c r="B3086">
        <v>14</v>
      </c>
      <c r="C3086">
        <v>8.21917808219178E-3</v>
      </c>
    </row>
    <row r="3087" spans="1:3" x14ac:dyDescent="0.25">
      <c r="A3087" t="s">
        <v>231</v>
      </c>
      <c r="B3087">
        <v>11</v>
      </c>
      <c r="C3087">
        <v>8.21917808219178E-3</v>
      </c>
    </row>
    <row r="3088" spans="1:3" x14ac:dyDescent="0.25">
      <c r="A3088" t="s">
        <v>124</v>
      </c>
      <c r="B3088">
        <v>20</v>
      </c>
      <c r="C3088">
        <v>5.4794520547945206E-3</v>
      </c>
    </row>
    <row r="3089" spans="1:3" x14ac:dyDescent="0.25">
      <c r="A3089" t="s">
        <v>141</v>
      </c>
      <c r="B3089">
        <v>23</v>
      </c>
      <c r="C3089">
        <v>5.4794520547945206E-3</v>
      </c>
    </row>
    <row r="3090" spans="1:3" x14ac:dyDescent="0.25">
      <c r="A3090" t="s">
        <v>114</v>
      </c>
      <c r="B3090">
        <v>4</v>
      </c>
      <c r="C3090">
        <v>1.0958904109589041E-2</v>
      </c>
    </row>
    <row r="3091" spans="1:3" x14ac:dyDescent="0.25">
      <c r="A3091" t="s">
        <v>200</v>
      </c>
      <c r="B3091">
        <v>12</v>
      </c>
      <c r="C3091">
        <v>1.3698630136986301E-2</v>
      </c>
    </row>
    <row r="3092" spans="1:3" x14ac:dyDescent="0.25">
      <c r="A3092" t="s">
        <v>108</v>
      </c>
      <c r="B3092">
        <v>13</v>
      </c>
      <c r="C3092">
        <v>1.0958904109589041E-2</v>
      </c>
    </row>
    <row r="3093" spans="1:3" x14ac:dyDescent="0.25">
      <c r="A3093" t="s">
        <v>223</v>
      </c>
      <c r="B3093">
        <v>18</v>
      </c>
      <c r="C3093">
        <v>5.4794520547945206E-3</v>
      </c>
    </row>
    <row r="3094" spans="1:3" x14ac:dyDescent="0.25">
      <c r="A3094" t="s">
        <v>111</v>
      </c>
      <c r="B3094">
        <v>20</v>
      </c>
      <c r="C3094">
        <v>4.1095890410958902E-2</v>
      </c>
    </row>
    <row r="3095" spans="1:3" x14ac:dyDescent="0.25">
      <c r="A3095" t="s">
        <v>170</v>
      </c>
      <c r="B3095">
        <v>23</v>
      </c>
      <c r="C3095">
        <v>8.21917808219178E-3</v>
      </c>
    </row>
    <row r="3096" spans="1:3" x14ac:dyDescent="0.25">
      <c r="A3096" t="s">
        <v>151</v>
      </c>
      <c r="B3096">
        <v>1</v>
      </c>
      <c r="C3096">
        <v>5.4794520547945206E-3</v>
      </c>
    </row>
    <row r="3097" spans="1:3" x14ac:dyDescent="0.25">
      <c r="A3097" t="s">
        <v>131</v>
      </c>
      <c r="B3097">
        <v>1</v>
      </c>
      <c r="C3097">
        <v>2.4657534246575342E-2</v>
      </c>
    </row>
    <row r="3098" spans="1:3" x14ac:dyDescent="0.25">
      <c r="A3098" t="s">
        <v>105</v>
      </c>
      <c r="B3098">
        <v>5</v>
      </c>
      <c r="C3098">
        <v>1.0958904109589041E-2</v>
      </c>
    </row>
    <row r="3099" spans="1:3" x14ac:dyDescent="0.25">
      <c r="A3099" t="s">
        <v>199</v>
      </c>
      <c r="B3099">
        <v>6</v>
      </c>
      <c r="C3099">
        <v>5.4794520547945206E-3</v>
      </c>
    </row>
    <row r="3100" spans="1:3" x14ac:dyDescent="0.25">
      <c r="A3100" t="s">
        <v>112</v>
      </c>
      <c r="B3100">
        <v>4</v>
      </c>
      <c r="C3100">
        <v>5.4794520547945206E-3</v>
      </c>
    </row>
    <row r="3101" spans="1:3" x14ac:dyDescent="0.25">
      <c r="A3101" t="s">
        <v>177</v>
      </c>
      <c r="B3101">
        <v>10</v>
      </c>
      <c r="C3101">
        <v>8.21917808219178E-3</v>
      </c>
    </row>
    <row r="3102" spans="1:3" x14ac:dyDescent="0.25">
      <c r="A3102" t="s">
        <v>127</v>
      </c>
      <c r="B3102">
        <v>11</v>
      </c>
      <c r="C3102">
        <v>4.3835616438356165E-2</v>
      </c>
    </row>
    <row r="3103" spans="1:3" x14ac:dyDescent="0.25">
      <c r="A3103" t="s">
        <v>203</v>
      </c>
      <c r="B3103">
        <v>23</v>
      </c>
      <c r="C3103">
        <v>8.21917808219178E-3</v>
      </c>
    </row>
    <row r="3104" spans="1:3" x14ac:dyDescent="0.25">
      <c r="A3104" t="s">
        <v>154</v>
      </c>
      <c r="B3104">
        <v>22</v>
      </c>
      <c r="C3104">
        <v>5.4794520547945206E-3</v>
      </c>
    </row>
    <row r="3105" spans="1:3" x14ac:dyDescent="0.25">
      <c r="A3105" t="s">
        <v>161</v>
      </c>
      <c r="B3105">
        <v>7</v>
      </c>
      <c r="C3105">
        <v>5.4794520547945206E-3</v>
      </c>
    </row>
    <row r="3106" spans="1:3" x14ac:dyDescent="0.25">
      <c r="A3106" t="s">
        <v>87</v>
      </c>
      <c r="B3106">
        <v>0</v>
      </c>
      <c r="C3106">
        <v>5.4794520547945206E-3</v>
      </c>
    </row>
    <row r="3107" spans="1:3" x14ac:dyDescent="0.25">
      <c r="A3107" t="s">
        <v>195</v>
      </c>
      <c r="B3107">
        <v>15</v>
      </c>
      <c r="C3107">
        <v>1.0958904109589041E-2</v>
      </c>
    </row>
    <row r="3108" spans="1:3" x14ac:dyDescent="0.25">
      <c r="A3108" t="s">
        <v>206</v>
      </c>
      <c r="B3108">
        <v>13</v>
      </c>
      <c r="C3108">
        <v>8.21917808219178E-3</v>
      </c>
    </row>
    <row r="3109" spans="1:3" x14ac:dyDescent="0.25">
      <c r="A3109" t="s">
        <v>234</v>
      </c>
      <c r="B3109">
        <v>16</v>
      </c>
      <c r="C3109">
        <v>5.4794520547945206E-3</v>
      </c>
    </row>
    <row r="3110" spans="1:3" x14ac:dyDescent="0.25">
      <c r="A3110" t="s">
        <v>169</v>
      </c>
      <c r="B3110">
        <v>18</v>
      </c>
      <c r="C3110">
        <v>1.0958904109589041E-2</v>
      </c>
    </row>
    <row r="3111" spans="1:3" x14ac:dyDescent="0.25">
      <c r="A3111" t="s">
        <v>243</v>
      </c>
      <c r="B3111">
        <v>17</v>
      </c>
      <c r="C3111">
        <v>5.4794520547945206E-3</v>
      </c>
    </row>
    <row r="3112" spans="1:3" x14ac:dyDescent="0.25">
      <c r="A3112" t="s">
        <v>139</v>
      </c>
      <c r="B3112">
        <v>2</v>
      </c>
      <c r="C3112">
        <v>8.21917808219178E-3</v>
      </c>
    </row>
    <row r="3113" spans="1:3" x14ac:dyDescent="0.25">
      <c r="A3113" t="s">
        <v>133</v>
      </c>
      <c r="B3113">
        <v>2</v>
      </c>
      <c r="C3113">
        <v>1.0958904109589041E-2</v>
      </c>
    </row>
    <row r="3114" spans="1:3" x14ac:dyDescent="0.25">
      <c r="A3114" t="s">
        <v>165</v>
      </c>
      <c r="B3114">
        <v>15</v>
      </c>
      <c r="C3114">
        <v>8.21917808219178E-3</v>
      </c>
    </row>
    <row r="3115" spans="1:3" x14ac:dyDescent="0.25">
      <c r="A3115" t="s">
        <v>222</v>
      </c>
      <c r="B3115">
        <v>10</v>
      </c>
      <c r="C3115">
        <v>5.4794520547945206E-3</v>
      </c>
    </row>
    <row r="3116" spans="1:3" x14ac:dyDescent="0.25">
      <c r="A3116" t="s">
        <v>220</v>
      </c>
      <c r="B3116">
        <v>9</v>
      </c>
      <c r="C3116">
        <v>8.21917808219178E-3</v>
      </c>
    </row>
    <row r="3117" spans="1:3" x14ac:dyDescent="0.25">
      <c r="A3117" t="s">
        <v>186</v>
      </c>
      <c r="B3117">
        <v>11</v>
      </c>
      <c r="C3117">
        <v>1.0958904109589041E-2</v>
      </c>
    </row>
    <row r="3118" spans="1:3" x14ac:dyDescent="0.25">
      <c r="A3118" t="s">
        <v>199</v>
      </c>
      <c r="B3118">
        <v>22</v>
      </c>
      <c r="C3118">
        <v>5.4794520547945206E-3</v>
      </c>
    </row>
    <row r="3119" spans="1:3" x14ac:dyDescent="0.25">
      <c r="A3119" t="s">
        <v>221</v>
      </c>
      <c r="B3119">
        <v>7</v>
      </c>
      <c r="C3119">
        <v>1.0958904109589041E-2</v>
      </c>
    </row>
    <row r="3120" spans="1:3" x14ac:dyDescent="0.25">
      <c r="A3120" t="s">
        <v>200</v>
      </c>
      <c r="B3120">
        <v>1</v>
      </c>
      <c r="C3120">
        <v>5.4794520547945206E-3</v>
      </c>
    </row>
    <row r="3121" spans="1:3" x14ac:dyDescent="0.25">
      <c r="A3121" t="s">
        <v>38</v>
      </c>
      <c r="B3121">
        <v>20</v>
      </c>
      <c r="C3121">
        <v>8.21917808219178E-3</v>
      </c>
    </row>
    <row r="3122" spans="1:3" x14ac:dyDescent="0.25">
      <c r="A3122" t="s">
        <v>196</v>
      </c>
      <c r="B3122">
        <v>4</v>
      </c>
      <c r="C3122">
        <v>5.4794520547945206E-3</v>
      </c>
    </row>
    <row r="3123" spans="1:3" x14ac:dyDescent="0.25">
      <c r="A3123" t="s">
        <v>177</v>
      </c>
      <c r="B3123">
        <v>0</v>
      </c>
      <c r="C3123">
        <v>5.4794520547945206E-3</v>
      </c>
    </row>
    <row r="3124" spans="1:3" x14ac:dyDescent="0.25">
      <c r="A3124" t="s">
        <v>106</v>
      </c>
      <c r="B3124">
        <v>7</v>
      </c>
      <c r="C3124">
        <v>4.9315068493150684E-2</v>
      </c>
    </row>
    <row r="3125" spans="1:3" x14ac:dyDescent="0.25">
      <c r="A3125" t="s">
        <v>232</v>
      </c>
      <c r="B3125">
        <v>22</v>
      </c>
      <c r="C3125">
        <v>8.21917808219178E-3</v>
      </c>
    </row>
    <row r="3126" spans="1:3" x14ac:dyDescent="0.25">
      <c r="A3126" t="s">
        <v>87</v>
      </c>
      <c r="B3126">
        <v>22</v>
      </c>
      <c r="C3126">
        <v>8.21917808219178E-3</v>
      </c>
    </row>
    <row r="3127" spans="1:3" x14ac:dyDescent="0.25">
      <c r="A3127" t="s">
        <v>205</v>
      </c>
      <c r="B3127">
        <v>21</v>
      </c>
      <c r="C3127">
        <v>8.21917808219178E-3</v>
      </c>
    </row>
    <row r="3128" spans="1:3" x14ac:dyDescent="0.25">
      <c r="A3128" t="s">
        <v>142</v>
      </c>
      <c r="B3128">
        <v>22</v>
      </c>
      <c r="C3128">
        <v>8.21917808219178E-3</v>
      </c>
    </row>
    <row r="3129" spans="1:3" x14ac:dyDescent="0.25">
      <c r="A3129" t="s">
        <v>227</v>
      </c>
      <c r="B3129">
        <v>16</v>
      </c>
      <c r="C3129">
        <v>8.21917808219178E-3</v>
      </c>
    </row>
    <row r="3130" spans="1:3" x14ac:dyDescent="0.25">
      <c r="A3130" t="s">
        <v>148</v>
      </c>
      <c r="B3130">
        <v>20</v>
      </c>
      <c r="C3130">
        <v>5.4794520547945206E-3</v>
      </c>
    </row>
    <row r="3131" spans="1:3" x14ac:dyDescent="0.25">
      <c r="A3131" t="s">
        <v>224</v>
      </c>
      <c r="B3131">
        <v>16</v>
      </c>
      <c r="C3131">
        <v>8.21917808219178E-3</v>
      </c>
    </row>
    <row r="3132" spans="1:3" x14ac:dyDescent="0.25">
      <c r="A3132" t="s">
        <v>42</v>
      </c>
      <c r="B3132">
        <v>4</v>
      </c>
      <c r="C3132">
        <v>8.21917808219178E-3</v>
      </c>
    </row>
    <row r="3133" spans="1:3" x14ac:dyDescent="0.25">
      <c r="A3133" t="s">
        <v>192</v>
      </c>
      <c r="B3133">
        <v>18</v>
      </c>
      <c r="C3133">
        <v>8.21917808219178E-3</v>
      </c>
    </row>
    <row r="3134" spans="1:3" x14ac:dyDescent="0.25">
      <c r="A3134" t="s">
        <v>219</v>
      </c>
      <c r="B3134">
        <v>22</v>
      </c>
      <c r="C3134">
        <v>8.21917808219178E-3</v>
      </c>
    </row>
    <row r="3135" spans="1:3" x14ac:dyDescent="0.25">
      <c r="A3135" t="s">
        <v>118</v>
      </c>
      <c r="B3135">
        <v>20</v>
      </c>
      <c r="C3135">
        <v>8.21917808219178E-3</v>
      </c>
    </row>
    <row r="3136" spans="1:3" x14ac:dyDescent="0.25">
      <c r="A3136" t="s">
        <v>146</v>
      </c>
      <c r="B3136">
        <v>1</v>
      </c>
      <c r="C3136">
        <v>5.4794520547945206E-3</v>
      </c>
    </row>
    <row r="3137" spans="1:3" x14ac:dyDescent="0.25">
      <c r="A3137" t="s">
        <v>223</v>
      </c>
      <c r="B3137">
        <v>8</v>
      </c>
      <c r="C3137">
        <v>8.21917808219178E-3</v>
      </c>
    </row>
    <row r="3138" spans="1:3" x14ac:dyDescent="0.25">
      <c r="A3138" t="s">
        <v>98</v>
      </c>
      <c r="B3138">
        <v>15</v>
      </c>
      <c r="C3138">
        <v>8.21917808219178E-3</v>
      </c>
    </row>
    <row r="3139" spans="1:3" x14ac:dyDescent="0.25">
      <c r="A3139" t="s">
        <v>226</v>
      </c>
      <c r="B3139">
        <v>8</v>
      </c>
      <c r="C3139">
        <v>1.0958904109589041E-2</v>
      </c>
    </row>
    <row r="3140" spans="1:3" x14ac:dyDescent="0.25">
      <c r="A3140" t="s">
        <v>150</v>
      </c>
      <c r="B3140">
        <v>9</v>
      </c>
      <c r="C3140">
        <v>2.4657534246575342E-2</v>
      </c>
    </row>
    <row r="3141" spans="1:3" x14ac:dyDescent="0.25">
      <c r="A3141" t="s">
        <v>142</v>
      </c>
      <c r="B3141">
        <v>11</v>
      </c>
      <c r="C3141">
        <v>8.21917808219178E-3</v>
      </c>
    </row>
    <row r="3142" spans="1:3" x14ac:dyDescent="0.25">
      <c r="A3142" t="s">
        <v>160</v>
      </c>
      <c r="B3142">
        <v>23</v>
      </c>
      <c r="C3142">
        <v>1.643835616438356E-2</v>
      </c>
    </row>
    <row r="3143" spans="1:3" x14ac:dyDescent="0.25">
      <c r="A3143" t="s">
        <v>38</v>
      </c>
      <c r="B3143">
        <v>11</v>
      </c>
      <c r="C3143">
        <v>5.4794520547945206E-3</v>
      </c>
    </row>
    <row r="3144" spans="1:3" x14ac:dyDescent="0.25">
      <c r="A3144" t="s">
        <v>174</v>
      </c>
      <c r="B3144">
        <v>6</v>
      </c>
      <c r="C3144">
        <v>1.0958904109589041E-2</v>
      </c>
    </row>
    <row r="3145" spans="1:3" x14ac:dyDescent="0.25">
      <c r="A3145" t="s">
        <v>113</v>
      </c>
      <c r="B3145">
        <v>2</v>
      </c>
      <c r="C3145">
        <v>5.4794520547945206E-3</v>
      </c>
    </row>
    <row r="3146" spans="1:3" x14ac:dyDescent="0.25">
      <c r="A3146" t="s">
        <v>231</v>
      </c>
      <c r="B3146">
        <v>14</v>
      </c>
      <c r="C3146">
        <v>8.21917808219178E-3</v>
      </c>
    </row>
    <row r="3147" spans="1:3" x14ac:dyDescent="0.25">
      <c r="A3147" t="s">
        <v>217</v>
      </c>
      <c r="B3147">
        <v>15</v>
      </c>
      <c r="C3147">
        <v>1.3698630136986301E-2</v>
      </c>
    </row>
    <row r="3148" spans="1:3" x14ac:dyDescent="0.25">
      <c r="A3148" t="s">
        <v>241</v>
      </c>
      <c r="B3148">
        <v>9</v>
      </c>
      <c r="C3148">
        <v>8.21917808219178E-3</v>
      </c>
    </row>
    <row r="3149" spans="1:3" x14ac:dyDescent="0.25">
      <c r="A3149" t="s">
        <v>97</v>
      </c>
      <c r="B3149">
        <v>12</v>
      </c>
      <c r="C3149">
        <v>8.21917808219178E-3</v>
      </c>
    </row>
    <row r="3150" spans="1:3" x14ac:dyDescent="0.25">
      <c r="A3150" t="s">
        <v>221</v>
      </c>
      <c r="B3150">
        <v>9</v>
      </c>
      <c r="C3150">
        <v>1.0958904109589041E-2</v>
      </c>
    </row>
    <row r="3151" spans="1:3" x14ac:dyDescent="0.25">
      <c r="A3151" t="s">
        <v>231</v>
      </c>
      <c r="B3151">
        <v>18</v>
      </c>
      <c r="C3151">
        <v>5.4794520547945206E-3</v>
      </c>
    </row>
    <row r="3152" spans="1:3" x14ac:dyDescent="0.25">
      <c r="A3152" t="s">
        <v>179</v>
      </c>
      <c r="B3152">
        <v>18</v>
      </c>
      <c r="C3152">
        <v>1.643835616438356E-2</v>
      </c>
    </row>
    <row r="3153" spans="1:3" x14ac:dyDescent="0.25">
      <c r="A3153" t="s">
        <v>235</v>
      </c>
      <c r="B3153">
        <v>22</v>
      </c>
      <c r="C3153">
        <v>8.21917808219178E-3</v>
      </c>
    </row>
    <row r="3154" spans="1:3" x14ac:dyDescent="0.25">
      <c r="A3154" t="s">
        <v>239</v>
      </c>
      <c r="B3154">
        <v>22</v>
      </c>
      <c r="C3154">
        <v>8.21917808219178E-3</v>
      </c>
    </row>
    <row r="3155" spans="1:3" x14ac:dyDescent="0.25">
      <c r="A3155" t="s">
        <v>169</v>
      </c>
      <c r="B3155">
        <v>23</v>
      </c>
      <c r="C3155">
        <v>8.21917808219178E-3</v>
      </c>
    </row>
    <row r="3156" spans="1:3" x14ac:dyDescent="0.25">
      <c r="A3156" t="s">
        <v>43</v>
      </c>
      <c r="B3156">
        <v>6</v>
      </c>
      <c r="C3156">
        <v>5.4794520547945206E-3</v>
      </c>
    </row>
    <row r="3157" spans="1:3" x14ac:dyDescent="0.25">
      <c r="A3157" t="s">
        <v>217</v>
      </c>
      <c r="B3157">
        <v>1</v>
      </c>
      <c r="C3157">
        <v>5.4794520547945206E-3</v>
      </c>
    </row>
    <row r="3158" spans="1:3" x14ac:dyDescent="0.25">
      <c r="A3158" t="s">
        <v>217</v>
      </c>
      <c r="B3158">
        <v>5</v>
      </c>
      <c r="C3158">
        <v>5.4794520547945206E-3</v>
      </c>
    </row>
    <row r="3159" spans="1:3" x14ac:dyDescent="0.25">
      <c r="A3159" t="s">
        <v>186</v>
      </c>
      <c r="B3159">
        <v>22</v>
      </c>
      <c r="C3159">
        <v>8.21917808219178E-3</v>
      </c>
    </row>
    <row r="3160" spans="1:3" x14ac:dyDescent="0.25">
      <c r="A3160" t="s">
        <v>242</v>
      </c>
      <c r="B3160">
        <v>17</v>
      </c>
      <c r="C3160">
        <v>5.4794520547945206E-3</v>
      </c>
    </row>
    <row r="3161" spans="1:3" x14ac:dyDescent="0.25">
      <c r="A3161" t="s">
        <v>189</v>
      </c>
      <c r="B3161">
        <v>23</v>
      </c>
      <c r="C3161">
        <v>5.4794520547945206E-3</v>
      </c>
    </row>
    <row r="3162" spans="1:3" x14ac:dyDescent="0.25">
      <c r="A3162" t="s">
        <v>189</v>
      </c>
      <c r="B3162">
        <v>7</v>
      </c>
      <c r="C3162">
        <v>5.4794520547945206E-3</v>
      </c>
    </row>
    <row r="3163" spans="1:3" x14ac:dyDescent="0.25">
      <c r="A3163" t="s">
        <v>96</v>
      </c>
      <c r="B3163">
        <v>1</v>
      </c>
      <c r="C3163">
        <v>1.0958904109589041E-2</v>
      </c>
    </row>
    <row r="3164" spans="1:3" x14ac:dyDescent="0.25">
      <c r="A3164" t="s">
        <v>216</v>
      </c>
      <c r="B3164">
        <v>2</v>
      </c>
      <c r="C3164">
        <v>5.4794520547945206E-3</v>
      </c>
    </row>
    <row r="3165" spans="1:3" x14ac:dyDescent="0.25">
      <c r="A3165" t="s">
        <v>206</v>
      </c>
      <c r="B3165">
        <v>0</v>
      </c>
      <c r="C3165">
        <v>5.4794520547945206E-3</v>
      </c>
    </row>
    <row r="3166" spans="1:3" x14ac:dyDescent="0.25">
      <c r="A3166" t="s">
        <v>68</v>
      </c>
      <c r="B3166">
        <v>3</v>
      </c>
      <c r="C3166">
        <v>8.21917808219178E-3</v>
      </c>
    </row>
    <row r="3167" spans="1:3" x14ac:dyDescent="0.25">
      <c r="A3167" t="s">
        <v>180</v>
      </c>
      <c r="B3167">
        <v>0</v>
      </c>
      <c r="C3167">
        <v>5.4794520547945206E-3</v>
      </c>
    </row>
    <row r="3168" spans="1:3" x14ac:dyDescent="0.25">
      <c r="A3168" t="s">
        <v>198</v>
      </c>
      <c r="B3168">
        <v>15</v>
      </c>
      <c r="C3168">
        <v>8.21917808219178E-3</v>
      </c>
    </row>
    <row r="3169" spans="1:3" x14ac:dyDescent="0.25">
      <c r="A3169" t="s">
        <v>224</v>
      </c>
      <c r="B3169">
        <v>10</v>
      </c>
      <c r="C3169">
        <v>8.21917808219178E-3</v>
      </c>
    </row>
    <row r="3170" spans="1:3" x14ac:dyDescent="0.25">
      <c r="A3170" t="s">
        <v>212</v>
      </c>
      <c r="B3170">
        <v>22</v>
      </c>
      <c r="C3170">
        <v>8.21917808219178E-3</v>
      </c>
    </row>
    <row r="3171" spans="1:3" x14ac:dyDescent="0.25">
      <c r="A3171" t="s">
        <v>206</v>
      </c>
      <c r="B3171">
        <v>17</v>
      </c>
      <c r="C3171">
        <v>5.4794520547945206E-3</v>
      </c>
    </row>
    <row r="3172" spans="1:3" x14ac:dyDescent="0.25">
      <c r="A3172" t="s">
        <v>206</v>
      </c>
      <c r="B3172">
        <v>18</v>
      </c>
      <c r="C3172">
        <v>5.4794520547945206E-3</v>
      </c>
    </row>
    <row r="3173" spans="1:3" x14ac:dyDescent="0.25">
      <c r="A3173" t="s">
        <v>164</v>
      </c>
      <c r="B3173">
        <v>23</v>
      </c>
      <c r="C3173">
        <v>2.1917808219178082E-2</v>
      </c>
    </row>
    <row r="3174" spans="1:3" x14ac:dyDescent="0.25">
      <c r="A3174" t="s">
        <v>234</v>
      </c>
      <c r="B3174">
        <v>1</v>
      </c>
      <c r="C3174">
        <v>5.4794520547945206E-3</v>
      </c>
    </row>
    <row r="3175" spans="1:3" x14ac:dyDescent="0.25">
      <c r="A3175" t="s">
        <v>142</v>
      </c>
      <c r="B3175">
        <v>5</v>
      </c>
      <c r="C3175">
        <v>5.4794520547945206E-3</v>
      </c>
    </row>
    <row r="3176" spans="1:3" x14ac:dyDescent="0.25">
      <c r="A3176" t="s">
        <v>96</v>
      </c>
      <c r="B3176">
        <v>3</v>
      </c>
      <c r="C3176">
        <v>1.3698630136986301E-2</v>
      </c>
    </row>
    <row r="3177" spans="1:3" x14ac:dyDescent="0.25">
      <c r="A3177" t="s">
        <v>194</v>
      </c>
      <c r="B3177">
        <v>3</v>
      </c>
      <c r="C3177">
        <v>2.7397260273972603E-3</v>
      </c>
    </row>
    <row r="3178" spans="1:3" x14ac:dyDescent="0.25">
      <c r="A3178" t="s">
        <v>142</v>
      </c>
      <c r="B3178">
        <v>2</v>
      </c>
      <c r="C3178">
        <v>5.4794520547945206E-3</v>
      </c>
    </row>
    <row r="3179" spans="1:3" x14ac:dyDescent="0.25">
      <c r="A3179" t="s">
        <v>21</v>
      </c>
      <c r="B3179">
        <v>5</v>
      </c>
      <c r="C3179">
        <v>5.4794520547945206E-3</v>
      </c>
    </row>
    <row r="3180" spans="1:3" x14ac:dyDescent="0.25">
      <c r="A3180" t="s">
        <v>185</v>
      </c>
      <c r="B3180">
        <v>21</v>
      </c>
      <c r="C3180">
        <v>5.4794520547945206E-3</v>
      </c>
    </row>
    <row r="3181" spans="1:3" x14ac:dyDescent="0.25">
      <c r="A3181" t="s">
        <v>161</v>
      </c>
      <c r="B3181">
        <v>18</v>
      </c>
      <c r="C3181">
        <v>8.21917808219178E-3</v>
      </c>
    </row>
    <row r="3182" spans="1:3" x14ac:dyDescent="0.25">
      <c r="A3182" t="s">
        <v>194</v>
      </c>
      <c r="B3182">
        <v>19</v>
      </c>
      <c r="C3182">
        <v>2.7397260273972603E-3</v>
      </c>
    </row>
    <row r="3183" spans="1:3" x14ac:dyDescent="0.25">
      <c r="A3183" t="s">
        <v>119</v>
      </c>
      <c r="B3183">
        <v>5</v>
      </c>
      <c r="C3183">
        <v>5.4794520547945206E-3</v>
      </c>
    </row>
    <row r="3184" spans="1:3" x14ac:dyDescent="0.25">
      <c r="A3184" t="s">
        <v>198</v>
      </c>
      <c r="B3184">
        <v>7</v>
      </c>
      <c r="C3184">
        <v>8.21917808219178E-3</v>
      </c>
    </row>
    <row r="3185" spans="1:3" x14ac:dyDescent="0.25">
      <c r="A3185" t="s">
        <v>218</v>
      </c>
      <c r="B3185">
        <v>11</v>
      </c>
      <c r="C3185">
        <v>8.21917808219178E-3</v>
      </c>
    </row>
    <row r="3186" spans="1:3" x14ac:dyDescent="0.25">
      <c r="A3186" t="s">
        <v>199</v>
      </c>
      <c r="B3186">
        <v>15</v>
      </c>
      <c r="C3186">
        <v>8.21917808219178E-3</v>
      </c>
    </row>
    <row r="3187" spans="1:3" x14ac:dyDescent="0.25">
      <c r="A3187" t="s">
        <v>239</v>
      </c>
      <c r="B3187">
        <v>19</v>
      </c>
      <c r="C3187">
        <v>8.21917808219178E-3</v>
      </c>
    </row>
    <row r="3188" spans="1:3" x14ac:dyDescent="0.25">
      <c r="A3188" t="s">
        <v>187</v>
      </c>
      <c r="B3188">
        <v>1</v>
      </c>
      <c r="C3188">
        <v>5.4794520547945206E-3</v>
      </c>
    </row>
    <row r="3189" spans="1:3" x14ac:dyDescent="0.25">
      <c r="A3189" t="s">
        <v>180</v>
      </c>
      <c r="B3189">
        <v>4</v>
      </c>
      <c r="C3189">
        <v>5.4794520547945206E-3</v>
      </c>
    </row>
    <row r="3190" spans="1:3" x14ac:dyDescent="0.25">
      <c r="A3190" t="s">
        <v>188</v>
      </c>
      <c r="B3190">
        <v>6</v>
      </c>
      <c r="C3190">
        <v>5.4794520547945206E-3</v>
      </c>
    </row>
    <row r="3191" spans="1:3" x14ac:dyDescent="0.25">
      <c r="A3191" t="s">
        <v>131</v>
      </c>
      <c r="B3191">
        <v>3</v>
      </c>
      <c r="C3191">
        <v>1.9178082191780823E-2</v>
      </c>
    </row>
    <row r="3192" spans="1:3" x14ac:dyDescent="0.25">
      <c r="A3192" t="s">
        <v>244</v>
      </c>
      <c r="B3192">
        <v>9</v>
      </c>
      <c r="C3192">
        <v>5.4794520547945206E-3</v>
      </c>
    </row>
    <row r="3193" spans="1:3" x14ac:dyDescent="0.25">
      <c r="A3193" t="s">
        <v>70</v>
      </c>
      <c r="B3193">
        <v>4</v>
      </c>
      <c r="C3193">
        <v>5.4794520547945206E-3</v>
      </c>
    </row>
    <row r="3194" spans="1:3" x14ac:dyDescent="0.25">
      <c r="A3194" t="s">
        <v>157</v>
      </c>
      <c r="B3194">
        <v>5</v>
      </c>
      <c r="C3194">
        <v>5.4794520547945206E-3</v>
      </c>
    </row>
    <row r="3195" spans="1:3" x14ac:dyDescent="0.25">
      <c r="A3195" t="s">
        <v>157</v>
      </c>
      <c r="B3195">
        <v>6</v>
      </c>
      <c r="C3195">
        <v>5.4794520547945206E-3</v>
      </c>
    </row>
    <row r="3196" spans="1:3" x14ac:dyDescent="0.25">
      <c r="A3196" t="s">
        <v>207</v>
      </c>
      <c r="B3196">
        <v>14</v>
      </c>
      <c r="C3196">
        <v>1.0958904109589041E-2</v>
      </c>
    </row>
    <row r="3197" spans="1:3" x14ac:dyDescent="0.25">
      <c r="A3197" t="s">
        <v>212</v>
      </c>
      <c r="B3197">
        <v>8</v>
      </c>
      <c r="C3197">
        <v>8.21917808219178E-3</v>
      </c>
    </row>
    <row r="3198" spans="1:3" x14ac:dyDescent="0.25">
      <c r="A3198" t="s">
        <v>232</v>
      </c>
      <c r="B3198">
        <v>10</v>
      </c>
      <c r="C3198">
        <v>8.21917808219178E-3</v>
      </c>
    </row>
    <row r="3199" spans="1:3" x14ac:dyDescent="0.25">
      <c r="A3199" t="s">
        <v>207</v>
      </c>
      <c r="B3199">
        <v>13</v>
      </c>
      <c r="C3199">
        <v>8.21917808219178E-3</v>
      </c>
    </row>
    <row r="3200" spans="1:3" x14ac:dyDescent="0.25">
      <c r="A3200" t="s">
        <v>165</v>
      </c>
      <c r="B3200">
        <v>16</v>
      </c>
      <c r="C3200">
        <v>2.1917808219178082E-2</v>
      </c>
    </row>
    <row r="3201" spans="1:3" x14ac:dyDescent="0.25">
      <c r="A3201" t="s">
        <v>206</v>
      </c>
      <c r="B3201">
        <v>19</v>
      </c>
      <c r="C3201">
        <v>5.4794520547945206E-3</v>
      </c>
    </row>
    <row r="3202" spans="1:3" x14ac:dyDescent="0.25">
      <c r="A3202" t="s">
        <v>173</v>
      </c>
      <c r="B3202">
        <v>6</v>
      </c>
      <c r="C3202">
        <v>5.4794520547945206E-3</v>
      </c>
    </row>
    <row r="3203" spans="1:3" x14ac:dyDescent="0.25">
      <c r="A3203" t="s">
        <v>102</v>
      </c>
      <c r="B3203">
        <v>7</v>
      </c>
      <c r="C3203">
        <v>1.643835616438356E-2</v>
      </c>
    </row>
    <row r="3204" spans="1:3" x14ac:dyDescent="0.25">
      <c r="A3204" t="s">
        <v>233</v>
      </c>
      <c r="B3204">
        <v>11</v>
      </c>
      <c r="C3204">
        <v>5.4794520547945206E-3</v>
      </c>
    </row>
    <row r="3205" spans="1:3" x14ac:dyDescent="0.25">
      <c r="A3205" t="s">
        <v>154</v>
      </c>
      <c r="B3205">
        <v>14</v>
      </c>
      <c r="C3205">
        <v>5.4794520547945206E-3</v>
      </c>
    </row>
    <row r="3206" spans="1:3" x14ac:dyDescent="0.25">
      <c r="A3206" t="s">
        <v>170</v>
      </c>
      <c r="B3206">
        <v>13</v>
      </c>
      <c r="C3206">
        <v>8.21917808219178E-3</v>
      </c>
    </row>
    <row r="3207" spans="1:3" x14ac:dyDescent="0.25">
      <c r="A3207" t="s">
        <v>219</v>
      </c>
      <c r="B3207">
        <v>18</v>
      </c>
      <c r="C3207">
        <v>8.21917808219178E-3</v>
      </c>
    </row>
    <row r="3208" spans="1:3" x14ac:dyDescent="0.25">
      <c r="A3208" t="s">
        <v>202</v>
      </c>
      <c r="B3208">
        <v>23</v>
      </c>
      <c r="C3208">
        <v>5.4794520547945206E-3</v>
      </c>
    </row>
    <row r="3209" spans="1:3" x14ac:dyDescent="0.25">
      <c r="A3209" t="s">
        <v>218</v>
      </c>
      <c r="B3209">
        <v>22</v>
      </c>
      <c r="C3209">
        <v>5.4794520547945206E-3</v>
      </c>
    </row>
    <row r="3210" spans="1:3" x14ac:dyDescent="0.25">
      <c r="A3210" t="s">
        <v>159</v>
      </c>
      <c r="B3210">
        <v>20</v>
      </c>
      <c r="C3210">
        <v>5.4794520547945206E-3</v>
      </c>
    </row>
    <row r="3211" spans="1:3" x14ac:dyDescent="0.25">
      <c r="A3211" t="s">
        <v>187</v>
      </c>
      <c r="B3211">
        <v>4</v>
      </c>
      <c r="C3211">
        <v>2.7397260273972603E-3</v>
      </c>
    </row>
    <row r="3212" spans="1:3" x14ac:dyDescent="0.25">
      <c r="A3212" t="s">
        <v>78</v>
      </c>
      <c r="B3212">
        <v>2</v>
      </c>
      <c r="C3212">
        <v>5.4794520547945206E-3</v>
      </c>
    </row>
    <row r="3213" spans="1:3" x14ac:dyDescent="0.25">
      <c r="A3213" t="s">
        <v>147</v>
      </c>
      <c r="B3213">
        <v>8</v>
      </c>
      <c r="C3213">
        <v>5.4794520547945206E-3</v>
      </c>
    </row>
    <row r="3214" spans="1:3" x14ac:dyDescent="0.25">
      <c r="A3214" t="s">
        <v>203</v>
      </c>
      <c r="B3214">
        <v>10</v>
      </c>
      <c r="C3214">
        <v>8.21917808219178E-3</v>
      </c>
    </row>
    <row r="3215" spans="1:3" x14ac:dyDescent="0.25">
      <c r="A3215" t="s">
        <v>227</v>
      </c>
      <c r="B3215">
        <v>22</v>
      </c>
      <c r="C3215">
        <v>5.4794520547945206E-3</v>
      </c>
    </row>
    <row r="3216" spans="1:3" x14ac:dyDescent="0.25">
      <c r="A3216" t="s">
        <v>122</v>
      </c>
      <c r="B3216">
        <v>6</v>
      </c>
      <c r="C3216">
        <v>5.4794520547945206E-3</v>
      </c>
    </row>
    <row r="3217" spans="1:3" x14ac:dyDescent="0.25">
      <c r="A3217" t="s">
        <v>206</v>
      </c>
      <c r="B3217">
        <v>12</v>
      </c>
      <c r="C3217">
        <v>5.4794520547945206E-3</v>
      </c>
    </row>
    <row r="3218" spans="1:3" x14ac:dyDescent="0.25">
      <c r="A3218" t="s">
        <v>214</v>
      </c>
      <c r="B3218">
        <v>13</v>
      </c>
      <c r="C3218">
        <v>1.0958904109589041E-2</v>
      </c>
    </row>
    <row r="3219" spans="1:3" x14ac:dyDescent="0.25">
      <c r="A3219" t="s">
        <v>70</v>
      </c>
      <c r="B3219">
        <v>22</v>
      </c>
      <c r="C3219">
        <v>5.4794520547945206E-3</v>
      </c>
    </row>
    <row r="3220" spans="1:3" x14ac:dyDescent="0.25">
      <c r="A3220" t="s">
        <v>119</v>
      </c>
      <c r="B3220">
        <v>23</v>
      </c>
      <c r="C3220">
        <v>8.21917808219178E-3</v>
      </c>
    </row>
    <row r="3221" spans="1:3" x14ac:dyDescent="0.25">
      <c r="A3221" t="s">
        <v>131</v>
      </c>
      <c r="B3221">
        <v>23</v>
      </c>
      <c r="C3221">
        <v>8.21917808219178E-3</v>
      </c>
    </row>
    <row r="3222" spans="1:3" x14ac:dyDescent="0.25">
      <c r="A3222" t="s">
        <v>98</v>
      </c>
      <c r="B3222">
        <v>21</v>
      </c>
      <c r="C3222">
        <v>8.21917808219178E-3</v>
      </c>
    </row>
    <row r="3223" spans="1:3" x14ac:dyDescent="0.25">
      <c r="A3223" t="s">
        <v>139</v>
      </c>
      <c r="B3223">
        <v>4</v>
      </c>
      <c r="C3223">
        <v>5.4794520547945206E-3</v>
      </c>
    </row>
    <row r="3224" spans="1:3" x14ac:dyDescent="0.25">
      <c r="A3224" t="s">
        <v>226</v>
      </c>
      <c r="B3224">
        <v>12</v>
      </c>
      <c r="C3224">
        <v>8.21917808219178E-3</v>
      </c>
    </row>
    <row r="3225" spans="1:3" x14ac:dyDescent="0.25">
      <c r="A3225" t="s">
        <v>167</v>
      </c>
      <c r="B3225">
        <v>15</v>
      </c>
      <c r="C3225">
        <v>1.0958904109589041E-2</v>
      </c>
    </row>
    <row r="3226" spans="1:3" x14ac:dyDescent="0.25">
      <c r="A3226" t="s">
        <v>197</v>
      </c>
      <c r="B3226">
        <v>15</v>
      </c>
      <c r="C3226">
        <v>5.4794520547945206E-3</v>
      </c>
    </row>
    <row r="3227" spans="1:3" x14ac:dyDescent="0.25">
      <c r="A3227" t="s">
        <v>218</v>
      </c>
      <c r="B3227">
        <v>15</v>
      </c>
      <c r="C3227">
        <v>5.4794520547945206E-3</v>
      </c>
    </row>
    <row r="3228" spans="1:3" x14ac:dyDescent="0.25">
      <c r="A3228" t="s">
        <v>150</v>
      </c>
      <c r="B3228">
        <v>22</v>
      </c>
      <c r="C3228">
        <v>2.4657534246575342E-2</v>
      </c>
    </row>
    <row r="3229" spans="1:3" x14ac:dyDescent="0.25">
      <c r="A3229" t="s">
        <v>150</v>
      </c>
      <c r="B3229">
        <v>23</v>
      </c>
      <c r="C3229">
        <v>1.0958904109589041E-2</v>
      </c>
    </row>
    <row r="3230" spans="1:3" x14ac:dyDescent="0.25">
      <c r="A3230" t="s">
        <v>38</v>
      </c>
      <c r="B3230">
        <v>7</v>
      </c>
      <c r="C3230">
        <v>5.4794520547945206E-3</v>
      </c>
    </row>
    <row r="3231" spans="1:3" x14ac:dyDescent="0.25">
      <c r="A3231" t="s">
        <v>78</v>
      </c>
      <c r="B3231">
        <v>1</v>
      </c>
      <c r="C3231">
        <v>5.4794520547945206E-3</v>
      </c>
    </row>
    <row r="3232" spans="1:3" x14ac:dyDescent="0.25">
      <c r="A3232" t="s">
        <v>154</v>
      </c>
      <c r="B3232">
        <v>1</v>
      </c>
      <c r="C3232">
        <v>5.4794520547945206E-3</v>
      </c>
    </row>
    <row r="3233" spans="1:3" x14ac:dyDescent="0.25">
      <c r="A3233" t="s">
        <v>125</v>
      </c>
      <c r="B3233">
        <v>3</v>
      </c>
      <c r="C3233">
        <v>2.7397260273972603E-3</v>
      </c>
    </row>
    <row r="3234" spans="1:3" x14ac:dyDescent="0.25">
      <c r="A3234" t="s">
        <v>155</v>
      </c>
      <c r="B3234">
        <v>3</v>
      </c>
      <c r="C3234">
        <v>5.4794520547945206E-3</v>
      </c>
    </row>
    <row r="3235" spans="1:3" x14ac:dyDescent="0.25">
      <c r="A3235" t="s">
        <v>180</v>
      </c>
      <c r="B3235">
        <v>21</v>
      </c>
      <c r="C3235">
        <v>8.21917808219178E-3</v>
      </c>
    </row>
    <row r="3236" spans="1:3" x14ac:dyDescent="0.25">
      <c r="A3236" t="s">
        <v>213</v>
      </c>
      <c r="B3236">
        <v>18</v>
      </c>
      <c r="C3236">
        <v>8.21917808219178E-3</v>
      </c>
    </row>
    <row r="3237" spans="1:3" x14ac:dyDescent="0.25">
      <c r="A3237" t="s">
        <v>118</v>
      </c>
      <c r="B3237">
        <v>23</v>
      </c>
      <c r="C3237">
        <v>5.4794520547945206E-3</v>
      </c>
    </row>
    <row r="3238" spans="1:3" x14ac:dyDescent="0.25">
      <c r="A3238" t="s">
        <v>192</v>
      </c>
      <c r="B3238">
        <v>19</v>
      </c>
      <c r="C3238">
        <v>8.21917808219178E-3</v>
      </c>
    </row>
    <row r="3239" spans="1:3" x14ac:dyDescent="0.25">
      <c r="A3239" t="s">
        <v>205</v>
      </c>
      <c r="B3239">
        <v>17</v>
      </c>
      <c r="C3239">
        <v>8.21917808219178E-3</v>
      </c>
    </row>
    <row r="3240" spans="1:3" x14ac:dyDescent="0.25">
      <c r="A3240" t="s">
        <v>234</v>
      </c>
      <c r="B3240">
        <v>9</v>
      </c>
      <c r="C3240">
        <v>5.4794520547945206E-3</v>
      </c>
    </row>
    <row r="3241" spans="1:3" x14ac:dyDescent="0.25">
      <c r="A3241" t="s">
        <v>140</v>
      </c>
      <c r="B3241">
        <v>21</v>
      </c>
      <c r="C3241">
        <v>5.4794520547945206E-3</v>
      </c>
    </row>
    <row r="3242" spans="1:3" x14ac:dyDescent="0.25">
      <c r="A3242" t="s">
        <v>186</v>
      </c>
      <c r="B3242">
        <v>20</v>
      </c>
      <c r="C3242">
        <v>8.21917808219178E-3</v>
      </c>
    </row>
    <row r="3243" spans="1:3" x14ac:dyDescent="0.25">
      <c r="A3243" t="s">
        <v>43</v>
      </c>
      <c r="B3243">
        <v>4</v>
      </c>
      <c r="C3243">
        <v>5.4794520547945206E-3</v>
      </c>
    </row>
    <row r="3244" spans="1:3" x14ac:dyDescent="0.25">
      <c r="A3244" t="s">
        <v>224</v>
      </c>
      <c r="B3244">
        <v>17</v>
      </c>
      <c r="C3244">
        <v>8.21917808219178E-3</v>
      </c>
    </row>
    <row r="3245" spans="1:3" x14ac:dyDescent="0.25">
      <c r="A3245" t="s">
        <v>204</v>
      </c>
      <c r="B3245">
        <v>19</v>
      </c>
      <c r="C3245">
        <v>5.4794520547945206E-3</v>
      </c>
    </row>
    <row r="3246" spans="1:3" x14ac:dyDescent="0.25">
      <c r="A3246" t="s">
        <v>85</v>
      </c>
      <c r="B3246">
        <v>22</v>
      </c>
      <c r="C3246">
        <v>5.4794520547945206E-3</v>
      </c>
    </row>
    <row r="3247" spans="1:3" x14ac:dyDescent="0.25">
      <c r="A3247" t="s">
        <v>127</v>
      </c>
      <c r="B3247">
        <v>6</v>
      </c>
      <c r="C3247">
        <v>2.7397260273972603E-3</v>
      </c>
    </row>
    <row r="3248" spans="1:3" x14ac:dyDescent="0.25">
      <c r="A3248" t="s">
        <v>220</v>
      </c>
      <c r="B3248">
        <v>14</v>
      </c>
      <c r="C3248">
        <v>5.4794520547945206E-3</v>
      </c>
    </row>
    <row r="3249" spans="1:3" x14ac:dyDescent="0.25">
      <c r="A3249" t="s">
        <v>70</v>
      </c>
      <c r="B3249">
        <v>21</v>
      </c>
      <c r="C3249">
        <v>5.4794520547945206E-3</v>
      </c>
    </row>
    <row r="3250" spans="1:3" x14ac:dyDescent="0.25">
      <c r="A3250" t="s">
        <v>225</v>
      </c>
      <c r="B3250">
        <v>16</v>
      </c>
      <c r="C3250">
        <v>5.4794520547945206E-3</v>
      </c>
    </row>
    <row r="3251" spans="1:3" x14ac:dyDescent="0.25">
      <c r="A3251" t="s">
        <v>134</v>
      </c>
      <c r="B3251">
        <v>5</v>
      </c>
      <c r="C3251">
        <v>8.21917808219178E-3</v>
      </c>
    </row>
    <row r="3252" spans="1:3" x14ac:dyDescent="0.25">
      <c r="A3252" t="s">
        <v>185</v>
      </c>
      <c r="B3252">
        <v>8</v>
      </c>
      <c r="C3252">
        <v>8.21917808219178E-3</v>
      </c>
    </row>
    <row r="3253" spans="1:3" x14ac:dyDescent="0.25">
      <c r="A3253" t="s">
        <v>142</v>
      </c>
      <c r="B3253">
        <v>0</v>
      </c>
      <c r="C3253">
        <v>5.4794520547945206E-3</v>
      </c>
    </row>
    <row r="3254" spans="1:3" x14ac:dyDescent="0.25">
      <c r="A3254" t="s">
        <v>144</v>
      </c>
      <c r="B3254">
        <v>2</v>
      </c>
      <c r="C3254">
        <v>5.4794520547945206E-3</v>
      </c>
    </row>
    <row r="3255" spans="1:3" x14ac:dyDescent="0.25">
      <c r="A3255" t="s">
        <v>225</v>
      </c>
      <c r="B3255">
        <v>11</v>
      </c>
      <c r="C3255">
        <v>8.21917808219178E-3</v>
      </c>
    </row>
    <row r="3256" spans="1:3" x14ac:dyDescent="0.25">
      <c r="A3256" t="s">
        <v>198</v>
      </c>
      <c r="B3256">
        <v>12</v>
      </c>
      <c r="C3256">
        <v>8.21917808219178E-3</v>
      </c>
    </row>
    <row r="3257" spans="1:3" x14ac:dyDescent="0.25">
      <c r="A3257" t="s">
        <v>169</v>
      </c>
      <c r="B3257">
        <v>13</v>
      </c>
      <c r="C3257">
        <v>2.1917808219178082E-2</v>
      </c>
    </row>
    <row r="3258" spans="1:3" x14ac:dyDescent="0.25">
      <c r="A3258" t="s">
        <v>165</v>
      </c>
      <c r="B3258">
        <v>9</v>
      </c>
      <c r="C3258">
        <v>5.4794520547945206E-3</v>
      </c>
    </row>
    <row r="3259" spans="1:3" x14ac:dyDescent="0.25">
      <c r="A3259" t="s">
        <v>215</v>
      </c>
      <c r="B3259">
        <v>19</v>
      </c>
      <c r="C3259">
        <v>5.4794520547945206E-3</v>
      </c>
    </row>
    <row r="3260" spans="1:3" x14ac:dyDescent="0.25">
      <c r="A3260" t="s">
        <v>161</v>
      </c>
      <c r="B3260">
        <v>23</v>
      </c>
      <c r="C3260">
        <v>5.4794520547945206E-3</v>
      </c>
    </row>
    <row r="3261" spans="1:3" x14ac:dyDescent="0.25">
      <c r="A3261" t="s">
        <v>179</v>
      </c>
      <c r="B3261">
        <v>6</v>
      </c>
      <c r="C3261">
        <v>8.21917808219178E-3</v>
      </c>
    </row>
    <row r="3262" spans="1:3" x14ac:dyDescent="0.25">
      <c r="A3262" t="s">
        <v>245</v>
      </c>
      <c r="B3262">
        <v>13</v>
      </c>
      <c r="C3262">
        <v>5.4794520547945206E-3</v>
      </c>
    </row>
    <row r="3263" spans="1:3" x14ac:dyDescent="0.25">
      <c r="A3263" t="s">
        <v>201</v>
      </c>
      <c r="B3263">
        <v>15</v>
      </c>
      <c r="C3263">
        <v>1.9178082191780823E-2</v>
      </c>
    </row>
    <row r="3264" spans="1:3" x14ac:dyDescent="0.25">
      <c r="A3264" t="s">
        <v>177</v>
      </c>
      <c r="B3264">
        <v>19</v>
      </c>
      <c r="C3264">
        <v>5.4794520547945206E-3</v>
      </c>
    </row>
    <row r="3265" spans="1:3" x14ac:dyDescent="0.25">
      <c r="A3265" t="s">
        <v>102</v>
      </c>
      <c r="B3265">
        <v>3</v>
      </c>
      <c r="C3265">
        <v>8.21917808219178E-3</v>
      </c>
    </row>
    <row r="3266" spans="1:3" x14ac:dyDescent="0.25">
      <c r="A3266" t="s">
        <v>38</v>
      </c>
      <c r="B3266">
        <v>2</v>
      </c>
      <c r="C3266">
        <v>5.4794520547945206E-3</v>
      </c>
    </row>
    <row r="3267" spans="1:3" x14ac:dyDescent="0.25">
      <c r="A3267" t="s">
        <v>232</v>
      </c>
      <c r="B3267">
        <v>7</v>
      </c>
      <c r="C3267">
        <v>2.7397260273972603E-3</v>
      </c>
    </row>
    <row r="3268" spans="1:3" x14ac:dyDescent="0.25">
      <c r="A3268" t="s">
        <v>219</v>
      </c>
      <c r="B3268">
        <v>14</v>
      </c>
      <c r="C3268">
        <v>5.4794520547945206E-3</v>
      </c>
    </row>
    <row r="3269" spans="1:3" x14ac:dyDescent="0.25">
      <c r="A3269" t="s">
        <v>25</v>
      </c>
      <c r="B3269">
        <v>5</v>
      </c>
      <c r="C3269">
        <v>5.4794520547945206E-3</v>
      </c>
    </row>
    <row r="3270" spans="1:3" x14ac:dyDescent="0.25">
      <c r="A3270" t="s">
        <v>216</v>
      </c>
      <c r="B3270">
        <v>23</v>
      </c>
      <c r="C3270">
        <v>5.4794520547945206E-3</v>
      </c>
    </row>
    <row r="3271" spans="1:3" x14ac:dyDescent="0.25">
      <c r="A3271" t="s">
        <v>168</v>
      </c>
      <c r="B3271">
        <v>6</v>
      </c>
      <c r="C3271">
        <v>5.4794520547945206E-3</v>
      </c>
    </row>
    <row r="3272" spans="1:3" x14ac:dyDescent="0.25">
      <c r="A3272" t="s">
        <v>211</v>
      </c>
      <c r="B3272">
        <v>5</v>
      </c>
      <c r="C3272">
        <v>5.4794520547945206E-3</v>
      </c>
    </row>
    <row r="3273" spans="1:3" x14ac:dyDescent="0.25">
      <c r="A3273" t="s">
        <v>178</v>
      </c>
      <c r="B3273">
        <v>2</v>
      </c>
      <c r="C3273">
        <v>2.7397260273972603E-3</v>
      </c>
    </row>
    <row r="3274" spans="1:3" x14ac:dyDescent="0.25">
      <c r="A3274" t="s">
        <v>167</v>
      </c>
      <c r="B3274">
        <v>5</v>
      </c>
      <c r="C3274">
        <v>5.4794520547945206E-3</v>
      </c>
    </row>
    <row r="3275" spans="1:3" x14ac:dyDescent="0.25">
      <c r="A3275" t="s">
        <v>68</v>
      </c>
      <c r="B3275">
        <v>6</v>
      </c>
      <c r="C3275">
        <v>8.21917808219178E-3</v>
      </c>
    </row>
    <row r="3276" spans="1:3" x14ac:dyDescent="0.25">
      <c r="A3276" t="s">
        <v>181</v>
      </c>
      <c r="B3276">
        <v>2</v>
      </c>
      <c r="C3276">
        <v>5.4794520547945206E-3</v>
      </c>
    </row>
    <row r="3277" spans="1:3" x14ac:dyDescent="0.25">
      <c r="A3277" t="s">
        <v>136</v>
      </c>
      <c r="B3277">
        <v>2</v>
      </c>
      <c r="C3277">
        <v>2.7397260273972603E-3</v>
      </c>
    </row>
    <row r="3278" spans="1:3" x14ac:dyDescent="0.25">
      <c r="A3278" t="s">
        <v>219</v>
      </c>
      <c r="B3278">
        <v>1</v>
      </c>
      <c r="C3278">
        <v>5.4794520547945206E-3</v>
      </c>
    </row>
    <row r="3279" spans="1:3" x14ac:dyDescent="0.25">
      <c r="A3279" t="s">
        <v>38</v>
      </c>
      <c r="B3279">
        <v>4</v>
      </c>
      <c r="C3279">
        <v>5.4794520547945206E-3</v>
      </c>
    </row>
    <row r="3280" spans="1:3" x14ac:dyDescent="0.25">
      <c r="A3280" t="s">
        <v>162</v>
      </c>
      <c r="B3280">
        <v>0</v>
      </c>
      <c r="C3280">
        <v>2.7397260273972603E-3</v>
      </c>
    </row>
    <row r="3281" spans="1:3" x14ac:dyDescent="0.25">
      <c r="A3281" t="s">
        <v>133</v>
      </c>
      <c r="B3281">
        <v>3</v>
      </c>
      <c r="C3281">
        <v>1.0958904109589041E-2</v>
      </c>
    </row>
    <row r="3282" spans="1:3" x14ac:dyDescent="0.25">
      <c r="A3282" t="s">
        <v>169</v>
      </c>
      <c r="B3282">
        <v>4</v>
      </c>
      <c r="C3282">
        <v>1.0958904109589041E-2</v>
      </c>
    </row>
    <row r="3283" spans="1:3" x14ac:dyDescent="0.25">
      <c r="A3283" t="s">
        <v>201</v>
      </c>
      <c r="B3283">
        <v>6</v>
      </c>
      <c r="C3283">
        <v>8.21917808219178E-3</v>
      </c>
    </row>
    <row r="3284" spans="1:3" x14ac:dyDescent="0.25">
      <c r="A3284" t="s">
        <v>190</v>
      </c>
      <c r="B3284">
        <v>22</v>
      </c>
      <c r="C3284">
        <v>5.4794520547945206E-3</v>
      </c>
    </row>
    <row r="3285" spans="1:3" x14ac:dyDescent="0.25">
      <c r="A3285" t="s">
        <v>136</v>
      </c>
      <c r="B3285">
        <v>16</v>
      </c>
      <c r="C3285">
        <v>5.4794520547945206E-3</v>
      </c>
    </row>
    <row r="3286" spans="1:3" x14ac:dyDescent="0.25">
      <c r="A3286" t="s">
        <v>162</v>
      </c>
      <c r="B3286">
        <v>6</v>
      </c>
      <c r="C3286">
        <v>2.7397260273972603E-3</v>
      </c>
    </row>
    <row r="3287" spans="1:3" x14ac:dyDescent="0.25">
      <c r="A3287" t="s">
        <v>175</v>
      </c>
      <c r="B3287">
        <v>3</v>
      </c>
      <c r="C3287">
        <v>5.4794520547945206E-3</v>
      </c>
    </row>
    <row r="3288" spans="1:3" x14ac:dyDescent="0.25">
      <c r="A3288" t="s">
        <v>95</v>
      </c>
      <c r="B3288">
        <v>4</v>
      </c>
      <c r="C3288">
        <v>8.21917808219178E-3</v>
      </c>
    </row>
    <row r="3289" spans="1:3" x14ac:dyDescent="0.25">
      <c r="A3289" t="s">
        <v>172</v>
      </c>
      <c r="B3289">
        <v>2</v>
      </c>
      <c r="C3289">
        <v>2.7397260273972603E-3</v>
      </c>
    </row>
    <row r="3290" spans="1:3" x14ac:dyDescent="0.25">
      <c r="A3290" t="s">
        <v>217</v>
      </c>
      <c r="B3290">
        <v>0</v>
      </c>
      <c r="C3290">
        <v>5.4794520547945206E-3</v>
      </c>
    </row>
    <row r="3291" spans="1:3" x14ac:dyDescent="0.25">
      <c r="A3291" t="s">
        <v>183</v>
      </c>
      <c r="B3291">
        <v>14</v>
      </c>
      <c r="C3291">
        <v>5.4794520547945206E-3</v>
      </c>
    </row>
    <row r="3292" spans="1:3" x14ac:dyDescent="0.25">
      <c r="A3292" t="s">
        <v>225</v>
      </c>
      <c r="B3292">
        <v>10</v>
      </c>
      <c r="C3292">
        <v>8.21917808219178E-3</v>
      </c>
    </row>
    <row r="3293" spans="1:3" x14ac:dyDescent="0.25">
      <c r="A3293" t="s">
        <v>127</v>
      </c>
      <c r="B3293">
        <v>14</v>
      </c>
      <c r="C3293">
        <v>3.287671232876712E-2</v>
      </c>
    </row>
    <row r="3294" spans="1:3" x14ac:dyDescent="0.25">
      <c r="A3294" t="s">
        <v>218</v>
      </c>
      <c r="B3294">
        <v>17</v>
      </c>
      <c r="C3294">
        <v>5.4794520547945206E-3</v>
      </c>
    </row>
    <row r="3295" spans="1:3" x14ac:dyDescent="0.25">
      <c r="A3295" t="s">
        <v>232</v>
      </c>
      <c r="B3295">
        <v>12</v>
      </c>
      <c r="C3295">
        <v>5.4794520547945206E-3</v>
      </c>
    </row>
    <row r="3296" spans="1:3" x14ac:dyDescent="0.25">
      <c r="A3296" t="s">
        <v>118</v>
      </c>
      <c r="B3296">
        <v>8</v>
      </c>
      <c r="C3296">
        <v>5.4794520547945206E-3</v>
      </c>
    </row>
    <row r="3297" spans="1:3" x14ac:dyDescent="0.25">
      <c r="A3297" t="s">
        <v>225</v>
      </c>
      <c r="B3297">
        <v>13</v>
      </c>
      <c r="C3297">
        <v>8.21917808219178E-3</v>
      </c>
    </row>
    <row r="3298" spans="1:3" x14ac:dyDescent="0.25">
      <c r="A3298" t="s">
        <v>124</v>
      </c>
      <c r="B3298">
        <v>15</v>
      </c>
      <c r="C3298">
        <v>5.4794520547945206E-3</v>
      </c>
    </row>
    <row r="3299" spans="1:3" x14ac:dyDescent="0.25">
      <c r="A3299" t="s">
        <v>204</v>
      </c>
      <c r="B3299">
        <v>14</v>
      </c>
      <c r="C3299">
        <v>8.21917808219178E-3</v>
      </c>
    </row>
    <row r="3300" spans="1:3" x14ac:dyDescent="0.25">
      <c r="A3300" t="s">
        <v>208</v>
      </c>
      <c r="B3300">
        <v>23</v>
      </c>
      <c r="C3300">
        <v>5.4794520547945206E-3</v>
      </c>
    </row>
    <row r="3301" spans="1:3" x14ac:dyDescent="0.25">
      <c r="A3301" t="s">
        <v>198</v>
      </c>
      <c r="B3301">
        <v>5</v>
      </c>
      <c r="C3301">
        <v>2.7397260273972603E-3</v>
      </c>
    </row>
    <row r="3302" spans="1:3" x14ac:dyDescent="0.25">
      <c r="A3302" t="s">
        <v>75</v>
      </c>
      <c r="B3302">
        <v>5</v>
      </c>
      <c r="C3302">
        <v>8.21917808219178E-3</v>
      </c>
    </row>
    <row r="3303" spans="1:3" x14ac:dyDescent="0.25">
      <c r="A3303" t="s">
        <v>178</v>
      </c>
      <c r="B3303">
        <v>14</v>
      </c>
      <c r="C3303">
        <v>8.21917808219178E-3</v>
      </c>
    </row>
    <row r="3304" spans="1:3" x14ac:dyDescent="0.25">
      <c r="A3304" t="s">
        <v>236</v>
      </c>
      <c r="B3304">
        <v>13</v>
      </c>
      <c r="C3304">
        <v>5.4794520547945206E-3</v>
      </c>
    </row>
    <row r="3305" spans="1:3" x14ac:dyDescent="0.25">
      <c r="A3305" t="s">
        <v>138</v>
      </c>
      <c r="B3305">
        <v>3</v>
      </c>
      <c r="C3305">
        <v>5.4794520547945206E-3</v>
      </c>
    </row>
    <row r="3306" spans="1:3" x14ac:dyDescent="0.25">
      <c r="A3306" t="s">
        <v>151</v>
      </c>
      <c r="B3306">
        <v>3</v>
      </c>
      <c r="C3306">
        <v>5.4794520547945206E-3</v>
      </c>
    </row>
    <row r="3307" spans="1:3" x14ac:dyDescent="0.25">
      <c r="A3307" t="s">
        <v>230</v>
      </c>
      <c r="B3307">
        <v>13</v>
      </c>
      <c r="C3307">
        <v>5.4794520547945206E-3</v>
      </c>
    </row>
    <row r="3308" spans="1:3" x14ac:dyDescent="0.25">
      <c r="A3308" t="s">
        <v>164</v>
      </c>
      <c r="B3308">
        <v>15</v>
      </c>
      <c r="C3308">
        <v>2.7397260273972601E-2</v>
      </c>
    </row>
    <row r="3309" spans="1:3" x14ac:dyDescent="0.25">
      <c r="A3309" t="s">
        <v>143</v>
      </c>
      <c r="B3309">
        <v>4</v>
      </c>
      <c r="C3309">
        <v>5.4794520547945206E-3</v>
      </c>
    </row>
    <row r="3310" spans="1:3" x14ac:dyDescent="0.25">
      <c r="A3310" t="s">
        <v>232</v>
      </c>
      <c r="B3310">
        <v>6</v>
      </c>
      <c r="C3310">
        <v>1.0958904109589041E-2</v>
      </c>
    </row>
    <row r="3311" spans="1:3" x14ac:dyDescent="0.25">
      <c r="A3311" t="s">
        <v>220</v>
      </c>
      <c r="B3311">
        <v>13</v>
      </c>
      <c r="C3311">
        <v>5.4794520547945206E-3</v>
      </c>
    </row>
    <row r="3312" spans="1:3" x14ac:dyDescent="0.25">
      <c r="A3312" t="s">
        <v>171</v>
      </c>
      <c r="B3312">
        <v>20</v>
      </c>
      <c r="C3312">
        <v>8.21917808219178E-3</v>
      </c>
    </row>
    <row r="3313" spans="1:3" x14ac:dyDescent="0.25">
      <c r="A3313" t="s">
        <v>200</v>
      </c>
      <c r="B3313">
        <v>0</v>
      </c>
      <c r="C3313">
        <v>5.4794520547945206E-3</v>
      </c>
    </row>
    <row r="3314" spans="1:3" x14ac:dyDescent="0.25">
      <c r="A3314" t="s">
        <v>177</v>
      </c>
      <c r="B3314">
        <v>3</v>
      </c>
      <c r="C3314">
        <v>2.7397260273972603E-3</v>
      </c>
    </row>
    <row r="3315" spans="1:3" x14ac:dyDescent="0.25">
      <c r="A3315" t="s">
        <v>239</v>
      </c>
      <c r="B3315">
        <v>0</v>
      </c>
      <c r="C3315">
        <v>5.4794520547945206E-3</v>
      </c>
    </row>
    <row r="3316" spans="1:3" x14ac:dyDescent="0.25">
      <c r="A3316" t="s">
        <v>223</v>
      </c>
      <c r="B3316">
        <v>22</v>
      </c>
      <c r="C3316">
        <v>5.4794520547945206E-3</v>
      </c>
    </row>
    <row r="3317" spans="1:3" x14ac:dyDescent="0.25">
      <c r="A3317" t="s">
        <v>219</v>
      </c>
      <c r="B3317">
        <v>19</v>
      </c>
      <c r="C3317">
        <v>5.4794520547945206E-3</v>
      </c>
    </row>
    <row r="3318" spans="1:3" x14ac:dyDescent="0.25">
      <c r="A3318" t="s">
        <v>222</v>
      </c>
      <c r="B3318">
        <v>7</v>
      </c>
      <c r="C3318">
        <v>5.4794520547945206E-3</v>
      </c>
    </row>
    <row r="3319" spans="1:3" x14ac:dyDescent="0.25">
      <c r="A3319" t="s">
        <v>172</v>
      </c>
      <c r="B3319">
        <v>4</v>
      </c>
      <c r="C3319">
        <v>5.4794520547945206E-3</v>
      </c>
    </row>
    <row r="3320" spans="1:3" x14ac:dyDescent="0.25">
      <c r="A3320" t="s">
        <v>211</v>
      </c>
      <c r="B3320">
        <v>6</v>
      </c>
      <c r="C3320">
        <v>5.4794520547945206E-3</v>
      </c>
    </row>
    <row r="3321" spans="1:3" x14ac:dyDescent="0.25">
      <c r="A3321" t="s">
        <v>206</v>
      </c>
      <c r="B3321">
        <v>15</v>
      </c>
      <c r="C3321">
        <v>5.4794520547945206E-3</v>
      </c>
    </row>
    <row r="3322" spans="1:3" x14ac:dyDescent="0.25">
      <c r="A3322" t="s">
        <v>232</v>
      </c>
      <c r="B3322">
        <v>8</v>
      </c>
      <c r="C3322">
        <v>5.4794520547945206E-3</v>
      </c>
    </row>
    <row r="3323" spans="1:3" x14ac:dyDescent="0.25">
      <c r="A3323" t="s">
        <v>100</v>
      </c>
      <c r="B3323">
        <v>21</v>
      </c>
      <c r="C3323">
        <v>5.4794520547945206E-3</v>
      </c>
    </row>
    <row r="3324" spans="1:3" x14ac:dyDescent="0.25">
      <c r="A3324" t="s">
        <v>217</v>
      </c>
      <c r="B3324">
        <v>18</v>
      </c>
      <c r="C3324">
        <v>5.4794520547945206E-3</v>
      </c>
    </row>
    <row r="3325" spans="1:3" x14ac:dyDescent="0.25">
      <c r="A3325" t="s">
        <v>99</v>
      </c>
      <c r="B3325">
        <v>23</v>
      </c>
      <c r="C3325">
        <v>2.1917808219178082E-2</v>
      </c>
    </row>
    <row r="3326" spans="1:3" x14ac:dyDescent="0.25">
      <c r="A3326" t="s">
        <v>140</v>
      </c>
      <c r="B3326">
        <v>6</v>
      </c>
      <c r="C3326">
        <v>5.4794520547945206E-3</v>
      </c>
    </row>
    <row r="3327" spans="1:3" x14ac:dyDescent="0.25">
      <c r="A3327" t="s">
        <v>206</v>
      </c>
      <c r="B3327">
        <v>1</v>
      </c>
      <c r="C3327">
        <v>5.4794520547945206E-3</v>
      </c>
    </row>
    <row r="3328" spans="1:3" x14ac:dyDescent="0.25">
      <c r="A3328" t="s">
        <v>146</v>
      </c>
      <c r="B3328">
        <v>5</v>
      </c>
      <c r="C3328">
        <v>2.7397260273972603E-3</v>
      </c>
    </row>
    <row r="3329" spans="1:3" x14ac:dyDescent="0.25">
      <c r="A3329" t="s">
        <v>177</v>
      </c>
      <c r="B3329">
        <v>9</v>
      </c>
      <c r="C3329">
        <v>5.4794520547945206E-3</v>
      </c>
    </row>
    <row r="3330" spans="1:3" x14ac:dyDescent="0.25">
      <c r="A3330" t="s">
        <v>25</v>
      </c>
      <c r="B3330">
        <v>1</v>
      </c>
      <c r="C3330">
        <v>5.4794520547945206E-3</v>
      </c>
    </row>
    <row r="3331" spans="1:3" x14ac:dyDescent="0.25">
      <c r="A3331" t="s">
        <v>44</v>
      </c>
      <c r="B3331">
        <v>23</v>
      </c>
      <c r="C3331">
        <v>2.7397260273972603E-3</v>
      </c>
    </row>
    <row r="3332" spans="1:3" x14ac:dyDescent="0.25">
      <c r="A3332" t="s">
        <v>209</v>
      </c>
      <c r="B3332">
        <v>23</v>
      </c>
      <c r="C3332">
        <v>1.3698630136986301E-2</v>
      </c>
    </row>
    <row r="3333" spans="1:3" x14ac:dyDescent="0.25">
      <c r="A3333" t="s">
        <v>177</v>
      </c>
      <c r="B3333">
        <v>23</v>
      </c>
      <c r="C3333">
        <v>5.4794520547945206E-3</v>
      </c>
    </row>
    <row r="3334" spans="1:3" x14ac:dyDescent="0.25">
      <c r="A3334" t="s">
        <v>211</v>
      </c>
      <c r="B3334">
        <v>3</v>
      </c>
      <c r="C3334">
        <v>5.4794520547945206E-3</v>
      </c>
    </row>
    <row r="3335" spans="1:3" x14ac:dyDescent="0.25">
      <c r="A3335" t="s">
        <v>168</v>
      </c>
      <c r="B3335">
        <v>3</v>
      </c>
      <c r="C3335">
        <v>5.4794520547945206E-3</v>
      </c>
    </row>
    <row r="3336" spans="1:3" x14ac:dyDescent="0.25">
      <c r="A3336" t="s">
        <v>128</v>
      </c>
      <c r="B3336">
        <v>3</v>
      </c>
      <c r="C3336">
        <v>5.4794520547945206E-3</v>
      </c>
    </row>
    <row r="3337" spans="1:3" x14ac:dyDescent="0.25">
      <c r="A3337" t="s">
        <v>213</v>
      </c>
      <c r="B3337">
        <v>9</v>
      </c>
      <c r="C3337">
        <v>5.4794520547945206E-3</v>
      </c>
    </row>
    <row r="3338" spans="1:3" x14ac:dyDescent="0.25">
      <c r="A3338" t="s">
        <v>218</v>
      </c>
      <c r="B3338">
        <v>8</v>
      </c>
      <c r="C3338">
        <v>5.4794520547945206E-3</v>
      </c>
    </row>
    <row r="3339" spans="1:3" x14ac:dyDescent="0.25">
      <c r="A3339" t="s">
        <v>245</v>
      </c>
      <c r="B3339">
        <v>18</v>
      </c>
      <c r="C3339">
        <v>5.4794520547945206E-3</v>
      </c>
    </row>
    <row r="3340" spans="1:3" x14ac:dyDescent="0.25">
      <c r="A3340" t="s">
        <v>229</v>
      </c>
      <c r="B3340">
        <v>16</v>
      </c>
      <c r="C3340">
        <v>5.4794520547945206E-3</v>
      </c>
    </row>
    <row r="3341" spans="1:3" x14ac:dyDescent="0.25">
      <c r="A3341" t="s">
        <v>169</v>
      </c>
      <c r="B3341">
        <v>19</v>
      </c>
      <c r="C3341">
        <v>5.4794520547945206E-3</v>
      </c>
    </row>
    <row r="3342" spans="1:3" x14ac:dyDescent="0.25">
      <c r="A3342" t="s">
        <v>229</v>
      </c>
      <c r="B3342">
        <v>1</v>
      </c>
      <c r="C3342">
        <v>5.4794520547945206E-3</v>
      </c>
    </row>
    <row r="3343" spans="1:3" x14ac:dyDescent="0.25">
      <c r="A3343" t="s">
        <v>167</v>
      </c>
      <c r="B3343">
        <v>6</v>
      </c>
      <c r="C3343">
        <v>8.21917808219178E-3</v>
      </c>
    </row>
    <row r="3344" spans="1:3" x14ac:dyDescent="0.25">
      <c r="A3344" t="s">
        <v>191</v>
      </c>
      <c r="B3344">
        <v>8</v>
      </c>
      <c r="C3344">
        <v>5.4794520547945206E-3</v>
      </c>
    </row>
    <row r="3345" spans="1:3" x14ac:dyDescent="0.25">
      <c r="A3345" t="s">
        <v>192</v>
      </c>
      <c r="B3345">
        <v>9</v>
      </c>
      <c r="C3345">
        <v>5.4794520547945206E-3</v>
      </c>
    </row>
    <row r="3346" spans="1:3" x14ac:dyDescent="0.25">
      <c r="A3346" t="s">
        <v>240</v>
      </c>
      <c r="B3346">
        <v>11</v>
      </c>
      <c r="C3346">
        <v>1.0958904109589041E-2</v>
      </c>
    </row>
    <row r="3347" spans="1:3" x14ac:dyDescent="0.25">
      <c r="A3347" t="s">
        <v>118</v>
      </c>
      <c r="B3347">
        <v>13</v>
      </c>
      <c r="C3347">
        <v>5.4794520547945206E-3</v>
      </c>
    </row>
    <row r="3348" spans="1:3" x14ac:dyDescent="0.25">
      <c r="A3348" t="s">
        <v>218</v>
      </c>
      <c r="B3348">
        <v>23</v>
      </c>
      <c r="C3348">
        <v>5.4794520547945206E-3</v>
      </c>
    </row>
    <row r="3349" spans="1:3" x14ac:dyDescent="0.25">
      <c r="A3349" t="s">
        <v>136</v>
      </c>
      <c r="B3349">
        <v>23</v>
      </c>
      <c r="C3349">
        <v>5.4794520547945206E-3</v>
      </c>
    </row>
    <row r="3350" spans="1:3" x14ac:dyDescent="0.25">
      <c r="A3350" t="s">
        <v>84</v>
      </c>
      <c r="B3350">
        <v>5</v>
      </c>
      <c r="C3350">
        <v>5.4794520547945206E-3</v>
      </c>
    </row>
    <row r="3351" spans="1:3" x14ac:dyDescent="0.25">
      <c r="A3351" t="s">
        <v>213</v>
      </c>
      <c r="B3351">
        <v>7</v>
      </c>
      <c r="C3351">
        <v>5.4794520547945206E-3</v>
      </c>
    </row>
    <row r="3352" spans="1:3" x14ac:dyDescent="0.25">
      <c r="A3352" t="s">
        <v>240</v>
      </c>
      <c r="B3352">
        <v>13</v>
      </c>
      <c r="C3352">
        <v>5.4794520547945206E-3</v>
      </c>
    </row>
    <row r="3353" spans="1:3" x14ac:dyDescent="0.25">
      <c r="A3353" t="s">
        <v>231</v>
      </c>
      <c r="B3353">
        <v>10</v>
      </c>
      <c r="C3353">
        <v>5.4794520547945206E-3</v>
      </c>
    </row>
    <row r="3354" spans="1:3" x14ac:dyDescent="0.25">
      <c r="A3354" t="s">
        <v>216</v>
      </c>
      <c r="B3354">
        <v>22</v>
      </c>
      <c r="C3354">
        <v>5.4794520547945206E-3</v>
      </c>
    </row>
    <row r="3355" spans="1:3" x14ac:dyDescent="0.25">
      <c r="A3355" t="s">
        <v>45</v>
      </c>
      <c r="B3355">
        <v>0</v>
      </c>
      <c r="C3355">
        <v>1.3698630136986301E-2</v>
      </c>
    </row>
    <row r="3356" spans="1:3" x14ac:dyDescent="0.25">
      <c r="A3356" t="s">
        <v>131</v>
      </c>
      <c r="B3356">
        <v>0</v>
      </c>
      <c r="C3356">
        <v>2.1917808219178082E-2</v>
      </c>
    </row>
    <row r="3357" spans="1:3" x14ac:dyDescent="0.25">
      <c r="A3357" t="s">
        <v>211</v>
      </c>
      <c r="B3357">
        <v>4</v>
      </c>
      <c r="C3357">
        <v>5.4794520547945206E-3</v>
      </c>
    </row>
    <row r="3358" spans="1:3" x14ac:dyDescent="0.25">
      <c r="A3358" t="s">
        <v>123</v>
      </c>
      <c r="B3358">
        <v>5</v>
      </c>
      <c r="C3358">
        <v>2.7397260273972603E-3</v>
      </c>
    </row>
    <row r="3359" spans="1:3" x14ac:dyDescent="0.25">
      <c r="A3359" t="s">
        <v>186</v>
      </c>
      <c r="B3359">
        <v>9</v>
      </c>
      <c r="C3359">
        <v>5.4794520547945206E-3</v>
      </c>
    </row>
    <row r="3360" spans="1:3" x14ac:dyDescent="0.25">
      <c r="A3360" t="s">
        <v>145</v>
      </c>
      <c r="B3360">
        <v>22</v>
      </c>
      <c r="C3360">
        <v>5.4794520547945206E-3</v>
      </c>
    </row>
    <row r="3361" spans="1:3" x14ac:dyDescent="0.25">
      <c r="A3361" t="s">
        <v>175</v>
      </c>
      <c r="B3361">
        <v>6</v>
      </c>
      <c r="C3361">
        <v>5.4794520547945206E-3</v>
      </c>
    </row>
    <row r="3362" spans="1:3" x14ac:dyDescent="0.25">
      <c r="A3362" t="s">
        <v>167</v>
      </c>
      <c r="B3362">
        <v>3</v>
      </c>
      <c r="C3362">
        <v>5.4794520547945206E-3</v>
      </c>
    </row>
    <row r="3363" spans="1:3" x14ac:dyDescent="0.25">
      <c r="A3363" t="s">
        <v>199</v>
      </c>
      <c r="B3363">
        <v>5</v>
      </c>
      <c r="C3363">
        <v>5.4794520547945206E-3</v>
      </c>
    </row>
    <row r="3364" spans="1:3" x14ac:dyDescent="0.25">
      <c r="A3364" t="s">
        <v>147</v>
      </c>
      <c r="B3364">
        <v>6</v>
      </c>
      <c r="C3364">
        <v>5.4794520547945206E-3</v>
      </c>
    </row>
    <row r="3365" spans="1:3" x14ac:dyDescent="0.25">
      <c r="A3365" t="s">
        <v>190</v>
      </c>
      <c r="B3365">
        <v>23</v>
      </c>
      <c r="C3365">
        <v>5.4794520547945206E-3</v>
      </c>
    </row>
    <row r="3366" spans="1:3" x14ac:dyDescent="0.25">
      <c r="A3366" t="s">
        <v>141</v>
      </c>
      <c r="B3366">
        <v>1</v>
      </c>
      <c r="C3366">
        <v>1.0958904109589041E-2</v>
      </c>
    </row>
    <row r="3367" spans="1:3" x14ac:dyDescent="0.25">
      <c r="A3367" t="s">
        <v>230</v>
      </c>
      <c r="B3367">
        <v>0</v>
      </c>
      <c r="C3367">
        <v>5.4794520547945206E-3</v>
      </c>
    </row>
    <row r="3368" spans="1:3" x14ac:dyDescent="0.25">
      <c r="A3368" t="s">
        <v>193</v>
      </c>
      <c r="B3368">
        <v>0</v>
      </c>
      <c r="C3368">
        <v>2.7397260273972603E-3</v>
      </c>
    </row>
    <row r="3369" spans="1:3" x14ac:dyDescent="0.25">
      <c r="A3369" t="s">
        <v>155</v>
      </c>
      <c r="B3369">
        <v>4</v>
      </c>
      <c r="C3369">
        <v>5.4794520547945206E-3</v>
      </c>
    </row>
    <row r="3370" spans="1:3" x14ac:dyDescent="0.25">
      <c r="A3370" t="s">
        <v>186</v>
      </c>
      <c r="B3370">
        <v>0</v>
      </c>
      <c r="C3370">
        <v>5.4794520547945206E-3</v>
      </c>
    </row>
    <row r="3371" spans="1:3" x14ac:dyDescent="0.25">
      <c r="A3371" t="s">
        <v>208</v>
      </c>
      <c r="B3371">
        <v>20</v>
      </c>
      <c r="C3371">
        <v>5.4794520547945206E-3</v>
      </c>
    </row>
    <row r="3372" spans="1:3" x14ac:dyDescent="0.25">
      <c r="A3372" t="s">
        <v>225</v>
      </c>
      <c r="B3372">
        <v>19</v>
      </c>
      <c r="C3372">
        <v>5.4794520547945206E-3</v>
      </c>
    </row>
    <row r="3373" spans="1:3" x14ac:dyDescent="0.25">
      <c r="A3373" t="s">
        <v>232</v>
      </c>
      <c r="B3373">
        <v>16</v>
      </c>
      <c r="C3373">
        <v>5.4794520547945206E-3</v>
      </c>
    </row>
    <row r="3374" spans="1:3" x14ac:dyDescent="0.25">
      <c r="A3374" t="s">
        <v>196</v>
      </c>
      <c r="B3374">
        <v>23</v>
      </c>
      <c r="C3374">
        <v>5.4794520547945206E-3</v>
      </c>
    </row>
    <row r="3375" spans="1:3" x14ac:dyDescent="0.25">
      <c r="A3375" t="s">
        <v>165</v>
      </c>
      <c r="B3375">
        <v>7</v>
      </c>
      <c r="C3375">
        <v>5.4794520547945206E-3</v>
      </c>
    </row>
    <row r="3376" spans="1:3" x14ac:dyDescent="0.25">
      <c r="A3376" t="s">
        <v>135</v>
      </c>
      <c r="B3376">
        <v>1</v>
      </c>
      <c r="C3376">
        <v>5.4794520547945206E-3</v>
      </c>
    </row>
    <row r="3377" spans="1:3" x14ac:dyDescent="0.25">
      <c r="A3377" t="s">
        <v>178</v>
      </c>
      <c r="B3377">
        <v>6</v>
      </c>
      <c r="C3377">
        <v>8.21917808219178E-3</v>
      </c>
    </row>
    <row r="3378" spans="1:3" x14ac:dyDescent="0.25">
      <c r="A3378" t="s">
        <v>228</v>
      </c>
      <c r="B3378">
        <v>10</v>
      </c>
      <c r="C3378">
        <v>5.4794520547945206E-3</v>
      </c>
    </row>
    <row r="3379" spans="1:3" x14ac:dyDescent="0.25">
      <c r="A3379" t="s">
        <v>196</v>
      </c>
      <c r="B3379">
        <v>14</v>
      </c>
      <c r="C3379">
        <v>5.4794520547945206E-3</v>
      </c>
    </row>
    <row r="3380" spans="1:3" x14ac:dyDescent="0.25">
      <c r="A3380" t="s">
        <v>203</v>
      </c>
      <c r="B3380">
        <v>22</v>
      </c>
      <c r="C3380">
        <v>5.4794520547945206E-3</v>
      </c>
    </row>
    <row r="3381" spans="1:3" x14ac:dyDescent="0.25">
      <c r="A3381" t="s">
        <v>199</v>
      </c>
      <c r="B3381">
        <v>0</v>
      </c>
      <c r="C3381">
        <v>5.4794520547945206E-3</v>
      </c>
    </row>
    <row r="3382" spans="1:3" x14ac:dyDescent="0.25">
      <c r="A3382" t="s">
        <v>166</v>
      </c>
      <c r="B3382">
        <v>6</v>
      </c>
      <c r="C3382">
        <v>1.0958904109589041E-2</v>
      </c>
    </row>
    <row r="3383" spans="1:3" x14ac:dyDescent="0.25">
      <c r="A3383" t="s">
        <v>188</v>
      </c>
      <c r="B3383">
        <v>23</v>
      </c>
      <c r="C3383">
        <v>5.4794520547945206E-3</v>
      </c>
    </row>
    <row r="3384" spans="1:3" x14ac:dyDescent="0.25">
      <c r="A3384" t="s">
        <v>221</v>
      </c>
      <c r="B3384">
        <v>4</v>
      </c>
      <c r="C3384">
        <v>5.4794520547945206E-3</v>
      </c>
    </row>
    <row r="3385" spans="1:3" x14ac:dyDescent="0.25">
      <c r="A3385" t="s">
        <v>186</v>
      </c>
      <c r="B3385">
        <v>6</v>
      </c>
      <c r="C3385">
        <v>5.4794520547945206E-3</v>
      </c>
    </row>
    <row r="3386" spans="1:3" x14ac:dyDescent="0.25">
      <c r="A3386" t="s">
        <v>155</v>
      </c>
      <c r="B3386">
        <v>5</v>
      </c>
      <c r="C3386">
        <v>5.4794520547945206E-3</v>
      </c>
    </row>
    <row r="3387" spans="1:3" x14ac:dyDescent="0.25">
      <c r="A3387" t="s">
        <v>154</v>
      </c>
      <c r="B3387">
        <v>0</v>
      </c>
      <c r="C3387">
        <v>5.4794520547945206E-3</v>
      </c>
    </row>
    <row r="3388" spans="1:3" x14ac:dyDescent="0.25">
      <c r="A3388" t="s">
        <v>215</v>
      </c>
      <c r="B3388">
        <v>8</v>
      </c>
      <c r="C3388">
        <v>5.4794520547945206E-3</v>
      </c>
    </row>
    <row r="3389" spans="1:3" x14ac:dyDescent="0.25">
      <c r="A3389" t="s">
        <v>240</v>
      </c>
      <c r="B3389">
        <v>14</v>
      </c>
      <c r="C3389">
        <v>2.7397260273972603E-3</v>
      </c>
    </row>
    <row r="3390" spans="1:3" x14ac:dyDescent="0.25">
      <c r="A3390" t="s">
        <v>239</v>
      </c>
      <c r="B3390">
        <v>14</v>
      </c>
      <c r="C3390">
        <v>5.4794520547945206E-3</v>
      </c>
    </row>
    <row r="3391" spans="1:3" x14ac:dyDescent="0.25">
      <c r="A3391" t="s">
        <v>235</v>
      </c>
      <c r="B3391">
        <v>12</v>
      </c>
      <c r="C3391">
        <v>5.4794520547945206E-3</v>
      </c>
    </row>
    <row r="3392" spans="1:3" x14ac:dyDescent="0.25">
      <c r="A3392" t="s">
        <v>215</v>
      </c>
      <c r="B3392">
        <v>21</v>
      </c>
      <c r="C3392">
        <v>5.4794520547945206E-3</v>
      </c>
    </row>
    <row r="3393" spans="1:3" x14ac:dyDescent="0.25">
      <c r="A3393" t="s">
        <v>187</v>
      </c>
      <c r="B3393">
        <v>23</v>
      </c>
      <c r="C3393">
        <v>1.0958904109589041E-2</v>
      </c>
    </row>
    <row r="3394" spans="1:3" x14ac:dyDescent="0.25">
      <c r="A3394" t="s">
        <v>119</v>
      </c>
      <c r="B3394">
        <v>4</v>
      </c>
      <c r="C3394">
        <v>5.4794520547945206E-3</v>
      </c>
    </row>
    <row r="3395" spans="1:3" x14ac:dyDescent="0.25">
      <c r="A3395" t="s">
        <v>169</v>
      </c>
      <c r="B3395">
        <v>1</v>
      </c>
      <c r="C3395">
        <v>1.0958904109589041E-2</v>
      </c>
    </row>
    <row r="3396" spans="1:3" x14ac:dyDescent="0.25">
      <c r="A3396" t="s">
        <v>194</v>
      </c>
      <c r="B3396">
        <v>12</v>
      </c>
      <c r="C3396">
        <v>5.4794520547945206E-3</v>
      </c>
    </row>
    <row r="3397" spans="1:3" x14ac:dyDescent="0.25">
      <c r="A3397" t="s">
        <v>195</v>
      </c>
      <c r="B3397">
        <v>22</v>
      </c>
      <c r="C3397">
        <v>5.4794520547945206E-3</v>
      </c>
    </row>
    <row r="3398" spans="1:3" x14ac:dyDescent="0.25">
      <c r="A3398" t="s">
        <v>229</v>
      </c>
      <c r="B3398">
        <v>2</v>
      </c>
      <c r="C3398">
        <v>2.7397260273972603E-3</v>
      </c>
    </row>
    <row r="3399" spans="1:3" x14ac:dyDescent="0.25">
      <c r="A3399" t="s">
        <v>108</v>
      </c>
      <c r="B3399">
        <v>5</v>
      </c>
      <c r="C3399">
        <v>2.7397260273972603E-3</v>
      </c>
    </row>
    <row r="3400" spans="1:3" x14ac:dyDescent="0.25">
      <c r="A3400" t="s">
        <v>193</v>
      </c>
      <c r="B3400">
        <v>22</v>
      </c>
      <c r="C3400">
        <v>5.4794520547945206E-3</v>
      </c>
    </row>
    <row r="3401" spans="1:3" x14ac:dyDescent="0.25">
      <c r="A3401" t="s">
        <v>118</v>
      </c>
      <c r="B3401">
        <v>21</v>
      </c>
      <c r="C3401">
        <v>5.4794520547945206E-3</v>
      </c>
    </row>
    <row r="3402" spans="1:3" x14ac:dyDescent="0.25">
      <c r="A3402" t="s">
        <v>124</v>
      </c>
      <c r="B3402">
        <v>22</v>
      </c>
      <c r="C3402">
        <v>5.4794520547945206E-3</v>
      </c>
    </row>
    <row r="3403" spans="1:3" x14ac:dyDescent="0.25">
      <c r="A3403" t="s">
        <v>225</v>
      </c>
      <c r="B3403">
        <v>21</v>
      </c>
      <c r="C3403">
        <v>5.4794520547945206E-3</v>
      </c>
    </row>
    <row r="3404" spans="1:3" x14ac:dyDescent="0.25">
      <c r="A3404" t="s">
        <v>207</v>
      </c>
      <c r="B3404">
        <v>18</v>
      </c>
      <c r="C3404">
        <v>5.4794520547945206E-3</v>
      </c>
    </row>
    <row r="3405" spans="1:3" x14ac:dyDescent="0.25">
      <c r="A3405" t="s">
        <v>128</v>
      </c>
      <c r="B3405">
        <v>4</v>
      </c>
      <c r="C3405">
        <v>2.7397260273972603E-3</v>
      </c>
    </row>
    <row r="3406" spans="1:3" x14ac:dyDescent="0.25">
      <c r="A3406" t="s">
        <v>176</v>
      </c>
      <c r="B3406">
        <v>5</v>
      </c>
      <c r="C3406">
        <v>2.7397260273972603E-3</v>
      </c>
    </row>
    <row r="3407" spans="1:3" x14ac:dyDescent="0.25">
      <c r="A3407" t="s">
        <v>153</v>
      </c>
      <c r="B3407">
        <v>1</v>
      </c>
      <c r="C3407">
        <v>1.0958904109589041E-2</v>
      </c>
    </row>
    <row r="3408" spans="1:3" x14ac:dyDescent="0.25">
      <c r="A3408" t="s">
        <v>71</v>
      </c>
      <c r="B3408">
        <v>3</v>
      </c>
      <c r="C3408">
        <v>5.4794520547945206E-3</v>
      </c>
    </row>
    <row r="3409" spans="1:3" x14ac:dyDescent="0.25">
      <c r="A3409" t="s">
        <v>200</v>
      </c>
      <c r="B3409">
        <v>2</v>
      </c>
      <c r="C3409">
        <v>2.7397260273972603E-3</v>
      </c>
    </row>
    <row r="3410" spans="1:3" x14ac:dyDescent="0.25">
      <c r="A3410" t="s">
        <v>122</v>
      </c>
      <c r="B3410">
        <v>1</v>
      </c>
      <c r="C3410">
        <v>5.4794520547945206E-3</v>
      </c>
    </row>
    <row r="3411" spans="1:3" x14ac:dyDescent="0.25">
      <c r="A3411" t="s">
        <v>191</v>
      </c>
      <c r="B3411">
        <v>3</v>
      </c>
      <c r="C3411">
        <v>2.7397260273972603E-3</v>
      </c>
    </row>
    <row r="3412" spans="1:3" x14ac:dyDescent="0.25">
      <c r="A3412" t="s">
        <v>200</v>
      </c>
      <c r="B3412">
        <v>6</v>
      </c>
      <c r="C3412">
        <v>2.7397260273972603E-3</v>
      </c>
    </row>
    <row r="3413" spans="1:3" x14ac:dyDescent="0.25">
      <c r="A3413" t="s">
        <v>158</v>
      </c>
      <c r="B3413">
        <v>6</v>
      </c>
      <c r="C3413">
        <v>5.4794520547945206E-3</v>
      </c>
    </row>
    <row r="3414" spans="1:3" x14ac:dyDescent="0.25">
      <c r="A3414" t="s">
        <v>219</v>
      </c>
      <c r="B3414">
        <v>17</v>
      </c>
      <c r="C3414">
        <v>5.4794520547945206E-3</v>
      </c>
    </row>
    <row r="3415" spans="1:3" x14ac:dyDescent="0.25">
      <c r="A3415" t="s">
        <v>135</v>
      </c>
      <c r="B3415">
        <v>6</v>
      </c>
      <c r="C3415">
        <v>5.4794520547945206E-3</v>
      </c>
    </row>
    <row r="3416" spans="1:3" x14ac:dyDescent="0.25">
      <c r="A3416" t="s">
        <v>145</v>
      </c>
      <c r="B3416">
        <v>6</v>
      </c>
      <c r="C3416">
        <v>2.7397260273972603E-3</v>
      </c>
    </row>
    <row r="3417" spans="1:3" x14ac:dyDescent="0.25">
      <c r="A3417" t="s">
        <v>157</v>
      </c>
      <c r="B3417">
        <v>1</v>
      </c>
      <c r="C3417">
        <v>2.7397260273972603E-3</v>
      </c>
    </row>
    <row r="3418" spans="1:3" x14ac:dyDescent="0.25">
      <c r="A3418" t="s">
        <v>245</v>
      </c>
      <c r="B3418">
        <v>15</v>
      </c>
      <c r="C3418">
        <v>5.4794520547945206E-3</v>
      </c>
    </row>
    <row r="3419" spans="1:3" x14ac:dyDescent="0.25">
      <c r="A3419" t="s">
        <v>190</v>
      </c>
      <c r="B3419">
        <v>6</v>
      </c>
      <c r="C3419">
        <v>2.7397260273972603E-3</v>
      </c>
    </row>
    <row r="3420" spans="1:3" x14ac:dyDescent="0.25">
      <c r="A3420" t="s">
        <v>232</v>
      </c>
      <c r="B3420">
        <v>15</v>
      </c>
      <c r="C3420">
        <v>5.4794520547945206E-3</v>
      </c>
    </row>
    <row r="3421" spans="1:3" x14ac:dyDescent="0.25">
      <c r="A3421" t="s">
        <v>118</v>
      </c>
      <c r="B3421">
        <v>12</v>
      </c>
      <c r="C3421">
        <v>5.4794520547945206E-3</v>
      </c>
    </row>
    <row r="3422" spans="1:3" x14ac:dyDescent="0.25">
      <c r="A3422" t="s">
        <v>224</v>
      </c>
      <c r="B3422">
        <v>14</v>
      </c>
      <c r="C3422">
        <v>5.4794520547945206E-3</v>
      </c>
    </row>
    <row r="3423" spans="1:3" x14ac:dyDescent="0.25">
      <c r="A3423" t="s">
        <v>215</v>
      </c>
      <c r="B3423">
        <v>12</v>
      </c>
      <c r="C3423">
        <v>5.4794520547945206E-3</v>
      </c>
    </row>
    <row r="3424" spans="1:3" x14ac:dyDescent="0.25">
      <c r="A3424" t="s">
        <v>171</v>
      </c>
      <c r="B3424">
        <v>23</v>
      </c>
      <c r="C3424">
        <v>5.4794520547945206E-3</v>
      </c>
    </row>
    <row r="3425" spans="1:3" x14ac:dyDescent="0.25">
      <c r="A3425" t="s">
        <v>97</v>
      </c>
      <c r="B3425">
        <v>23</v>
      </c>
      <c r="C3425">
        <v>5.4794520547945206E-3</v>
      </c>
    </row>
    <row r="3426" spans="1:3" x14ac:dyDescent="0.25">
      <c r="A3426" t="s">
        <v>182</v>
      </c>
      <c r="B3426">
        <v>4</v>
      </c>
      <c r="C3426">
        <v>5.4794520547945206E-3</v>
      </c>
    </row>
    <row r="3427" spans="1:3" x14ac:dyDescent="0.25">
      <c r="A3427" t="s">
        <v>227</v>
      </c>
      <c r="B3427">
        <v>1</v>
      </c>
      <c r="C3427">
        <v>2.7397260273972603E-3</v>
      </c>
    </row>
    <row r="3428" spans="1:3" x14ac:dyDescent="0.25">
      <c r="A3428" t="s">
        <v>175</v>
      </c>
      <c r="B3428">
        <v>4</v>
      </c>
      <c r="C3428">
        <v>5.4794520547945206E-3</v>
      </c>
    </row>
    <row r="3429" spans="1:3" x14ac:dyDescent="0.25">
      <c r="A3429" t="s">
        <v>203</v>
      </c>
      <c r="B3429">
        <v>7</v>
      </c>
      <c r="C3429">
        <v>2.7397260273972603E-3</v>
      </c>
    </row>
    <row r="3430" spans="1:3" x14ac:dyDescent="0.25">
      <c r="A3430" t="s">
        <v>166</v>
      </c>
      <c r="B3430">
        <v>20</v>
      </c>
      <c r="C3430">
        <v>1.0958904109589041E-2</v>
      </c>
    </row>
    <row r="3431" spans="1:3" x14ac:dyDescent="0.25">
      <c r="A3431" t="s">
        <v>215</v>
      </c>
      <c r="B3431">
        <v>1</v>
      </c>
      <c r="C3431">
        <v>2.7397260273972603E-3</v>
      </c>
    </row>
    <row r="3432" spans="1:3" x14ac:dyDescent="0.25">
      <c r="A3432" t="s">
        <v>115</v>
      </c>
      <c r="B3432">
        <v>4</v>
      </c>
      <c r="C3432">
        <v>5.4794520547945206E-3</v>
      </c>
    </row>
    <row r="3433" spans="1:3" x14ac:dyDescent="0.25">
      <c r="A3433" t="s">
        <v>111</v>
      </c>
      <c r="B3433">
        <v>4</v>
      </c>
      <c r="C3433">
        <v>8.21917808219178E-3</v>
      </c>
    </row>
    <row r="3434" spans="1:3" x14ac:dyDescent="0.25">
      <c r="A3434" t="s">
        <v>171</v>
      </c>
      <c r="B3434">
        <v>9</v>
      </c>
      <c r="C3434">
        <v>8.21917808219178E-3</v>
      </c>
    </row>
    <row r="3435" spans="1:3" x14ac:dyDescent="0.25">
      <c r="A3435" t="s">
        <v>185</v>
      </c>
      <c r="B3435">
        <v>13</v>
      </c>
      <c r="C3435">
        <v>2.7397260273972603E-3</v>
      </c>
    </row>
    <row r="3436" spans="1:3" x14ac:dyDescent="0.25">
      <c r="A3436" t="s">
        <v>234</v>
      </c>
      <c r="B3436">
        <v>20</v>
      </c>
      <c r="C3436">
        <v>5.4794520547945206E-3</v>
      </c>
    </row>
    <row r="3437" spans="1:3" x14ac:dyDescent="0.25">
      <c r="A3437" t="s">
        <v>209</v>
      </c>
      <c r="B3437">
        <v>22</v>
      </c>
      <c r="C3437">
        <v>8.21917808219178E-3</v>
      </c>
    </row>
    <row r="3438" spans="1:3" x14ac:dyDescent="0.25">
      <c r="A3438" t="s">
        <v>225</v>
      </c>
      <c r="B3438">
        <v>5</v>
      </c>
      <c r="C3438">
        <v>2.7397260273972603E-3</v>
      </c>
    </row>
    <row r="3439" spans="1:3" x14ac:dyDescent="0.25">
      <c r="A3439" t="s">
        <v>96</v>
      </c>
      <c r="B3439">
        <v>4</v>
      </c>
      <c r="C3439">
        <v>8.21917808219178E-3</v>
      </c>
    </row>
    <row r="3440" spans="1:3" x14ac:dyDescent="0.25">
      <c r="A3440" t="s">
        <v>213</v>
      </c>
      <c r="B3440">
        <v>6</v>
      </c>
      <c r="C3440">
        <v>5.4794520547945206E-3</v>
      </c>
    </row>
    <row r="3441" spans="1:3" x14ac:dyDescent="0.25">
      <c r="A3441" t="s">
        <v>189</v>
      </c>
      <c r="B3441">
        <v>3</v>
      </c>
      <c r="C3441">
        <v>2.7397260273972603E-3</v>
      </c>
    </row>
    <row r="3442" spans="1:3" x14ac:dyDescent="0.25">
      <c r="A3442" t="s">
        <v>244</v>
      </c>
      <c r="B3442">
        <v>15</v>
      </c>
      <c r="C3442">
        <v>5.4794520547945206E-3</v>
      </c>
    </row>
    <row r="3443" spans="1:3" x14ac:dyDescent="0.25">
      <c r="A3443" t="s">
        <v>147</v>
      </c>
      <c r="B3443">
        <v>0</v>
      </c>
      <c r="C3443">
        <v>5.4794520547945206E-3</v>
      </c>
    </row>
    <row r="3444" spans="1:3" x14ac:dyDescent="0.25">
      <c r="A3444" t="s">
        <v>128</v>
      </c>
      <c r="B3444">
        <v>0</v>
      </c>
      <c r="C3444">
        <v>2.7397260273972603E-3</v>
      </c>
    </row>
    <row r="3445" spans="1:3" x14ac:dyDescent="0.25">
      <c r="A3445" t="s">
        <v>127</v>
      </c>
      <c r="B3445">
        <v>1</v>
      </c>
      <c r="C3445">
        <v>8.21917808219178E-3</v>
      </c>
    </row>
    <row r="3446" spans="1:3" x14ac:dyDescent="0.25">
      <c r="A3446" t="s">
        <v>160</v>
      </c>
      <c r="B3446">
        <v>3</v>
      </c>
      <c r="C3446">
        <v>5.4794520547945206E-3</v>
      </c>
    </row>
    <row r="3447" spans="1:3" x14ac:dyDescent="0.25">
      <c r="A3447" t="s">
        <v>209</v>
      </c>
      <c r="B3447">
        <v>1</v>
      </c>
      <c r="C3447">
        <v>2.7397260273972603E-3</v>
      </c>
    </row>
    <row r="3448" spans="1:3" x14ac:dyDescent="0.25">
      <c r="A3448" t="s">
        <v>245</v>
      </c>
      <c r="B3448">
        <v>16</v>
      </c>
      <c r="C3448">
        <v>5.4794520547945206E-3</v>
      </c>
    </row>
    <row r="3449" spans="1:3" x14ac:dyDescent="0.25">
      <c r="A3449" t="s">
        <v>44</v>
      </c>
      <c r="B3449">
        <v>2</v>
      </c>
      <c r="C3449">
        <v>2.7397260273972603E-3</v>
      </c>
    </row>
    <row r="3450" spans="1:3" x14ac:dyDescent="0.25">
      <c r="A3450" t="s">
        <v>198</v>
      </c>
      <c r="B3450">
        <v>2</v>
      </c>
      <c r="C3450">
        <v>2.7397260273972603E-3</v>
      </c>
    </row>
    <row r="3451" spans="1:3" x14ac:dyDescent="0.25">
      <c r="A3451" t="s">
        <v>229</v>
      </c>
      <c r="B3451">
        <v>15</v>
      </c>
      <c r="C3451">
        <v>5.4794520547945206E-3</v>
      </c>
    </row>
    <row r="3452" spans="1:3" x14ac:dyDescent="0.25">
      <c r="A3452" t="s">
        <v>203</v>
      </c>
      <c r="B3452">
        <v>18</v>
      </c>
      <c r="C3452">
        <v>5.4794520547945206E-3</v>
      </c>
    </row>
    <row r="3453" spans="1:3" x14ac:dyDescent="0.25">
      <c r="A3453" t="s">
        <v>140</v>
      </c>
      <c r="B3453">
        <v>23</v>
      </c>
      <c r="C3453">
        <v>5.4794520547945206E-3</v>
      </c>
    </row>
    <row r="3454" spans="1:3" x14ac:dyDescent="0.25">
      <c r="A3454" t="s">
        <v>190</v>
      </c>
      <c r="B3454">
        <v>0</v>
      </c>
      <c r="C3454">
        <v>2.7397260273972603E-3</v>
      </c>
    </row>
    <row r="3455" spans="1:3" x14ac:dyDescent="0.25">
      <c r="A3455" t="s">
        <v>168</v>
      </c>
      <c r="B3455">
        <v>5</v>
      </c>
      <c r="C3455">
        <v>2.7397260273972603E-3</v>
      </c>
    </row>
    <row r="3456" spans="1:3" x14ac:dyDescent="0.25">
      <c r="A3456" t="s">
        <v>148</v>
      </c>
      <c r="B3456">
        <v>4</v>
      </c>
      <c r="C3456">
        <v>2.7397260273972603E-3</v>
      </c>
    </row>
    <row r="3457" spans="1:3" x14ac:dyDescent="0.25">
      <c r="A3457" t="s">
        <v>234</v>
      </c>
      <c r="B3457">
        <v>13</v>
      </c>
      <c r="C3457">
        <v>5.4794520547945206E-3</v>
      </c>
    </row>
    <row r="3458" spans="1:3" x14ac:dyDescent="0.25">
      <c r="A3458" t="s">
        <v>116</v>
      </c>
      <c r="B3458">
        <v>4</v>
      </c>
      <c r="C3458">
        <v>2.7397260273972603E-3</v>
      </c>
    </row>
    <row r="3459" spans="1:3" x14ac:dyDescent="0.25">
      <c r="A3459" t="s">
        <v>205</v>
      </c>
      <c r="B3459">
        <v>3</v>
      </c>
      <c r="C3459">
        <v>2.7397260273972603E-3</v>
      </c>
    </row>
    <row r="3460" spans="1:3" x14ac:dyDescent="0.25">
      <c r="A3460" t="s">
        <v>179</v>
      </c>
      <c r="B3460">
        <v>5</v>
      </c>
      <c r="C3460">
        <v>2.7397260273972603E-3</v>
      </c>
    </row>
    <row r="3461" spans="1:3" x14ac:dyDescent="0.25">
      <c r="A3461" t="s">
        <v>238</v>
      </c>
      <c r="B3461">
        <v>15</v>
      </c>
      <c r="C3461">
        <v>5.4794520547945206E-3</v>
      </c>
    </row>
    <row r="3462" spans="1:3" x14ac:dyDescent="0.25">
      <c r="A3462" t="s">
        <v>203</v>
      </c>
      <c r="B3462">
        <v>15</v>
      </c>
      <c r="C3462">
        <v>5.4794520547945206E-3</v>
      </c>
    </row>
    <row r="3463" spans="1:3" x14ac:dyDescent="0.25">
      <c r="A3463" t="s">
        <v>178</v>
      </c>
      <c r="B3463">
        <v>21</v>
      </c>
      <c r="C3463">
        <v>8.21917808219178E-3</v>
      </c>
    </row>
    <row r="3464" spans="1:3" x14ac:dyDescent="0.25">
      <c r="A3464" t="s">
        <v>191</v>
      </c>
      <c r="B3464">
        <v>23</v>
      </c>
      <c r="C3464">
        <v>5.4794520547945206E-3</v>
      </c>
    </row>
    <row r="3465" spans="1:3" x14ac:dyDescent="0.25">
      <c r="A3465" t="s">
        <v>102</v>
      </c>
      <c r="B3465">
        <v>2</v>
      </c>
      <c r="C3465">
        <v>8.21917808219178E-3</v>
      </c>
    </row>
    <row r="3466" spans="1:3" x14ac:dyDescent="0.25">
      <c r="A3466" t="s">
        <v>203</v>
      </c>
      <c r="B3466">
        <v>3</v>
      </c>
      <c r="C3466">
        <v>2.7397260273972603E-3</v>
      </c>
    </row>
    <row r="3467" spans="1:3" x14ac:dyDescent="0.25">
      <c r="A3467" t="s">
        <v>228</v>
      </c>
      <c r="B3467">
        <v>9</v>
      </c>
      <c r="C3467">
        <v>5.4794520547945206E-3</v>
      </c>
    </row>
    <row r="3468" spans="1:3" x14ac:dyDescent="0.25">
      <c r="A3468" t="s">
        <v>96</v>
      </c>
      <c r="B3468">
        <v>2</v>
      </c>
      <c r="C3468">
        <v>8.21917808219178E-3</v>
      </c>
    </row>
    <row r="3469" spans="1:3" x14ac:dyDescent="0.25">
      <c r="A3469" t="s">
        <v>152</v>
      </c>
      <c r="B3469">
        <v>4</v>
      </c>
      <c r="C3469">
        <v>2.7397260273972603E-3</v>
      </c>
    </row>
    <row r="3470" spans="1:3" x14ac:dyDescent="0.25">
      <c r="A3470" t="s">
        <v>198</v>
      </c>
      <c r="B3470">
        <v>6</v>
      </c>
      <c r="C3470">
        <v>5.4794520547945206E-3</v>
      </c>
    </row>
    <row r="3471" spans="1:3" x14ac:dyDescent="0.25">
      <c r="A3471" t="s">
        <v>161</v>
      </c>
      <c r="B3471">
        <v>8</v>
      </c>
      <c r="C3471">
        <v>5.4794520547945206E-3</v>
      </c>
    </row>
    <row r="3472" spans="1:3" x14ac:dyDescent="0.25">
      <c r="A3472" t="s">
        <v>233</v>
      </c>
      <c r="B3472">
        <v>19</v>
      </c>
      <c r="C3472">
        <v>5.4794520547945206E-3</v>
      </c>
    </row>
    <row r="3473" spans="1:3" x14ac:dyDescent="0.25">
      <c r="A3473" t="s">
        <v>196</v>
      </c>
      <c r="B3473">
        <v>22</v>
      </c>
      <c r="C3473">
        <v>5.4794520547945206E-3</v>
      </c>
    </row>
    <row r="3474" spans="1:3" x14ac:dyDescent="0.25">
      <c r="A3474" t="s">
        <v>102</v>
      </c>
      <c r="B3474">
        <v>21</v>
      </c>
      <c r="C3474">
        <v>5.4794520547945206E-3</v>
      </c>
    </row>
    <row r="3475" spans="1:3" x14ac:dyDescent="0.25">
      <c r="A3475" t="s">
        <v>230</v>
      </c>
      <c r="B3475">
        <v>16</v>
      </c>
      <c r="C3475">
        <v>5.4794520547945206E-3</v>
      </c>
    </row>
    <row r="3476" spans="1:3" x14ac:dyDescent="0.25">
      <c r="A3476" t="s">
        <v>159</v>
      </c>
      <c r="B3476">
        <v>7</v>
      </c>
      <c r="C3476">
        <v>2.7397260273972603E-3</v>
      </c>
    </row>
    <row r="3477" spans="1:3" x14ac:dyDescent="0.25">
      <c r="A3477" t="s">
        <v>197</v>
      </c>
      <c r="B3477">
        <v>2</v>
      </c>
      <c r="C3477">
        <v>2.7397260273972603E-3</v>
      </c>
    </row>
    <row r="3478" spans="1:3" x14ac:dyDescent="0.25">
      <c r="A3478" t="s">
        <v>85</v>
      </c>
      <c r="B3478">
        <v>11</v>
      </c>
      <c r="C3478">
        <v>5.4794520547945206E-3</v>
      </c>
    </row>
    <row r="3479" spans="1:3" x14ac:dyDescent="0.25">
      <c r="A3479" t="s">
        <v>209</v>
      </c>
      <c r="B3479">
        <v>17</v>
      </c>
      <c r="C3479">
        <v>8.21917808219178E-3</v>
      </c>
    </row>
    <row r="3480" spans="1:3" x14ac:dyDescent="0.25">
      <c r="A3480" t="s">
        <v>216</v>
      </c>
      <c r="B3480">
        <v>4</v>
      </c>
      <c r="C3480">
        <v>2.7397260273972603E-3</v>
      </c>
    </row>
    <row r="3481" spans="1:3" x14ac:dyDescent="0.25">
      <c r="A3481" t="s">
        <v>192</v>
      </c>
      <c r="B3481">
        <v>10</v>
      </c>
      <c r="C3481">
        <v>5.4794520547945206E-3</v>
      </c>
    </row>
    <row r="3482" spans="1:3" x14ac:dyDescent="0.25">
      <c r="A3482" t="s">
        <v>232</v>
      </c>
      <c r="B3482">
        <v>23</v>
      </c>
      <c r="C3482">
        <v>5.4794520547945206E-3</v>
      </c>
    </row>
    <row r="3483" spans="1:3" x14ac:dyDescent="0.25">
      <c r="A3483" t="s">
        <v>118</v>
      </c>
      <c r="B3483">
        <v>16</v>
      </c>
      <c r="C3483">
        <v>2.7397260273972603E-3</v>
      </c>
    </row>
    <row r="3484" spans="1:3" x14ac:dyDescent="0.25">
      <c r="A3484" t="s">
        <v>225</v>
      </c>
      <c r="B3484">
        <v>2</v>
      </c>
      <c r="C3484">
        <v>2.7397260273972603E-3</v>
      </c>
    </row>
    <row r="3485" spans="1:3" x14ac:dyDescent="0.25">
      <c r="A3485" t="s">
        <v>184</v>
      </c>
      <c r="B3485">
        <v>1</v>
      </c>
      <c r="C3485">
        <v>2.7397260273972603E-3</v>
      </c>
    </row>
    <row r="3486" spans="1:3" x14ac:dyDescent="0.25">
      <c r="A3486" t="s">
        <v>123</v>
      </c>
      <c r="B3486">
        <v>2</v>
      </c>
      <c r="C3486">
        <v>2.7397260273972603E-3</v>
      </c>
    </row>
    <row r="3487" spans="1:3" x14ac:dyDescent="0.25">
      <c r="A3487" t="s">
        <v>229</v>
      </c>
      <c r="B3487">
        <v>18</v>
      </c>
      <c r="C3487">
        <v>5.4794520547945206E-3</v>
      </c>
    </row>
    <row r="3488" spans="1:3" x14ac:dyDescent="0.25">
      <c r="A3488" t="s">
        <v>213</v>
      </c>
      <c r="B3488">
        <v>20</v>
      </c>
      <c r="C3488">
        <v>5.4794520547945206E-3</v>
      </c>
    </row>
    <row r="3489" spans="1:3" x14ac:dyDescent="0.25">
      <c r="A3489" t="s">
        <v>185</v>
      </c>
      <c r="B3489">
        <v>0</v>
      </c>
      <c r="C3489">
        <v>5.4794520547945206E-3</v>
      </c>
    </row>
    <row r="3490" spans="1:3" x14ac:dyDescent="0.25">
      <c r="A3490" t="s">
        <v>245</v>
      </c>
      <c r="B3490">
        <v>7</v>
      </c>
      <c r="C3490">
        <v>2.7397260273972603E-3</v>
      </c>
    </row>
    <row r="3491" spans="1:3" x14ac:dyDescent="0.25">
      <c r="A3491" t="s">
        <v>141</v>
      </c>
      <c r="B3491">
        <v>3</v>
      </c>
      <c r="C3491">
        <v>2.7397260273972603E-3</v>
      </c>
    </row>
    <row r="3492" spans="1:3" x14ac:dyDescent="0.25">
      <c r="A3492" t="s">
        <v>192</v>
      </c>
      <c r="B3492">
        <v>11</v>
      </c>
      <c r="C3492">
        <v>5.4794520547945206E-3</v>
      </c>
    </row>
    <row r="3493" spans="1:3" x14ac:dyDescent="0.25">
      <c r="A3493" t="s">
        <v>240</v>
      </c>
      <c r="B3493">
        <v>17</v>
      </c>
      <c r="C3493">
        <v>2.7397260273972603E-3</v>
      </c>
    </row>
    <row r="3494" spans="1:3" x14ac:dyDescent="0.25">
      <c r="A3494" t="s">
        <v>177</v>
      </c>
      <c r="B3494">
        <v>22</v>
      </c>
      <c r="C3494">
        <v>5.4794520547945206E-3</v>
      </c>
    </row>
    <row r="3495" spans="1:3" x14ac:dyDescent="0.25">
      <c r="A3495" t="s">
        <v>201</v>
      </c>
      <c r="B3495">
        <v>23</v>
      </c>
      <c r="C3495">
        <v>5.4794520547945206E-3</v>
      </c>
    </row>
    <row r="3496" spans="1:3" x14ac:dyDescent="0.25">
      <c r="A3496" t="s">
        <v>177</v>
      </c>
      <c r="B3496">
        <v>6</v>
      </c>
      <c r="C3496">
        <v>2.7397260273972603E-3</v>
      </c>
    </row>
    <row r="3497" spans="1:3" x14ac:dyDescent="0.25">
      <c r="A3497" t="s">
        <v>235</v>
      </c>
      <c r="B3497">
        <v>1</v>
      </c>
      <c r="C3497">
        <v>2.7397260273972603E-3</v>
      </c>
    </row>
    <row r="3498" spans="1:3" x14ac:dyDescent="0.25">
      <c r="A3498" t="s">
        <v>87</v>
      </c>
      <c r="B3498">
        <v>4</v>
      </c>
      <c r="C3498">
        <v>2.7397260273972603E-3</v>
      </c>
    </row>
    <row r="3499" spans="1:3" x14ac:dyDescent="0.25">
      <c r="A3499" t="s">
        <v>207</v>
      </c>
      <c r="B3499">
        <v>2</v>
      </c>
      <c r="C3499">
        <v>2.7397260273972603E-3</v>
      </c>
    </row>
    <row r="3500" spans="1:3" x14ac:dyDescent="0.25">
      <c r="A3500" t="s">
        <v>179</v>
      </c>
      <c r="B3500">
        <v>1</v>
      </c>
      <c r="C3500">
        <v>2.7397260273972603E-3</v>
      </c>
    </row>
    <row r="3501" spans="1:3" x14ac:dyDescent="0.25">
      <c r="A3501" t="s">
        <v>207</v>
      </c>
      <c r="B3501">
        <v>22</v>
      </c>
      <c r="C3501">
        <v>5.4794520547945206E-3</v>
      </c>
    </row>
    <row r="3502" spans="1:3" x14ac:dyDescent="0.25">
      <c r="A3502" t="s">
        <v>123</v>
      </c>
      <c r="B3502">
        <v>4</v>
      </c>
      <c r="C3502">
        <v>2.7397260273972603E-3</v>
      </c>
    </row>
    <row r="3503" spans="1:3" x14ac:dyDescent="0.25">
      <c r="A3503" t="s">
        <v>169</v>
      </c>
      <c r="B3503">
        <v>3</v>
      </c>
      <c r="C3503">
        <v>2.7397260273972603E-3</v>
      </c>
    </row>
    <row r="3504" spans="1:3" x14ac:dyDescent="0.25">
      <c r="A3504" t="s">
        <v>239</v>
      </c>
      <c r="B3504">
        <v>8</v>
      </c>
      <c r="C3504">
        <v>5.4794520547945206E-3</v>
      </c>
    </row>
    <row r="3505" spans="1:3" x14ac:dyDescent="0.25">
      <c r="A3505" t="s">
        <v>85</v>
      </c>
      <c r="B3505">
        <v>12</v>
      </c>
      <c r="C3505">
        <v>5.4794520547945206E-3</v>
      </c>
    </row>
    <row r="3506" spans="1:3" x14ac:dyDescent="0.25">
      <c r="A3506" t="s">
        <v>228</v>
      </c>
      <c r="B3506">
        <v>13</v>
      </c>
      <c r="C3506">
        <v>5.4794520547945206E-3</v>
      </c>
    </row>
    <row r="3507" spans="1:3" x14ac:dyDescent="0.25">
      <c r="A3507" t="s">
        <v>228</v>
      </c>
      <c r="B3507">
        <v>16</v>
      </c>
      <c r="C3507">
        <v>2.7397260273972603E-3</v>
      </c>
    </row>
    <row r="3508" spans="1:3" x14ac:dyDescent="0.25">
      <c r="A3508" t="s">
        <v>215</v>
      </c>
      <c r="B3508">
        <v>2</v>
      </c>
      <c r="C3508">
        <v>2.7397260273972603E-3</v>
      </c>
    </row>
    <row r="3509" spans="1:3" x14ac:dyDescent="0.25">
      <c r="A3509" t="s">
        <v>158</v>
      </c>
      <c r="B3509">
        <v>5</v>
      </c>
      <c r="C3509">
        <v>8.21917808219178E-3</v>
      </c>
    </row>
    <row r="3510" spans="1:3" x14ac:dyDescent="0.25">
      <c r="A3510" t="s">
        <v>119</v>
      </c>
      <c r="B3510">
        <v>6</v>
      </c>
      <c r="C3510">
        <v>2.7397260273972603E-3</v>
      </c>
    </row>
    <row r="3511" spans="1:3" x14ac:dyDescent="0.25">
      <c r="A3511" t="s">
        <v>220</v>
      </c>
      <c r="B3511">
        <v>23</v>
      </c>
      <c r="C3511">
        <v>2.7397260273972603E-3</v>
      </c>
    </row>
    <row r="3512" spans="1:3" x14ac:dyDescent="0.25">
      <c r="A3512" t="s">
        <v>240</v>
      </c>
      <c r="B3512">
        <v>18</v>
      </c>
      <c r="C3512">
        <v>2.7397260273972603E-3</v>
      </c>
    </row>
    <row r="3513" spans="1:3" x14ac:dyDescent="0.25">
      <c r="A3513" t="s">
        <v>137</v>
      </c>
      <c r="B3513">
        <v>2</v>
      </c>
      <c r="C3513">
        <v>2.7397260273972603E-3</v>
      </c>
    </row>
    <row r="3514" spans="1:3" x14ac:dyDescent="0.25">
      <c r="A3514" t="s">
        <v>137</v>
      </c>
      <c r="B3514">
        <v>3</v>
      </c>
      <c r="C3514">
        <v>8.21917808219178E-3</v>
      </c>
    </row>
    <row r="3515" spans="1:3" x14ac:dyDescent="0.25">
      <c r="A3515" t="s">
        <v>221</v>
      </c>
      <c r="B3515">
        <v>0</v>
      </c>
      <c r="C3515">
        <v>5.4794520547945206E-3</v>
      </c>
    </row>
    <row r="3516" spans="1:3" x14ac:dyDescent="0.25">
      <c r="A3516" t="s">
        <v>127</v>
      </c>
      <c r="B3516">
        <v>12</v>
      </c>
      <c r="C3516">
        <v>1.643835616438356E-2</v>
      </c>
    </row>
    <row r="3517" spans="1:3" x14ac:dyDescent="0.25">
      <c r="A3517" t="s">
        <v>86</v>
      </c>
      <c r="B3517">
        <v>5</v>
      </c>
      <c r="C3517">
        <v>2.7397260273972603E-3</v>
      </c>
    </row>
    <row r="3518" spans="1:3" x14ac:dyDescent="0.25">
      <c r="A3518" t="s">
        <v>45</v>
      </c>
      <c r="B3518">
        <v>3</v>
      </c>
      <c r="C3518">
        <v>2.7397260273972603E-3</v>
      </c>
    </row>
    <row r="3519" spans="1:3" x14ac:dyDescent="0.25">
      <c r="A3519" t="s">
        <v>212</v>
      </c>
      <c r="B3519">
        <v>23</v>
      </c>
      <c r="C3519">
        <v>5.4794520547945206E-3</v>
      </c>
    </row>
    <row r="3520" spans="1:3" x14ac:dyDescent="0.25">
      <c r="A3520" t="s">
        <v>227</v>
      </c>
      <c r="B3520">
        <v>20</v>
      </c>
      <c r="C3520">
        <v>5.4794520547945206E-3</v>
      </c>
    </row>
    <row r="3521" spans="1:3" x14ac:dyDescent="0.25">
      <c r="A3521" t="s">
        <v>70</v>
      </c>
      <c r="B3521">
        <v>3</v>
      </c>
      <c r="C3521">
        <v>2.7397260273972603E-3</v>
      </c>
    </row>
    <row r="3522" spans="1:3" x14ac:dyDescent="0.25">
      <c r="A3522" t="s">
        <v>185</v>
      </c>
      <c r="B3522">
        <v>4</v>
      </c>
      <c r="C3522">
        <v>2.7397260273972603E-3</v>
      </c>
    </row>
    <row r="3523" spans="1:3" x14ac:dyDescent="0.25">
      <c r="A3523" t="s">
        <v>118</v>
      </c>
      <c r="B3523">
        <v>7</v>
      </c>
      <c r="C3523">
        <v>2.7397260273972603E-3</v>
      </c>
    </row>
    <row r="3524" spans="1:3" x14ac:dyDescent="0.25">
      <c r="A3524" t="s">
        <v>242</v>
      </c>
      <c r="B3524">
        <v>9</v>
      </c>
      <c r="C3524">
        <v>2.7397260273972603E-3</v>
      </c>
    </row>
    <row r="3525" spans="1:3" x14ac:dyDescent="0.25">
      <c r="A3525" t="s">
        <v>98</v>
      </c>
      <c r="B3525">
        <v>20</v>
      </c>
      <c r="C3525">
        <v>2.7397260273972603E-3</v>
      </c>
    </row>
    <row r="3526" spans="1:3" x14ac:dyDescent="0.25">
      <c r="A3526" t="s">
        <v>87</v>
      </c>
      <c r="B3526">
        <v>3</v>
      </c>
      <c r="C3526">
        <v>2.7397260273972603E-3</v>
      </c>
    </row>
    <row r="3527" spans="1:3" x14ac:dyDescent="0.25">
      <c r="A3527" t="s">
        <v>25</v>
      </c>
      <c r="B3527">
        <v>3</v>
      </c>
      <c r="C3527">
        <v>2.7397260273972603E-3</v>
      </c>
    </row>
    <row r="3528" spans="1:3" x14ac:dyDescent="0.25">
      <c r="A3528" t="s">
        <v>189</v>
      </c>
      <c r="B3528">
        <v>6</v>
      </c>
      <c r="C3528">
        <v>2.7397260273972603E-3</v>
      </c>
    </row>
    <row r="3529" spans="1:3" x14ac:dyDescent="0.25">
      <c r="A3529" t="s">
        <v>229</v>
      </c>
      <c r="B3529">
        <v>7</v>
      </c>
      <c r="C3529">
        <v>2.7397260273972603E-3</v>
      </c>
    </row>
    <row r="3530" spans="1:3" x14ac:dyDescent="0.25">
      <c r="A3530" t="s">
        <v>219</v>
      </c>
      <c r="B3530">
        <v>15</v>
      </c>
      <c r="C3530">
        <v>5.4794520547945206E-3</v>
      </c>
    </row>
    <row r="3531" spans="1:3" x14ac:dyDescent="0.25">
      <c r="A3531" t="s">
        <v>216</v>
      </c>
      <c r="B3531">
        <v>11</v>
      </c>
      <c r="C3531">
        <v>8.21917808219178E-3</v>
      </c>
    </row>
    <row r="3532" spans="1:3" x14ac:dyDescent="0.25">
      <c r="A3532" t="s">
        <v>214</v>
      </c>
      <c r="B3532">
        <v>9</v>
      </c>
      <c r="C3532">
        <v>8.21917808219178E-3</v>
      </c>
    </row>
    <row r="3533" spans="1:3" x14ac:dyDescent="0.25">
      <c r="A3533" t="s">
        <v>235</v>
      </c>
      <c r="B3533">
        <v>4</v>
      </c>
      <c r="C3533">
        <v>2.7397260273972603E-3</v>
      </c>
    </row>
    <row r="3534" spans="1:3" x14ac:dyDescent="0.25">
      <c r="A3534" t="s">
        <v>171</v>
      </c>
      <c r="B3534">
        <v>0</v>
      </c>
      <c r="C3534">
        <v>8.21917808219178E-3</v>
      </c>
    </row>
    <row r="3535" spans="1:3" x14ac:dyDescent="0.25">
      <c r="A3535" t="s">
        <v>177</v>
      </c>
      <c r="B3535">
        <v>18</v>
      </c>
      <c r="C3535">
        <v>2.7397260273972603E-3</v>
      </c>
    </row>
    <row r="3536" spans="1:3" x14ac:dyDescent="0.25">
      <c r="A3536" t="s">
        <v>200</v>
      </c>
      <c r="B3536">
        <v>22</v>
      </c>
      <c r="C3536">
        <v>2.7397260273972603E-3</v>
      </c>
    </row>
    <row r="3537" spans="1:3" x14ac:dyDescent="0.25">
      <c r="A3537" t="s">
        <v>229</v>
      </c>
      <c r="B3537">
        <v>0</v>
      </c>
      <c r="C3537">
        <v>2.7397260273972603E-3</v>
      </c>
    </row>
    <row r="3538" spans="1:3" x14ac:dyDescent="0.25">
      <c r="A3538" t="s">
        <v>86</v>
      </c>
      <c r="B3538">
        <v>2</v>
      </c>
      <c r="C3538">
        <v>2.7397260273972603E-3</v>
      </c>
    </row>
    <row r="3539" spans="1:3" x14ac:dyDescent="0.25">
      <c r="A3539" t="s">
        <v>192</v>
      </c>
      <c r="B3539">
        <v>6</v>
      </c>
      <c r="C3539">
        <v>2.7397260273972603E-3</v>
      </c>
    </row>
    <row r="3540" spans="1:3" x14ac:dyDescent="0.25">
      <c r="A3540" t="s">
        <v>204</v>
      </c>
      <c r="B3540">
        <v>0</v>
      </c>
      <c r="C3540">
        <v>2.7397260273972603E-3</v>
      </c>
    </row>
    <row r="3541" spans="1:3" x14ac:dyDescent="0.25">
      <c r="A3541" t="s">
        <v>178</v>
      </c>
      <c r="B3541">
        <v>1</v>
      </c>
      <c r="C3541">
        <v>5.4794520547945206E-3</v>
      </c>
    </row>
    <row r="3542" spans="1:3" x14ac:dyDescent="0.25">
      <c r="A3542" t="s">
        <v>229</v>
      </c>
      <c r="B3542">
        <v>14</v>
      </c>
      <c r="C3542">
        <v>5.4794520547945206E-3</v>
      </c>
    </row>
    <row r="3543" spans="1:3" x14ac:dyDescent="0.25">
      <c r="A3543" t="s">
        <v>185</v>
      </c>
      <c r="B3543">
        <v>6</v>
      </c>
      <c r="C3543">
        <v>1.0958904109589041E-2</v>
      </c>
    </row>
    <row r="3544" spans="1:3" x14ac:dyDescent="0.25">
      <c r="A3544" t="s">
        <v>220</v>
      </c>
      <c r="B3544">
        <v>15</v>
      </c>
      <c r="C3544">
        <v>2.7397260273972603E-3</v>
      </c>
    </row>
    <row r="3545" spans="1:3" x14ac:dyDescent="0.25">
      <c r="A3545" t="s">
        <v>188</v>
      </c>
      <c r="B3545">
        <v>21</v>
      </c>
      <c r="C3545">
        <v>5.4794520547945206E-3</v>
      </c>
    </row>
    <row r="3546" spans="1:3" x14ac:dyDescent="0.25">
      <c r="A3546" t="s">
        <v>186</v>
      </c>
      <c r="B3546">
        <v>3</v>
      </c>
      <c r="C3546">
        <v>2.7397260273972603E-3</v>
      </c>
    </row>
    <row r="3547" spans="1:3" x14ac:dyDescent="0.25">
      <c r="A3547" t="s">
        <v>44</v>
      </c>
      <c r="B3547">
        <v>3</v>
      </c>
      <c r="C3547">
        <v>2.7397260273972603E-3</v>
      </c>
    </row>
    <row r="3548" spans="1:3" x14ac:dyDescent="0.25">
      <c r="A3548" t="s">
        <v>167</v>
      </c>
      <c r="B3548">
        <v>7</v>
      </c>
      <c r="C3548">
        <v>5.4794520547945206E-3</v>
      </c>
    </row>
    <row r="3549" spans="1:3" x14ac:dyDescent="0.25">
      <c r="A3549" t="s">
        <v>233</v>
      </c>
      <c r="B3549">
        <v>15</v>
      </c>
      <c r="C3549">
        <v>2.7397260273972603E-3</v>
      </c>
    </row>
    <row r="3550" spans="1:3" x14ac:dyDescent="0.25">
      <c r="A3550" t="s">
        <v>138</v>
      </c>
      <c r="B3550">
        <v>20</v>
      </c>
      <c r="C3550">
        <v>5.4794520547945206E-3</v>
      </c>
    </row>
    <row r="3551" spans="1:3" x14ac:dyDescent="0.25">
      <c r="A3551" t="s">
        <v>245</v>
      </c>
      <c r="B3551">
        <v>0</v>
      </c>
      <c r="C3551">
        <v>2.7397260273972603E-3</v>
      </c>
    </row>
    <row r="3552" spans="1:3" x14ac:dyDescent="0.25">
      <c r="A3552" t="s">
        <v>179</v>
      </c>
      <c r="B3552">
        <v>2</v>
      </c>
      <c r="C3552">
        <v>2.7397260273972603E-3</v>
      </c>
    </row>
    <row r="3553" spans="1:3" x14ac:dyDescent="0.25">
      <c r="A3553" t="s">
        <v>233</v>
      </c>
      <c r="B3553">
        <v>21</v>
      </c>
      <c r="C3553">
        <v>2.7397260273972603E-3</v>
      </c>
    </row>
    <row r="3554" spans="1:3" x14ac:dyDescent="0.25">
      <c r="A3554" t="s">
        <v>206</v>
      </c>
      <c r="B3554">
        <v>22</v>
      </c>
      <c r="C3554">
        <v>2.7397260273972603E-3</v>
      </c>
    </row>
    <row r="3555" spans="1:3" x14ac:dyDescent="0.25">
      <c r="A3555" t="s">
        <v>224</v>
      </c>
      <c r="B3555">
        <v>21</v>
      </c>
      <c r="C3555">
        <v>2.7397260273972603E-3</v>
      </c>
    </row>
    <row r="3556" spans="1:3" x14ac:dyDescent="0.25">
      <c r="A3556" t="s">
        <v>204</v>
      </c>
      <c r="B3556">
        <v>1</v>
      </c>
      <c r="C3556">
        <v>2.7397260273972603E-3</v>
      </c>
    </row>
    <row r="3557" spans="1:3" x14ac:dyDescent="0.25">
      <c r="A3557" t="s">
        <v>169</v>
      </c>
      <c r="B3557">
        <v>8</v>
      </c>
      <c r="C3557">
        <v>1.3698630136986301E-2</v>
      </c>
    </row>
    <row r="3558" spans="1:3" x14ac:dyDescent="0.25">
      <c r="A3558" t="s">
        <v>42</v>
      </c>
      <c r="B3558">
        <v>3</v>
      </c>
      <c r="C3558">
        <v>2.7397260273972603E-3</v>
      </c>
    </row>
    <row r="3559" spans="1:3" x14ac:dyDescent="0.25">
      <c r="A3559" t="s">
        <v>231</v>
      </c>
      <c r="B3559">
        <v>15</v>
      </c>
      <c r="C3559">
        <v>2.7397260273972603E-3</v>
      </c>
    </row>
    <row r="3560" spans="1:3" x14ac:dyDescent="0.25">
      <c r="A3560" t="s">
        <v>193</v>
      </c>
      <c r="B3560">
        <v>4</v>
      </c>
      <c r="C3560">
        <v>2.7397260273972603E-3</v>
      </c>
    </row>
    <row r="3561" spans="1:3" x14ac:dyDescent="0.25">
      <c r="A3561" t="s">
        <v>159</v>
      </c>
      <c r="B3561">
        <v>5</v>
      </c>
      <c r="C3561">
        <v>2.7397260273972603E-3</v>
      </c>
    </row>
    <row r="3562" spans="1:3" x14ac:dyDescent="0.25">
      <c r="A3562" t="s">
        <v>236</v>
      </c>
      <c r="B3562">
        <v>16</v>
      </c>
      <c r="C3562">
        <v>2.7397260273972603E-3</v>
      </c>
    </row>
    <row r="3563" spans="1:3" x14ac:dyDescent="0.25">
      <c r="A3563" t="s">
        <v>211</v>
      </c>
      <c r="B3563">
        <v>22</v>
      </c>
      <c r="C3563">
        <v>5.4794520547945206E-3</v>
      </c>
    </row>
    <row r="3564" spans="1:3" x14ac:dyDescent="0.25">
      <c r="A3564" t="s">
        <v>124</v>
      </c>
      <c r="B3564">
        <v>21</v>
      </c>
      <c r="C3564">
        <v>2.7397260273972603E-3</v>
      </c>
    </row>
    <row r="3565" spans="1:3" x14ac:dyDescent="0.25">
      <c r="A3565" t="s">
        <v>238</v>
      </c>
      <c r="B3565">
        <v>2</v>
      </c>
      <c r="C3565">
        <v>2.7397260273972603E-3</v>
      </c>
    </row>
    <row r="3566" spans="1:3" x14ac:dyDescent="0.25">
      <c r="A3566" t="s">
        <v>220</v>
      </c>
      <c r="B3566">
        <v>7</v>
      </c>
      <c r="C3566">
        <v>2.7397260273972603E-3</v>
      </c>
    </row>
    <row r="3567" spans="1:3" x14ac:dyDescent="0.25">
      <c r="A3567" t="s">
        <v>218</v>
      </c>
      <c r="B3567">
        <v>20</v>
      </c>
      <c r="C3567">
        <v>2.7397260273972603E-3</v>
      </c>
    </row>
    <row r="3568" spans="1:3" x14ac:dyDescent="0.25">
      <c r="A3568" t="s">
        <v>231</v>
      </c>
      <c r="B3568">
        <v>23</v>
      </c>
      <c r="C3568">
        <v>2.7397260273972603E-3</v>
      </c>
    </row>
    <row r="3569" spans="1:3" x14ac:dyDescent="0.25">
      <c r="A3569" t="s">
        <v>147</v>
      </c>
      <c r="B3569">
        <v>2</v>
      </c>
      <c r="C3569">
        <v>8.21917808219178E-3</v>
      </c>
    </row>
    <row r="3570" spans="1:3" x14ac:dyDescent="0.25">
      <c r="A3570" t="s">
        <v>187</v>
      </c>
      <c r="B3570">
        <v>3</v>
      </c>
      <c r="C3570">
        <v>2.7397260273972603E-3</v>
      </c>
    </row>
    <row r="3571" spans="1:3" x14ac:dyDescent="0.25">
      <c r="A3571" t="s">
        <v>123</v>
      </c>
      <c r="B3571">
        <v>8</v>
      </c>
      <c r="C3571">
        <v>5.4794520547945206E-3</v>
      </c>
    </row>
    <row r="3572" spans="1:3" x14ac:dyDescent="0.25">
      <c r="A3572" t="s">
        <v>232</v>
      </c>
      <c r="B3572">
        <v>3</v>
      </c>
      <c r="C3572">
        <v>2.7397260273972603E-3</v>
      </c>
    </row>
    <row r="3573" spans="1:3" x14ac:dyDescent="0.25">
      <c r="A3573" t="s">
        <v>180</v>
      </c>
      <c r="B3573">
        <v>2</v>
      </c>
      <c r="C3573">
        <v>2.7397260273972603E-3</v>
      </c>
    </row>
    <row r="3574" spans="1:3" x14ac:dyDescent="0.25">
      <c r="A3574" t="s">
        <v>235</v>
      </c>
      <c r="B3574">
        <v>2</v>
      </c>
      <c r="C3574">
        <v>2.7397260273972603E-3</v>
      </c>
    </row>
    <row r="3575" spans="1:3" x14ac:dyDescent="0.25">
      <c r="A3575" t="s">
        <v>213</v>
      </c>
      <c r="B3575">
        <v>22</v>
      </c>
      <c r="C3575">
        <v>5.4794520547945206E-3</v>
      </c>
    </row>
    <row r="3576" spans="1:3" x14ac:dyDescent="0.25">
      <c r="A3576" t="s">
        <v>209</v>
      </c>
      <c r="B3576">
        <v>0</v>
      </c>
      <c r="C3576">
        <v>2.7397260273972603E-3</v>
      </c>
    </row>
    <row r="3577" spans="1:3" x14ac:dyDescent="0.25">
      <c r="A3577" t="s">
        <v>108</v>
      </c>
      <c r="B3577">
        <v>2</v>
      </c>
      <c r="C3577">
        <v>2.7397260273972603E-3</v>
      </c>
    </row>
    <row r="3578" spans="1:3" x14ac:dyDescent="0.25">
      <c r="A3578" t="s">
        <v>205</v>
      </c>
      <c r="B3578">
        <v>22</v>
      </c>
      <c r="C3578">
        <v>2.7397260273972603E-3</v>
      </c>
    </row>
    <row r="3579" spans="1:3" x14ac:dyDescent="0.25">
      <c r="A3579" t="s">
        <v>201</v>
      </c>
      <c r="B3579">
        <v>4</v>
      </c>
      <c r="C3579">
        <v>2.7397260273972603E-3</v>
      </c>
    </row>
    <row r="3580" spans="1:3" x14ac:dyDescent="0.25">
      <c r="A3580" t="s">
        <v>138</v>
      </c>
      <c r="B3580">
        <v>1</v>
      </c>
      <c r="C3580">
        <v>2.7397260273972603E-3</v>
      </c>
    </row>
    <row r="3581" spans="1:3" x14ac:dyDescent="0.25">
      <c r="A3581" t="s">
        <v>223</v>
      </c>
      <c r="B3581">
        <v>4</v>
      </c>
      <c r="C3581">
        <v>2.7397260273972603E-3</v>
      </c>
    </row>
    <row r="3582" spans="1:3" x14ac:dyDescent="0.25">
      <c r="A3582" t="s">
        <v>216</v>
      </c>
      <c r="B3582">
        <v>8</v>
      </c>
      <c r="C3582">
        <v>5.4794520547945206E-3</v>
      </c>
    </row>
    <row r="3583" spans="1:3" x14ac:dyDescent="0.25">
      <c r="A3583" t="s">
        <v>238</v>
      </c>
      <c r="B3583">
        <v>8</v>
      </c>
      <c r="C3583">
        <v>5.4794520547945206E-3</v>
      </c>
    </row>
    <row r="3584" spans="1:3" x14ac:dyDescent="0.25">
      <c r="A3584" t="s">
        <v>246</v>
      </c>
      <c r="B3584">
        <v>18</v>
      </c>
      <c r="C3584">
        <v>2.7397260273972603E-3</v>
      </c>
    </row>
    <row r="3585" spans="1:3" x14ac:dyDescent="0.25">
      <c r="A3585" t="s">
        <v>165</v>
      </c>
      <c r="B3585">
        <v>6</v>
      </c>
      <c r="C3585">
        <v>2.7397260273972603E-3</v>
      </c>
    </row>
    <row r="3586" spans="1:3" x14ac:dyDescent="0.25">
      <c r="A3586" t="s">
        <v>202</v>
      </c>
      <c r="B3586">
        <v>2</v>
      </c>
      <c r="C3586">
        <v>2.7397260273972603E-3</v>
      </c>
    </row>
    <row r="3587" spans="1:3" x14ac:dyDescent="0.25">
      <c r="A3587" t="s">
        <v>232</v>
      </c>
      <c r="B3587">
        <v>21</v>
      </c>
      <c r="C3587">
        <v>2.7397260273972603E-3</v>
      </c>
    </row>
    <row r="3588" spans="1:3" x14ac:dyDescent="0.25">
      <c r="A3588" t="s">
        <v>207</v>
      </c>
      <c r="B3588">
        <v>0</v>
      </c>
      <c r="C3588">
        <v>2.7397260273972603E-3</v>
      </c>
    </row>
    <row r="3589" spans="1:3" x14ac:dyDescent="0.25">
      <c r="A3589" t="s">
        <v>227</v>
      </c>
      <c r="B3589">
        <v>4</v>
      </c>
      <c r="C3589">
        <v>2.7397260273972603E-3</v>
      </c>
    </row>
    <row r="3590" spans="1:3" x14ac:dyDescent="0.25">
      <c r="A3590" t="s">
        <v>165</v>
      </c>
      <c r="B3590">
        <v>1</v>
      </c>
      <c r="C3590">
        <v>2.7397260273972603E-3</v>
      </c>
    </row>
    <row r="3591" spans="1:3" x14ac:dyDescent="0.25">
      <c r="A3591" t="s">
        <v>238</v>
      </c>
      <c r="B3591">
        <v>11</v>
      </c>
      <c r="C3591">
        <v>2.7397260273972603E-3</v>
      </c>
    </row>
    <row r="3592" spans="1:3" x14ac:dyDescent="0.25">
      <c r="A3592" t="s">
        <v>203</v>
      </c>
      <c r="B3592">
        <v>13</v>
      </c>
      <c r="C3592">
        <v>5.4794520547945206E-3</v>
      </c>
    </row>
    <row r="3593" spans="1:3" x14ac:dyDescent="0.25">
      <c r="A3593" t="s">
        <v>201</v>
      </c>
      <c r="B3593">
        <v>1</v>
      </c>
      <c r="C3593">
        <v>2.7397260273972603E-3</v>
      </c>
    </row>
    <row r="3594" spans="1:3" x14ac:dyDescent="0.25">
      <c r="A3594" t="s">
        <v>183</v>
      </c>
      <c r="B3594">
        <v>23</v>
      </c>
      <c r="C3594">
        <v>2.7397260273972603E-3</v>
      </c>
    </row>
    <row r="3595" spans="1:3" x14ac:dyDescent="0.25">
      <c r="A3595" t="s">
        <v>239</v>
      </c>
      <c r="B3595">
        <v>5</v>
      </c>
      <c r="C3595">
        <v>2.7397260273972603E-3</v>
      </c>
    </row>
    <row r="3596" spans="1:3" x14ac:dyDescent="0.25">
      <c r="A3596" t="s">
        <v>215</v>
      </c>
      <c r="B3596">
        <v>15</v>
      </c>
      <c r="C3596">
        <v>2.7397260273972603E-3</v>
      </c>
    </row>
    <row r="3597" spans="1:3" x14ac:dyDescent="0.25">
      <c r="A3597" t="s">
        <v>193</v>
      </c>
      <c r="B3597">
        <v>14</v>
      </c>
      <c r="C3597">
        <v>5.4794520547945206E-3</v>
      </c>
    </row>
    <row r="3598" spans="1:3" x14ac:dyDescent="0.25">
      <c r="A3598" t="s">
        <v>237</v>
      </c>
      <c r="B3598">
        <v>18</v>
      </c>
      <c r="C3598">
        <v>2.7397260273972603E-3</v>
      </c>
    </row>
    <row r="3599" spans="1:3" x14ac:dyDescent="0.25">
      <c r="A3599" t="s">
        <v>161</v>
      </c>
      <c r="B3599">
        <v>4</v>
      </c>
      <c r="C3599">
        <v>2.7397260273972603E-3</v>
      </c>
    </row>
    <row r="3600" spans="1:3" x14ac:dyDescent="0.25">
      <c r="A3600" t="s">
        <v>243</v>
      </c>
      <c r="B3600">
        <v>8</v>
      </c>
      <c r="C3600">
        <v>2.7397260273972603E-3</v>
      </c>
    </row>
    <row r="3601" spans="1:3" x14ac:dyDescent="0.25">
      <c r="A3601" t="s">
        <v>188</v>
      </c>
      <c r="B3601">
        <v>9</v>
      </c>
      <c r="C3601">
        <v>5.4794520547945206E-3</v>
      </c>
    </row>
    <row r="3602" spans="1:3" x14ac:dyDescent="0.25">
      <c r="A3602" t="s">
        <v>178</v>
      </c>
      <c r="B3602">
        <v>12</v>
      </c>
      <c r="C3602">
        <v>8.21917808219178E-3</v>
      </c>
    </row>
    <row r="3603" spans="1:3" x14ac:dyDescent="0.25">
      <c r="A3603" t="s">
        <v>210</v>
      </c>
      <c r="B3603">
        <v>14</v>
      </c>
      <c r="C3603">
        <v>5.4794520547945206E-3</v>
      </c>
    </row>
    <row r="3604" spans="1:3" x14ac:dyDescent="0.25">
      <c r="A3604" t="s">
        <v>202</v>
      </c>
      <c r="B3604">
        <v>3</v>
      </c>
      <c r="C3604">
        <v>2.7397260273972603E-3</v>
      </c>
    </row>
    <row r="3605" spans="1:3" x14ac:dyDescent="0.25">
      <c r="A3605" t="s">
        <v>242</v>
      </c>
      <c r="B3605">
        <v>11</v>
      </c>
      <c r="C3605">
        <v>2.7397260273972603E-3</v>
      </c>
    </row>
    <row r="3606" spans="1:3" x14ac:dyDescent="0.25">
      <c r="A3606" t="s">
        <v>197</v>
      </c>
      <c r="B3606">
        <v>8</v>
      </c>
      <c r="C3606">
        <v>2.7397260273972603E-3</v>
      </c>
    </row>
    <row r="3607" spans="1:3" x14ac:dyDescent="0.25">
      <c r="A3607" t="s">
        <v>198</v>
      </c>
      <c r="B3607">
        <v>13</v>
      </c>
      <c r="C3607">
        <v>2.7397260273972603E-3</v>
      </c>
    </row>
    <row r="3608" spans="1:3" x14ac:dyDescent="0.25">
      <c r="A3608" t="s">
        <v>226</v>
      </c>
      <c r="B3608">
        <v>13</v>
      </c>
      <c r="C3608">
        <v>5.4794520547945206E-3</v>
      </c>
    </row>
    <row r="3609" spans="1:3" x14ac:dyDescent="0.25">
      <c r="A3609" t="s">
        <v>223</v>
      </c>
      <c r="B3609">
        <v>20</v>
      </c>
      <c r="C3609">
        <v>2.7397260273972603E-3</v>
      </c>
    </row>
    <row r="3610" spans="1:3" x14ac:dyDescent="0.25">
      <c r="A3610" t="s">
        <v>136</v>
      </c>
      <c r="B3610">
        <v>5</v>
      </c>
      <c r="C3610">
        <v>2.7397260273972603E-3</v>
      </c>
    </row>
    <row r="3611" spans="1:3" x14ac:dyDescent="0.25">
      <c r="A3611" t="s">
        <v>224</v>
      </c>
      <c r="B3611">
        <v>15</v>
      </c>
      <c r="C3611">
        <v>5.4794520547945206E-3</v>
      </c>
    </row>
    <row r="3612" spans="1:3" x14ac:dyDescent="0.25">
      <c r="A3612" t="s">
        <v>104</v>
      </c>
      <c r="B3612">
        <v>1</v>
      </c>
      <c r="C3612">
        <v>1.0958904109589041E-2</v>
      </c>
    </row>
    <row r="3613" spans="1:3" x14ac:dyDescent="0.25">
      <c r="A3613" t="s">
        <v>226</v>
      </c>
      <c r="B3613">
        <v>6</v>
      </c>
      <c r="C3613">
        <v>2.7397260273972603E-3</v>
      </c>
    </row>
    <row r="3614" spans="1:3" x14ac:dyDescent="0.25">
      <c r="A3614" t="s">
        <v>210</v>
      </c>
      <c r="B3614">
        <v>21</v>
      </c>
      <c r="C3614">
        <v>2.7397260273972603E-3</v>
      </c>
    </row>
    <row r="3615" spans="1:3" x14ac:dyDescent="0.25">
      <c r="A3615" t="s">
        <v>186</v>
      </c>
      <c r="B3615">
        <v>12</v>
      </c>
      <c r="C3615">
        <v>5.4794520547945206E-3</v>
      </c>
    </row>
    <row r="3616" spans="1:3" x14ac:dyDescent="0.25">
      <c r="A3616" t="s">
        <v>235</v>
      </c>
      <c r="B3616">
        <v>16</v>
      </c>
      <c r="C3616">
        <v>5.4794520547945206E-3</v>
      </c>
    </row>
    <row r="3617" spans="1:3" x14ac:dyDescent="0.25">
      <c r="A3617" t="s">
        <v>43</v>
      </c>
      <c r="B3617">
        <v>2</v>
      </c>
      <c r="C3617">
        <v>2.7397260273972603E-3</v>
      </c>
    </row>
    <row r="3618" spans="1:3" x14ac:dyDescent="0.25">
      <c r="A3618" t="s">
        <v>190</v>
      </c>
      <c r="B3618">
        <v>5</v>
      </c>
      <c r="C3618">
        <v>2.7397260273972603E-3</v>
      </c>
    </row>
    <row r="3619" spans="1:3" x14ac:dyDescent="0.25">
      <c r="A3619" t="s">
        <v>105</v>
      </c>
      <c r="B3619">
        <v>2</v>
      </c>
      <c r="C3619">
        <v>5.4794520547945206E-3</v>
      </c>
    </row>
    <row r="3620" spans="1:3" x14ac:dyDescent="0.25">
      <c r="A3620" t="s">
        <v>106</v>
      </c>
      <c r="B3620">
        <v>2</v>
      </c>
      <c r="C3620">
        <v>8.21917808219178E-3</v>
      </c>
    </row>
    <row r="3621" spans="1:3" x14ac:dyDescent="0.25">
      <c r="A3621" t="s">
        <v>236</v>
      </c>
      <c r="B3621">
        <v>17</v>
      </c>
      <c r="C3621">
        <v>2.7397260273972603E-3</v>
      </c>
    </row>
    <row r="3622" spans="1:3" x14ac:dyDescent="0.25">
      <c r="A3622" t="s">
        <v>102</v>
      </c>
      <c r="B3622">
        <v>1</v>
      </c>
      <c r="C3622">
        <v>2.1917808219178082E-2</v>
      </c>
    </row>
    <row r="3623" spans="1:3" x14ac:dyDescent="0.25">
      <c r="A3623" t="s">
        <v>44</v>
      </c>
      <c r="B3623">
        <v>19</v>
      </c>
      <c r="C3623">
        <v>2.7397260273972603E-3</v>
      </c>
    </row>
    <row r="3624" spans="1:3" x14ac:dyDescent="0.25">
      <c r="A3624" t="s">
        <v>227</v>
      </c>
      <c r="B3624">
        <v>21</v>
      </c>
      <c r="C3624">
        <v>5.4794520547945206E-3</v>
      </c>
    </row>
    <row r="3625" spans="1:3" x14ac:dyDescent="0.25">
      <c r="A3625" t="s">
        <v>170</v>
      </c>
      <c r="B3625">
        <v>3</v>
      </c>
      <c r="C3625">
        <v>1.3698630136986301E-2</v>
      </c>
    </row>
    <row r="3626" spans="1:3" x14ac:dyDescent="0.25">
      <c r="A3626" t="s">
        <v>45</v>
      </c>
      <c r="B3626">
        <v>5</v>
      </c>
      <c r="C3626">
        <v>2.7397260273972603E-3</v>
      </c>
    </row>
    <row r="3627" spans="1:3" x14ac:dyDescent="0.25">
      <c r="A3627" t="s">
        <v>86</v>
      </c>
      <c r="B3627">
        <v>6</v>
      </c>
      <c r="C3627">
        <v>2.7397260273972603E-3</v>
      </c>
    </row>
    <row r="3628" spans="1:3" x14ac:dyDescent="0.25">
      <c r="A3628" t="s">
        <v>235</v>
      </c>
      <c r="B3628">
        <v>3</v>
      </c>
      <c r="C3628">
        <v>2.7397260273972603E-3</v>
      </c>
    </row>
    <row r="3629" spans="1:3" x14ac:dyDescent="0.25">
      <c r="A3629" t="s">
        <v>185</v>
      </c>
      <c r="B3629">
        <v>23</v>
      </c>
      <c r="C3629">
        <v>2.7397260273972603E-3</v>
      </c>
    </row>
    <row r="3630" spans="1:3" x14ac:dyDescent="0.25">
      <c r="A3630" t="s">
        <v>108</v>
      </c>
      <c r="B3630">
        <v>23</v>
      </c>
      <c r="C3630">
        <v>2.7397260273972603E-3</v>
      </c>
    </row>
    <row r="3631" spans="1:3" x14ac:dyDescent="0.25">
      <c r="A3631" t="s">
        <v>158</v>
      </c>
      <c r="B3631">
        <v>23</v>
      </c>
      <c r="C3631">
        <v>2.7397260273972603E-3</v>
      </c>
    </row>
    <row r="3632" spans="1:3" x14ac:dyDescent="0.25">
      <c r="A3632" t="s">
        <v>131</v>
      </c>
      <c r="B3632">
        <v>2</v>
      </c>
      <c r="C3632">
        <v>8.21917808219178E-3</v>
      </c>
    </row>
    <row r="3633" spans="1:3" x14ac:dyDescent="0.25">
      <c r="A3633" t="s">
        <v>137</v>
      </c>
      <c r="B3633">
        <v>5</v>
      </c>
      <c r="C3633">
        <v>2.7397260273972603E-3</v>
      </c>
    </row>
    <row r="3634" spans="1:3" x14ac:dyDescent="0.25">
      <c r="A3634" t="s">
        <v>108</v>
      </c>
      <c r="B3634">
        <v>8</v>
      </c>
      <c r="C3634">
        <v>5.4794520547945206E-3</v>
      </c>
    </row>
    <row r="3635" spans="1:3" x14ac:dyDescent="0.25">
      <c r="A3635" t="s">
        <v>198</v>
      </c>
      <c r="B3635">
        <v>0</v>
      </c>
      <c r="C3635">
        <v>2.7397260273972603E-3</v>
      </c>
    </row>
    <row r="3636" spans="1:3" x14ac:dyDescent="0.25">
      <c r="A3636" t="s">
        <v>131</v>
      </c>
      <c r="B3636">
        <v>5</v>
      </c>
      <c r="C3636">
        <v>5.4794520547945206E-3</v>
      </c>
    </row>
    <row r="3637" spans="1:3" x14ac:dyDescent="0.25">
      <c r="A3637" t="s">
        <v>127</v>
      </c>
      <c r="B3637">
        <v>5</v>
      </c>
      <c r="C3637">
        <v>5.4794520547945206E-3</v>
      </c>
    </row>
    <row r="3638" spans="1:3" x14ac:dyDescent="0.25">
      <c r="A3638" t="s">
        <v>157</v>
      </c>
      <c r="B3638">
        <v>12</v>
      </c>
      <c r="C3638">
        <v>5.4794520547945206E-3</v>
      </c>
    </row>
    <row r="3639" spans="1:3" x14ac:dyDescent="0.25">
      <c r="A3639" t="s">
        <v>215</v>
      </c>
      <c r="B3639">
        <v>20</v>
      </c>
      <c r="C3639">
        <v>2.7397260273972603E-3</v>
      </c>
    </row>
    <row r="3640" spans="1:3" x14ac:dyDescent="0.25">
      <c r="A3640" t="s">
        <v>45</v>
      </c>
      <c r="B3640">
        <v>2</v>
      </c>
      <c r="C3640">
        <v>5.4794520547945206E-3</v>
      </c>
    </row>
    <row r="3641" spans="1:3" x14ac:dyDescent="0.25">
      <c r="A3641" t="s">
        <v>189</v>
      </c>
      <c r="B3641">
        <v>4</v>
      </c>
      <c r="C3641">
        <v>2.7397260273972603E-3</v>
      </c>
    </row>
    <row r="3642" spans="1:3" x14ac:dyDescent="0.25">
      <c r="A3642" t="s">
        <v>227</v>
      </c>
      <c r="B3642">
        <v>12</v>
      </c>
      <c r="C3642">
        <v>2.7397260273972603E-3</v>
      </c>
    </row>
    <row r="3643" spans="1:3" x14ac:dyDescent="0.25">
      <c r="A3643" t="s">
        <v>205</v>
      </c>
      <c r="B3643">
        <v>20</v>
      </c>
      <c r="C3643">
        <v>2.7397260273972603E-3</v>
      </c>
    </row>
    <row r="3644" spans="1:3" x14ac:dyDescent="0.25">
      <c r="A3644" t="s">
        <v>225</v>
      </c>
      <c r="B3644">
        <v>14</v>
      </c>
      <c r="C3644">
        <v>5.4794520547945206E-3</v>
      </c>
    </row>
    <row r="3645" spans="1:3" x14ac:dyDescent="0.25">
      <c r="A3645" t="s">
        <v>118</v>
      </c>
      <c r="B3645">
        <v>18</v>
      </c>
      <c r="C3645">
        <v>2.7397260273972603E-3</v>
      </c>
    </row>
    <row r="3646" spans="1:3" x14ac:dyDescent="0.25">
      <c r="A3646" t="s">
        <v>85</v>
      </c>
      <c r="B3646">
        <v>5</v>
      </c>
      <c r="C3646">
        <v>2.7397260273972603E-3</v>
      </c>
    </row>
    <row r="3647" spans="1:3" x14ac:dyDescent="0.25">
      <c r="A3647" t="s">
        <v>135</v>
      </c>
      <c r="B3647">
        <v>4</v>
      </c>
      <c r="C3647">
        <v>2.7397260273972603E-3</v>
      </c>
    </row>
    <row r="3648" spans="1:3" x14ac:dyDescent="0.25">
      <c r="A3648" t="s">
        <v>124</v>
      </c>
      <c r="B3648">
        <v>6</v>
      </c>
      <c r="C3648">
        <v>2.7397260273972603E-3</v>
      </c>
    </row>
    <row r="3649" spans="1:3" x14ac:dyDescent="0.25">
      <c r="A3649" t="s">
        <v>145</v>
      </c>
      <c r="B3649">
        <v>23</v>
      </c>
      <c r="C3649">
        <v>2.7397260273972603E-3</v>
      </c>
    </row>
    <row r="3650" spans="1:3" x14ac:dyDescent="0.25">
      <c r="A3650" t="s">
        <v>131</v>
      </c>
      <c r="B3650">
        <v>4</v>
      </c>
      <c r="C3650">
        <v>5.4794520547945206E-3</v>
      </c>
    </row>
    <row r="3651" spans="1:3" x14ac:dyDescent="0.25">
      <c r="A3651" t="s">
        <v>230</v>
      </c>
      <c r="B3651">
        <v>21</v>
      </c>
      <c r="C3651">
        <v>2.7397260273972603E-3</v>
      </c>
    </row>
    <row r="3652" spans="1:3" x14ac:dyDescent="0.25">
      <c r="A3652" t="s">
        <v>221</v>
      </c>
      <c r="B3652">
        <v>6</v>
      </c>
      <c r="C3652">
        <v>2.7397260273972603E-3</v>
      </c>
    </row>
    <row r="3653" spans="1:3" x14ac:dyDescent="0.25">
      <c r="A3653" t="s">
        <v>183</v>
      </c>
      <c r="B3653">
        <v>0</v>
      </c>
      <c r="C3653">
        <v>2.7397260273972603E-3</v>
      </c>
    </row>
    <row r="3654" spans="1:3" x14ac:dyDescent="0.25">
      <c r="A3654" t="s">
        <v>158</v>
      </c>
      <c r="B3654">
        <v>4</v>
      </c>
      <c r="C3654">
        <v>2.7397260273972603E-3</v>
      </c>
    </row>
    <row r="3655" spans="1:3" x14ac:dyDescent="0.25">
      <c r="A3655" t="s">
        <v>218</v>
      </c>
      <c r="B3655">
        <v>4</v>
      </c>
      <c r="C3655">
        <v>2.7397260273972603E-3</v>
      </c>
    </row>
    <row r="3656" spans="1:3" x14ac:dyDescent="0.25">
      <c r="A3656" t="s">
        <v>78</v>
      </c>
      <c r="B3656">
        <v>22</v>
      </c>
      <c r="C3656">
        <v>2.7397260273972603E-3</v>
      </c>
    </row>
    <row r="3657" spans="1:3" x14ac:dyDescent="0.25">
      <c r="A3657" t="s">
        <v>235</v>
      </c>
      <c r="B3657">
        <v>20</v>
      </c>
      <c r="C3657">
        <v>2.7397260273972603E-3</v>
      </c>
    </row>
    <row r="3658" spans="1:3" x14ac:dyDescent="0.25">
      <c r="A3658" t="s">
        <v>173</v>
      </c>
      <c r="B3658">
        <v>3</v>
      </c>
      <c r="C3658">
        <v>2.7397260273972603E-3</v>
      </c>
    </row>
    <row r="3659" spans="1:3" x14ac:dyDescent="0.25">
      <c r="A3659" t="s">
        <v>180</v>
      </c>
      <c r="B3659">
        <v>3</v>
      </c>
      <c r="C3659">
        <v>2.7397260273972603E-3</v>
      </c>
    </row>
    <row r="3660" spans="1:3" x14ac:dyDescent="0.25">
      <c r="A3660" t="s">
        <v>44</v>
      </c>
      <c r="B3660">
        <v>20</v>
      </c>
      <c r="C3660">
        <v>2.7397260273972603E-3</v>
      </c>
    </row>
    <row r="3661" spans="1:3" x14ac:dyDescent="0.25">
      <c r="A3661" t="s">
        <v>238</v>
      </c>
      <c r="B3661">
        <v>0</v>
      </c>
      <c r="C3661">
        <v>2.7397260273972603E-3</v>
      </c>
    </row>
    <row r="3662" spans="1:3" x14ac:dyDescent="0.25">
      <c r="A3662" t="s">
        <v>128</v>
      </c>
      <c r="B3662">
        <v>2</v>
      </c>
      <c r="C3662">
        <v>2.7397260273972603E-3</v>
      </c>
    </row>
    <row r="3663" spans="1:3" x14ac:dyDescent="0.25">
      <c r="A3663" t="s">
        <v>228</v>
      </c>
      <c r="B3663">
        <v>8</v>
      </c>
      <c r="C3663">
        <v>2.7397260273972603E-3</v>
      </c>
    </row>
    <row r="3664" spans="1:3" x14ac:dyDescent="0.25">
      <c r="A3664" t="s">
        <v>177</v>
      </c>
      <c r="B3664">
        <v>14</v>
      </c>
      <c r="C3664">
        <v>2.7397260273972603E-3</v>
      </c>
    </row>
    <row r="3665" spans="1:3" x14ac:dyDescent="0.25">
      <c r="A3665" t="s">
        <v>242</v>
      </c>
      <c r="B3665">
        <v>19</v>
      </c>
      <c r="C3665">
        <v>2.7397260273972603E-3</v>
      </c>
    </row>
    <row r="3666" spans="1:3" x14ac:dyDescent="0.25">
      <c r="A3666" t="s">
        <v>237</v>
      </c>
      <c r="B3666">
        <v>0</v>
      </c>
      <c r="C3666">
        <v>2.7397260273972603E-3</v>
      </c>
    </row>
    <row r="3667" spans="1:3" x14ac:dyDescent="0.25">
      <c r="A3667" t="s">
        <v>154</v>
      </c>
      <c r="B3667">
        <v>5</v>
      </c>
      <c r="C3667">
        <v>2.7397260273972603E-3</v>
      </c>
    </row>
    <row r="3668" spans="1:3" x14ac:dyDescent="0.25">
      <c r="A3668" t="s">
        <v>153</v>
      </c>
      <c r="B3668">
        <v>2</v>
      </c>
      <c r="C3668">
        <v>2.7397260273972603E-3</v>
      </c>
    </row>
    <row r="3669" spans="1:3" x14ac:dyDescent="0.25">
      <c r="A3669" t="s">
        <v>201</v>
      </c>
      <c r="B3669">
        <v>3</v>
      </c>
      <c r="C3669">
        <v>2.7397260273972603E-3</v>
      </c>
    </row>
    <row r="3670" spans="1:3" x14ac:dyDescent="0.25">
      <c r="A3670" t="s">
        <v>226</v>
      </c>
      <c r="B3670">
        <v>20</v>
      </c>
      <c r="C3670">
        <v>2.7397260273972603E-3</v>
      </c>
    </row>
    <row r="3671" spans="1:3" x14ac:dyDescent="0.25">
      <c r="A3671" t="s">
        <v>121</v>
      </c>
      <c r="B3671">
        <v>4</v>
      </c>
      <c r="C3671">
        <v>2.7397260273972603E-3</v>
      </c>
    </row>
    <row r="3672" spans="1:3" x14ac:dyDescent="0.25">
      <c r="A3672" t="s">
        <v>199</v>
      </c>
      <c r="B3672">
        <v>1</v>
      </c>
      <c r="C3672">
        <v>2.7397260273972603E-3</v>
      </c>
    </row>
    <row r="3673" spans="1:3" x14ac:dyDescent="0.25">
      <c r="A3673" t="s">
        <v>122</v>
      </c>
      <c r="B3673">
        <v>3</v>
      </c>
      <c r="C3673">
        <v>2.7397260273972603E-3</v>
      </c>
    </row>
    <row r="3674" spans="1:3" x14ac:dyDescent="0.25">
      <c r="A3674" t="s">
        <v>191</v>
      </c>
      <c r="B3674">
        <v>5</v>
      </c>
      <c r="C3674">
        <v>2.7397260273972603E-3</v>
      </c>
    </row>
    <row r="3675" spans="1:3" x14ac:dyDescent="0.25">
      <c r="A3675" t="s">
        <v>210</v>
      </c>
      <c r="B3675">
        <v>4</v>
      </c>
      <c r="C3675">
        <v>2.7397260273972603E-3</v>
      </c>
    </row>
    <row r="3676" spans="1:3" x14ac:dyDescent="0.25">
      <c r="A3676" t="s">
        <v>242</v>
      </c>
      <c r="B3676">
        <v>13</v>
      </c>
      <c r="C3676">
        <v>2.7397260273972603E-3</v>
      </c>
    </row>
    <row r="3677" spans="1:3" x14ac:dyDescent="0.25">
      <c r="A3677" t="s">
        <v>113</v>
      </c>
      <c r="B3677">
        <v>5</v>
      </c>
      <c r="C3677">
        <v>2.7397260273972603E-3</v>
      </c>
    </row>
    <row r="3678" spans="1:3" x14ac:dyDescent="0.25">
      <c r="A3678" t="s">
        <v>219</v>
      </c>
      <c r="B3678">
        <v>10</v>
      </c>
      <c r="C3678">
        <v>2.7397260273972603E-3</v>
      </c>
    </row>
    <row r="3679" spans="1:3" x14ac:dyDescent="0.25">
      <c r="A3679" t="s">
        <v>169</v>
      </c>
      <c r="B3679">
        <v>22</v>
      </c>
      <c r="C3679">
        <v>2.7397260273972603E-3</v>
      </c>
    </row>
    <row r="3680" spans="1:3" x14ac:dyDescent="0.25">
      <c r="A3680" t="s">
        <v>25</v>
      </c>
      <c r="B3680">
        <v>6</v>
      </c>
      <c r="C3680">
        <v>2.7397260273972603E-3</v>
      </c>
    </row>
    <row r="3681" spans="1:3" x14ac:dyDescent="0.25">
      <c r="A3681" t="s">
        <v>204</v>
      </c>
      <c r="B3681">
        <v>5</v>
      </c>
      <c r="C3681">
        <v>2.7397260273972603E-3</v>
      </c>
    </row>
    <row r="3682" spans="1:3" x14ac:dyDescent="0.25">
      <c r="A3682" t="s">
        <v>194</v>
      </c>
      <c r="B3682">
        <v>2</v>
      </c>
      <c r="C3682">
        <v>2.7397260273972603E-3</v>
      </c>
    </row>
    <row r="3683" spans="1:3" x14ac:dyDescent="0.25">
      <c r="A3683" t="s">
        <v>104</v>
      </c>
      <c r="B3683">
        <v>2</v>
      </c>
      <c r="C3683">
        <v>5.4794520547945206E-3</v>
      </c>
    </row>
    <row r="3684" spans="1:3" x14ac:dyDescent="0.25">
      <c r="A3684" t="s">
        <v>204</v>
      </c>
      <c r="B3684">
        <v>6</v>
      </c>
      <c r="C3684">
        <v>2.7397260273972603E-3</v>
      </c>
    </row>
    <row r="3685" spans="1:3" x14ac:dyDescent="0.25">
      <c r="A3685" t="s">
        <v>161</v>
      </c>
      <c r="B3685">
        <v>13</v>
      </c>
      <c r="C3685">
        <v>2.7397260273972603E-3</v>
      </c>
    </row>
    <row r="3686" spans="1:3" x14ac:dyDescent="0.25">
      <c r="A3686" t="s">
        <v>199</v>
      </c>
      <c r="B3686">
        <v>23</v>
      </c>
      <c r="C3686">
        <v>2.7397260273972603E-3</v>
      </c>
    </row>
    <row r="3687" spans="1:3" x14ac:dyDescent="0.25">
      <c r="A3687" t="s">
        <v>224</v>
      </c>
      <c r="B3687">
        <v>5</v>
      </c>
      <c r="C3687">
        <v>2.7397260273972603E-3</v>
      </c>
    </row>
    <row r="3688" spans="1:3" x14ac:dyDescent="0.25">
      <c r="A3688" t="s">
        <v>98</v>
      </c>
      <c r="B3688">
        <v>5</v>
      </c>
      <c r="C3688">
        <v>2.7397260273972603E-3</v>
      </c>
    </row>
    <row r="3689" spans="1:3" x14ac:dyDescent="0.25">
      <c r="A3689" t="s">
        <v>197</v>
      </c>
      <c r="B3689">
        <v>12</v>
      </c>
      <c r="C3689">
        <v>2.7397260273972603E-3</v>
      </c>
    </row>
    <row r="3690" spans="1:3" x14ac:dyDescent="0.25">
      <c r="A3690" t="s">
        <v>221</v>
      </c>
      <c r="B3690">
        <v>1</v>
      </c>
      <c r="C3690">
        <v>2.7397260273972603E-3</v>
      </c>
    </row>
    <row r="3691" spans="1:3" x14ac:dyDescent="0.25">
      <c r="A3691" t="s">
        <v>188</v>
      </c>
      <c r="B3691">
        <v>1</v>
      </c>
      <c r="C3691">
        <v>2.7397260273972603E-3</v>
      </c>
    </row>
    <row r="3692" spans="1:3" x14ac:dyDescent="0.25">
      <c r="A3692" t="s">
        <v>169</v>
      </c>
      <c r="B3692">
        <v>7</v>
      </c>
      <c r="C3692">
        <v>2.7397260273972603E-3</v>
      </c>
    </row>
    <row r="3693" spans="1:3" x14ac:dyDescent="0.25">
      <c r="A3693" t="s">
        <v>231</v>
      </c>
      <c r="B3693">
        <v>12</v>
      </c>
      <c r="C3693">
        <v>2.7397260273972603E-3</v>
      </c>
    </row>
    <row r="3694" spans="1:3" x14ac:dyDescent="0.25">
      <c r="A3694" t="s">
        <v>165</v>
      </c>
      <c r="B3694">
        <v>5</v>
      </c>
      <c r="C3694">
        <v>2.7397260273972603E-3</v>
      </c>
    </row>
    <row r="3695" spans="1:3" x14ac:dyDescent="0.25">
      <c r="A3695" t="s">
        <v>98</v>
      </c>
      <c r="B3695">
        <v>10</v>
      </c>
      <c r="C3695">
        <v>2.7397260273972603E-3</v>
      </c>
    </row>
    <row r="3696" spans="1:3" x14ac:dyDescent="0.25">
      <c r="A3696" t="s">
        <v>183</v>
      </c>
      <c r="B3696">
        <v>12</v>
      </c>
      <c r="C3696">
        <v>2.7397260273972603E-3</v>
      </c>
    </row>
    <row r="3697" spans="1:3" x14ac:dyDescent="0.25">
      <c r="A3697" t="s">
        <v>178</v>
      </c>
      <c r="B3697">
        <v>23</v>
      </c>
      <c r="C3697">
        <v>2.7397260273972603E-3</v>
      </c>
    </row>
    <row r="3698" spans="1:3" x14ac:dyDescent="0.25">
      <c r="A3698" t="s">
        <v>234</v>
      </c>
      <c r="B3698">
        <v>15</v>
      </c>
      <c r="C3698">
        <v>2.7397260273972603E-3</v>
      </c>
    </row>
    <row r="3699" spans="1:3" x14ac:dyDescent="0.25">
      <c r="A3699" t="s">
        <v>241</v>
      </c>
      <c r="B3699">
        <v>13</v>
      </c>
      <c r="C3699">
        <v>2.7397260273972603E-3</v>
      </c>
    </row>
    <row r="3700" spans="1:3" x14ac:dyDescent="0.25">
      <c r="A3700" t="s">
        <v>222</v>
      </c>
      <c r="B3700">
        <v>16</v>
      </c>
      <c r="C3700">
        <v>5.4794520547945206E-3</v>
      </c>
    </row>
    <row r="3701" spans="1:3" x14ac:dyDescent="0.25">
      <c r="A3701" t="s">
        <v>186</v>
      </c>
      <c r="B3701">
        <v>23</v>
      </c>
      <c r="C3701">
        <v>2.7397260273972603E-3</v>
      </c>
    </row>
    <row r="3702" spans="1:3" x14ac:dyDescent="0.25">
      <c r="A3702" t="s">
        <v>186</v>
      </c>
      <c r="B3702">
        <v>1</v>
      </c>
      <c r="C3702">
        <v>2.7397260273972603E-3</v>
      </c>
    </row>
    <row r="3703" spans="1:3" x14ac:dyDescent="0.25">
      <c r="A3703" t="s">
        <v>229</v>
      </c>
      <c r="B3703">
        <v>10</v>
      </c>
      <c r="C3703">
        <v>2.7397260273972603E-3</v>
      </c>
    </row>
    <row r="3704" spans="1:3" x14ac:dyDescent="0.25">
      <c r="A3704" t="s">
        <v>142</v>
      </c>
      <c r="B3704">
        <v>6</v>
      </c>
      <c r="C3704">
        <v>2.7397260273972603E-3</v>
      </c>
    </row>
    <row r="3705" spans="1:3" x14ac:dyDescent="0.25">
      <c r="A3705" t="s">
        <v>178</v>
      </c>
      <c r="B3705">
        <v>3</v>
      </c>
      <c r="C3705">
        <v>5.4794520547945206E-3</v>
      </c>
    </row>
    <row r="3706" spans="1:3" x14ac:dyDescent="0.25">
      <c r="A3706" t="s">
        <v>128</v>
      </c>
      <c r="B3706">
        <v>23</v>
      </c>
      <c r="C3706">
        <v>2.7397260273972603E-3</v>
      </c>
    </row>
    <row r="3707" spans="1:3" x14ac:dyDescent="0.25">
      <c r="A3707" t="s">
        <v>113</v>
      </c>
      <c r="B3707">
        <v>6</v>
      </c>
      <c r="C3707">
        <v>2.7397260273972603E-3</v>
      </c>
    </row>
    <row r="3708" spans="1:3" x14ac:dyDescent="0.25">
      <c r="A3708" t="s">
        <v>231</v>
      </c>
      <c r="B3708">
        <v>19</v>
      </c>
      <c r="C3708">
        <v>2.7397260273972603E-3</v>
      </c>
    </row>
    <row r="3709" spans="1:3" x14ac:dyDescent="0.25">
      <c r="A3709" t="s">
        <v>210</v>
      </c>
      <c r="B3709">
        <v>3</v>
      </c>
      <c r="C3709">
        <v>2.7397260273972603E-3</v>
      </c>
    </row>
    <row r="3710" spans="1:3" x14ac:dyDescent="0.25">
      <c r="A3710" t="s">
        <v>193</v>
      </c>
      <c r="B3710">
        <v>23</v>
      </c>
      <c r="C3710">
        <v>2.7397260273972603E-3</v>
      </c>
    </row>
    <row r="3711" spans="1:3" x14ac:dyDescent="0.25">
      <c r="A3711" t="s">
        <v>133</v>
      </c>
      <c r="B3711">
        <v>5</v>
      </c>
      <c r="C3711">
        <v>5.4794520547945206E-3</v>
      </c>
    </row>
    <row r="3712" spans="1:3" x14ac:dyDescent="0.25">
      <c r="A3712" t="s">
        <v>155</v>
      </c>
      <c r="B3712">
        <v>2</v>
      </c>
      <c r="C3712">
        <v>2.7397260273972603E-3</v>
      </c>
    </row>
    <row r="3713" spans="1:3" x14ac:dyDescent="0.25">
      <c r="A3713" t="s">
        <v>162</v>
      </c>
      <c r="B3713">
        <v>5</v>
      </c>
      <c r="C3713">
        <v>2.7397260273972603E-3</v>
      </c>
    </row>
    <row r="3714" spans="1:3" x14ac:dyDescent="0.25">
      <c r="A3714" t="s">
        <v>146</v>
      </c>
      <c r="B3714">
        <v>6</v>
      </c>
      <c r="C3714">
        <v>2.7397260273972603E-3</v>
      </c>
    </row>
    <row r="3715" spans="1:3" x14ac:dyDescent="0.25">
      <c r="A3715" t="s">
        <v>237</v>
      </c>
      <c r="B3715">
        <v>9</v>
      </c>
      <c r="C3715">
        <v>2.7397260273972603E-3</v>
      </c>
    </row>
    <row r="3716" spans="1:3" x14ac:dyDescent="0.25">
      <c r="A3716" t="s">
        <v>159</v>
      </c>
      <c r="B3716">
        <v>21</v>
      </c>
      <c r="C3716">
        <v>2.7397260273972603E-3</v>
      </c>
    </row>
    <row r="3717" spans="1:3" x14ac:dyDescent="0.25">
      <c r="A3717" t="s">
        <v>210</v>
      </c>
      <c r="B3717">
        <v>6</v>
      </c>
      <c r="C3717">
        <v>2.7397260273972603E-3</v>
      </c>
    </row>
    <row r="3718" spans="1:3" x14ac:dyDescent="0.25">
      <c r="A3718" t="s">
        <v>147</v>
      </c>
      <c r="B3718">
        <v>4</v>
      </c>
      <c r="C3718">
        <v>2.7397260273972603E-3</v>
      </c>
    </row>
    <row r="3719" spans="1:3" x14ac:dyDescent="0.25">
      <c r="A3719" t="s">
        <v>239</v>
      </c>
      <c r="B3719">
        <v>13</v>
      </c>
      <c r="C3719">
        <v>2.7397260273972603E-3</v>
      </c>
    </row>
    <row r="3720" spans="1:3" x14ac:dyDescent="0.25">
      <c r="A3720" t="s">
        <v>83</v>
      </c>
      <c r="B3720">
        <v>6</v>
      </c>
      <c r="C3720">
        <v>2.7397260273972603E-3</v>
      </c>
    </row>
    <row r="3721" spans="1:3" x14ac:dyDescent="0.25">
      <c r="A3721" t="s">
        <v>213</v>
      </c>
      <c r="B3721">
        <v>14</v>
      </c>
      <c r="C3721">
        <v>5.4794520547945206E-3</v>
      </c>
    </row>
    <row r="3722" spans="1:3" x14ac:dyDescent="0.25">
      <c r="A3722" t="s">
        <v>218</v>
      </c>
      <c r="B3722">
        <v>3</v>
      </c>
      <c r="C3722">
        <v>2.7397260273972603E-3</v>
      </c>
    </row>
    <row r="3723" spans="1:3" x14ac:dyDescent="0.25">
      <c r="A3723" t="s">
        <v>171</v>
      </c>
      <c r="B3723">
        <v>12</v>
      </c>
      <c r="C3723">
        <v>8.21917808219178E-3</v>
      </c>
    </row>
    <row r="3724" spans="1:3" x14ac:dyDescent="0.25">
      <c r="A3724" t="s">
        <v>132</v>
      </c>
      <c r="B3724">
        <v>4</v>
      </c>
      <c r="C3724">
        <v>2.7397260273972603E-3</v>
      </c>
    </row>
    <row r="3725" spans="1:3" x14ac:dyDescent="0.25">
      <c r="A3725" t="s">
        <v>181</v>
      </c>
      <c r="B3725">
        <v>14</v>
      </c>
      <c r="C3725">
        <v>2.7397260273972603E-3</v>
      </c>
    </row>
    <row r="3726" spans="1:3" x14ac:dyDescent="0.25">
      <c r="A3726" t="s">
        <v>222</v>
      </c>
      <c r="B3726">
        <v>14</v>
      </c>
      <c r="C3726">
        <v>2.7397260273972603E-3</v>
      </c>
    </row>
    <row r="3727" spans="1:3" x14ac:dyDescent="0.25">
      <c r="A3727" t="s">
        <v>227</v>
      </c>
      <c r="B3727">
        <v>0</v>
      </c>
      <c r="C3727">
        <v>2.7397260273972603E-3</v>
      </c>
    </row>
    <row r="3728" spans="1:3" x14ac:dyDescent="0.25">
      <c r="A3728" t="s">
        <v>243</v>
      </c>
      <c r="B3728">
        <v>22</v>
      </c>
      <c r="C3728">
        <v>2.7397260273972603E-3</v>
      </c>
    </row>
    <row r="3729" spans="1:3" x14ac:dyDescent="0.25">
      <c r="A3729" t="s">
        <v>197</v>
      </c>
      <c r="B3729">
        <v>20</v>
      </c>
      <c r="C3729">
        <v>2.7397260273972603E-3</v>
      </c>
    </row>
    <row r="3730" spans="1:3" x14ac:dyDescent="0.25">
      <c r="A3730" t="s">
        <v>189</v>
      </c>
      <c r="B3730">
        <v>5</v>
      </c>
      <c r="C3730">
        <v>2.7397260273972603E-3</v>
      </c>
    </row>
    <row r="3731" spans="1:3" x14ac:dyDescent="0.25">
      <c r="A3731" t="s">
        <v>195</v>
      </c>
      <c r="B3731">
        <v>17</v>
      </c>
      <c r="C3731">
        <v>2.7397260273972603E-3</v>
      </c>
    </row>
    <row r="3732" spans="1:3" x14ac:dyDescent="0.25">
      <c r="A3732" t="s">
        <v>211</v>
      </c>
      <c r="B3732">
        <v>23</v>
      </c>
      <c r="C3732">
        <v>2.7397260273972603E-3</v>
      </c>
    </row>
    <row r="3733" spans="1:3" x14ac:dyDescent="0.25">
      <c r="A3733" t="s">
        <v>230</v>
      </c>
      <c r="B3733">
        <v>1</v>
      </c>
      <c r="C3733">
        <v>2.7397260273972603E-3</v>
      </c>
    </row>
    <row r="3734" spans="1:3" x14ac:dyDescent="0.25">
      <c r="A3734" t="s">
        <v>181</v>
      </c>
      <c r="B3734">
        <v>7</v>
      </c>
      <c r="C3734">
        <v>2.7397260273972603E-3</v>
      </c>
    </row>
    <row r="3735" spans="1:3" x14ac:dyDescent="0.25">
      <c r="A3735" t="s">
        <v>185</v>
      </c>
      <c r="B3735">
        <v>18</v>
      </c>
      <c r="C3735">
        <v>2.7397260273972603E-3</v>
      </c>
    </row>
    <row r="3736" spans="1:3" x14ac:dyDescent="0.25">
      <c r="A3736" t="s">
        <v>148</v>
      </c>
      <c r="B3736">
        <v>2</v>
      </c>
      <c r="C3736">
        <v>2.7397260273972603E-3</v>
      </c>
    </row>
    <row r="3737" spans="1:3" x14ac:dyDescent="0.25">
      <c r="A3737" t="s">
        <v>83</v>
      </c>
      <c r="B3737">
        <v>2</v>
      </c>
      <c r="C3737">
        <v>2.7397260273972603E-3</v>
      </c>
    </row>
    <row r="3738" spans="1:3" x14ac:dyDescent="0.25">
      <c r="A3738" t="s">
        <v>70</v>
      </c>
      <c r="B3738">
        <v>5</v>
      </c>
      <c r="C3738">
        <v>2.7397260273972603E-3</v>
      </c>
    </row>
    <row r="3739" spans="1:3" x14ac:dyDescent="0.25">
      <c r="A3739" t="s">
        <v>224</v>
      </c>
      <c r="B3739">
        <v>8</v>
      </c>
      <c r="C3739">
        <v>2.7397260273972603E-3</v>
      </c>
    </row>
    <row r="3740" spans="1:3" x14ac:dyDescent="0.25">
      <c r="A3740" t="s">
        <v>237</v>
      </c>
      <c r="B3740">
        <v>17</v>
      </c>
      <c r="C3740">
        <v>2.7397260273972603E-3</v>
      </c>
    </row>
    <row r="3741" spans="1:3" x14ac:dyDescent="0.25">
      <c r="A3741" t="s">
        <v>118</v>
      </c>
      <c r="B3741">
        <v>6</v>
      </c>
      <c r="C3741">
        <v>5.4794520547945206E-3</v>
      </c>
    </row>
    <row r="3742" spans="1:3" x14ac:dyDescent="0.25">
      <c r="A3742" t="s">
        <v>118</v>
      </c>
      <c r="B3742">
        <v>10</v>
      </c>
      <c r="C3742">
        <v>2.7397260273972603E-3</v>
      </c>
    </row>
    <row r="3743" spans="1:3" x14ac:dyDescent="0.25">
      <c r="A3743" t="s">
        <v>184</v>
      </c>
      <c r="B3743">
        <v>4</v>
      </c>
      <c r="C3743">
        <v>2.7397260273972603E-3</v>
      </c>
    </row>
    <row r="3744" spans="1:3" x14ac:dyDescent="0.25">
      <c r="A3744" t="s">
        <v>210</v>
      </c>
      <c r="B3744">
        <v>23</v>
      </c>
      <c r="C3744">
        <v>2.7397260273972603E-3</v>
      </c>
    </row>
    <row r="3745" spans="1:3" x14ac:dyDescent="0.25">
      <c r="A3745" t="s">
        <v>186</v>
      </c>
      <c r="B3745">
        <v>5</v>
      </c>
      <c r="C3745">
        <v>2.7397260273972603E-3</v>
      </c>
    </row>
    <row r="3746" spans="1:3" x14ac:dyDescent="0.25">
      <c r="A3746" t="s">
        <v>177</v>
      </c>
      <c r="B3746">
        <v>17</v>
      </c>
      <c r="C3746">
        <v>2.7397260273972603E-3</v>
      </c>
    </row>
    <row r="3747" spans="1:3" x14ac:dyDescent="0.25">
      <c r="A3747" t="s">
        <v>176</v>
      </c>
      <c r="B3747">
        <v>2</v>
      </c>
      <c r="C3747">
        <v>2.7397260273972603E-3</v>
      </c>
    </row>
    <row r="3748" spans="1:3" x14ac:dyDescent="0.25">
      <c r="A3748" t="s">
        <v>235</v>
      </c>
      <c r="B3748">
        <v>21</v>
      </c>
      <c r="C3748">
        <v>2.7397260273972603E-3</v>
      </c>
    </row>
    <row r="3749" spans="1:3" x14ac:dyDescent="0.25">
      <c r="A3749" t="s">
        <v>168</v>
      </c>
      <c r="B3749">
        <v>4</v>
      </c>
      <c r="C3749">
        <v>2.7397260273972603E-3</v>
      </c>
    </row>
    <row r="3750" spans="1:3" x14ac:dyDescent="0.25">
      <c r="A3750" t="s">
        <v>191</v>
      </c>
      <c r="B3750">
        <v>4</v>
      </c>
      <c r="C3750">
        <v>2.7397260273972603E-3</v>
      </c>
    </row>
    <row r="3751" spans="1:3" x14ac:dyDescent="0.25">
      <c r="A3751" t="s">
        <v>154</v>
      </c>
      <c r="B3751">
        <v>2</v>
      </c>
      <c r="C3751">
        <v>2.7397260273972603E-3</v>
      </c>
    </row>
    <row r="3752" spans="1:3" x14ac:dyDescent="0.25">
      <c r="A3752" t="s">
        <v>228</v>
      </c>
      <c r="B3752">
        <v>20</v>
      </c>
      <c r="C3752">
        <v>2.7397260273972603E-3</v>
      </c>
    </row>
    <row r="3753" spans="1:3" x14ac:dyDescent="0.25">
      <c r="A3753" t="s">
        <v>228</v>
      </c>
      <c r="B3753">
        <v>0</v>
      </c>
      <c r="C3753">
        <v>2.7397260273972603E-3</v>
      </c>
    </row>
    <row r="3754" spans="1:3" x14ac:dyDescent="0.25">
      <c r="A3754" t="s">
        <v>245</v>
      </c>
      <c r="B3754">
        <v>14</v>
      </c>
      <c r="C3754">
        <v>2.7397260273972603E-3</v>
      </c>
    </row>
    <row r="3755" spans="1:3" x14ac:dyDescent="0.25">
      <c r="A3755" t="s">
        <v>205</v>
      </c>
      <c r="B3755">
        <v>7</v>
      </c>
      <c r="C3755">
        <v>2.7397260273972603E-3</v>
      </c>
    </row>
    <row r="3756" spans="1:3" x14ac:dyDescent="0.25">
      <c r="A3756" t="s">
        <v>185</v>
      </c>
      <c r="B3756">
        <v>3</v>
      </c>
      <c r="C3756">
        <v>5.4794520547945206E-3</v>
      </c>
    </row>
    <row r="3757" spans="1:3" x14ac:dyDescent="0.25">
      <c r="A3757" t="s">
        <v>132</v>
      </c>
      <c r="B3757">
        <v>3</v>
      </c>
      <c r="C3757">
        <v>2.7397260273972603E-3</v>
      </c>
    </row>
    <row r="3758" spans="1:3" x14ac:dyDescent="0.25">
      <c r="A3758" t="s">
        <v>240</v>
      </c>
      <c r="B3758">
        <v>8</v>
      </c>
      <c r="C3758">
        <v>2.7397260273972603E-3</v>
      </c>
    </row>
    <row r="3759" spans="1:3" x14ac:dyDescent="0.25">
      <c r="A3759" t="s">
        <v>158</v>
      </c>
      <c r="B3759">
        <v>3</v>
      </c>
      <c r="C3759">
        <v>5.4794520547945206E-3</v>
      </c>
    </row>
    <row r="3760" spans="1:3" x14ac:dyDescent="0.25">
      <c r="A3760" t="s">
        <v>214</v>
      </c>
      <c r="B3760">
        <v>6</v>
      </c>
      <c r="C3760">
        <v>2.7397260273972603E-3</v>
      </c>
    </row>
    <row r="3761" spans="1:3" x14ac:dyDescent="0.25">
      <c r="A3761" t="s">
        <v>154</v>
      </c>
      <c r="B3761">
        <v>3</v>
      </c>
      <c r="C3761">
        <v>2.7397260273972603E-3</v>
      </c>
    </row>
    <row r="3762" spans="1:3" x14ac:dyDescent="0.25">
      <c r="A3762" t="s">
        <v>177</v>
      </c>
      <c r="B3762">
        <v>21</v>
      </c>
      <c r="C3762">
        <v>2.7397260273972603E-3</v>
      </c>
    </row>
    <row r="3763" spans="1:3" x14ac:dyDescent="0.25">
      <c r="A3763" t="s">
        <v>230</v>
      </c>
      <c r="B3763">
        <v>2</v>
      </c>
      <c r="C3763">
        <v>2.7397260273972603E-3</v>
      </c>
    </row>
    <row r="3764" spans="1:3" x14ac:dyDescent="0.25">
      <c r="A3764" t="s">
        <v>79</v>
      </c>
      <c r="B3764">
        <v>5</v>
      </c>
      <c r="C3764">
        <v>2.7397260273972603E-3</v>
      </c>
    </row>
    <row r="3765" spans="1:3" x14ac:dyDescent="0.25">
      <c r="A3765" t="s">
        <v>184</v>
      </c>
      <c r="B3765">
        <v>15</v>
      </c>
      <c r="C3765">
        <v>2.7397260273972603E-3</v>
      </c>
    </row>
    <row r="3766" spans="1:3" x14ac:dyDescent="0.25">
      <c r="A3766" t="s">
        <v>234</v>
      </c>
      <c r="B3766">
        <v>8</v>
      </c>
      <c r="C3766">
        <v>2.7397260273972603E-3</v>
      </c>
    </row>
    <row r="3767" spans="1:3" x14ac:dyDescent="0.25">
      <c r="A3767" t="s">
        <v>163</v>
      </c>
      <c r="B3767">
        <v>3</v>
      </c>
      <c r="C3767">
        <v>2.7397260273972603E-3</v>
      </c>
    </row>
    <row r="3768" spans="1:3" x14ac:dyDescent="0.25">
      <c r="A3768" t="s">
        <v>231</v>
      </c>
      <c r="B3768">
        <v>22</v>
      </c>
      <c r="C3768">
        <v>2.7397260273972603E-3</v>
      </c>
    </row>
    <row r="3769" spans="1:3" x14ac:dyDescent="0.25">
      <c r="A3769" t="s">
        <v>206</v>
      </c>
      <c r="B3769">
        <v>3</v>
      </c>
      <c r="C3769">
        <v>2.7397260273972603E-3</v>
      </c>
    </row>
    <row r="3770" spans="1:3" x14ac:dyDescent="0.25">
      <c r="A3770" t="s">
        <v>38</v>
      </c>
      <c r="B3770">
        <v>3</v>
      </c>
      <c r="C3770">
        <v>2.7397260273972603E-3</v>
      </c>
    </row>
    <row r="3771" spans="1:3" x14ac:dyDescent="0.25">
      <c r="A3771" t="s">
        <v>141</v>
      </c>
      <c r="B3771">
        <v>4</v>
      </c>
      <c r="C3771">
        <v>2.7397260273972603E-3</v>
      </c>
    </row>
    <row r="3772" spans="1:3" x14ac:dyDescent="0.25">
      <c r="A3772" t="s">
        <v>233</v>
      </c>
      <c r="B3772">
        <v>4</v>
      </c>
      <c r="C3772">
        <v>2.7397260273972603E-3</v>
      </c>
    </row>
    <row r="3773" spans="1:3" x14ac:dyDescent="0.25">
      <c r="A3773" t="s">
        <v>217</v>
      </c>
      <c r="B3773">
        <v>3</v>
      </c>
      <c r="C3773">
        <v>2.7397260273972603E-3</v>
      </c>
    </row>
    <row r="3774" spans="1:3" x14ac:dyDescent="0.25">
      <c r="A3774" t="s">
        <v>230</v>
      </c>
      <c r="B3774">
        <v>14</v>
      </c>
      <c r="C3774">
        <v>2.7397260273972603E-3</v>
      </c>
    </row>
    <row r="3775" spans="1:3" x14ac:dyDescent="0.25">
      <c r="A3775" t="s">
        <v>229</v>
      </c>
      <c r="B3775">
        <v>8</v>
      </c>
      <c r="C3775">
        <v>2.7397260273972603E-3</v>
      </c>
    </row>
    <row r="3776" spans="1:3" x14ac:dyDescent="0.25">
      <c r="A3776" t="s">
        <v>213</v>
      </c>
      <c r="B3776">
        <v>8</v>
      </c>
      <c r="C3776">
        <v>2.7397260273972603E-3</v>
      </c>
    </row>
    <row r="3777" spans="1:3" x14ac:dyDescent="0.25">
      <c r="A3777" t="s">
        <v>220</v>
      </c>
      <c r="B3777">
        <v>22</v>
      </c>
      <c r="C3777">
        <v>2.7397260273972603E-3</v>
      </c>
    </row>
    <row r="3778" spans="1:3" x14ac:dyDescent="0.25">
      <c r="A3778" t="s">
        <v>119</v>
      </c>
      <c r="B3778">
        <v>2</v>
      </c>
      <c r="C3778">
        <v>2.7397260273972603E-3</v>
      </c>
    </row>
    <row r="3779" spans="1:3" x14ac:dyDescent="0.25">
      <c r="A3779" t="s">
        <v>196</v>
      </c>
      <c r="B3779">
        <v>3</v>
      </c>
      <c r="C3779">
        <v>2.7397260273972603E-3</v>
      </c>
    </row>
    <row r="3780" spans="1:3" x14ac:dyDescent="0.25">
      <c r="A3780" t="s">
        <v>227</v>
      </c>
      <c r="B3780">
        <v>7</v>
      </c>
      <c r="C3780">
        <v>2.7397260273972603E-3</v>
      </c>
    </row>
    <row r="3781" spans="1:3" x14ac:dyDescent="0.25">
      <c r="A3781" t="s">
        <v>223</v>
      </c>
      <c r="B3781">
        <v>23</v>
      </c>
      <c r="C3781">
        <v>2.7397260273972603E-3</v>
      </c>
    </row>
    <row r="3782" spans="1:3" x14ac:dyDescent="0.25">
      <c r="A3782" t="s">
        <v>230</v>
      </c>
      <c r="B3782">
        <v>4</v>
      </c>
      <c r="C3782">
        <v>2.7397260273972603E-3</v>
      </c>
    </row>
    <row r="3783" spans="1:3" x14ac:dyDescent="0.25">
      <c r="A3783" t="s">
        <v>161</v>
      </c>
      <c r="B3783">
        <v>5</v>
      </c>
      <c r="C3783">
        <v>2.7397260273972603E-3</v>
      </c>
    </row>
    <row r="3784" spans="1:3" x14ac:dyDescent="0.25">
      <c r="A3784" t="s">
        <v>204</v>
      </c>
      <c r="B3784">
        <v>20</v>
      </c>
      <c r="C3784">
        <v>2.7397260273972603E-3</v>
      </c>
    </row>
    <row r="3785" spans="1:3" x14ac:dyDescent="0.25">
      <c r="A3785" t="s">
        <v>196</v>
      </c>
      <c r="B3785">
        <v>2</v>
      </c>
      <c r="C3785">
        <v>2.7397260273972603E-3</v>
      </c>
    </row>
    <row r="3786" spans="1:3" x14ac:dyDescent="0.25">
      <c r="A3786" t="s">
        <v>124</v>
      </c>
      <c r="B3786">
        <v>5</v>
      </c>
      <c r="C3786">
        <v>2.7397260273972603E-3</v>
      </c>
    </row>
    <row r="3787" spans="1:3" x14ac:dyDescent="0.25">
      <c r="A3787" t="s">
        <v>45</v>
      </c>
      <c r="B3787">
        <v>4</v>
      </c>
      <c r="C3787">
        <v>2.7397260273972603E-3</v>
      </c>
    </row>
    <row r="3788" spans="1:3" x14ac:dyDescent="0.25">
      <c r="A3788" t="s">
        <v>178</v>
      </c>
      <c r="B3788">
        <v>5</v>
      </c>
      <c r="C3788">
        <v>2.7397260273972603E-3</v>
      </c>
    </row>
    <row r="3789" spans="1:3" x14ac:dyDescent="0.25">
      <c r="A3789" t="s">
        <v>226</v>
      </c>
      <c r="B3789">
        <v>7</v>
      </c>
      <c r="C3789">
        <v>2.7397260273972603E-3</v>
      </c>
    </row>
    <row r="3790" spans="1:3" x14ac:dyDescent="0.25">
      <c r="A3790" t="s">
        <v>181</v>
      </c>
      <c r="B3790">
        <v>0</v>
      </c>
      <c r="C3790">
        <v>2.7397260273972603E-3</v>
      </c>
    </row>
    <row r="3791" spans="1:3" x14ac:dyDescent="0.25">
      <c r="A3791" t="s">
        <v>238</v>
      </c>
      <c r="B3791">
        <v>13</v>
      </c>
      <c r="C3791">
        <v>2.7397260273972603E-3</v>
      </c>
    </row>
    <row r="3792" spans="1:3" x14ac:dyDescent="0.25">
      <c r="A3792" t="s">
        <v>98</v>
      </c>
      <c r="B3792">
        <v>12</v>
      </c>
      <c r="C3792">
        <v>2.7397260273972603E-3</v>
      </c>
    </row>
    <row r="3793" spans="1:3" x14ac:dyDescent="0.25">
      <c r="A3793" t="s">
        <v>212</v>
      </c>
      <c r="B3793">
        <v>1</v>
      </c>
      <c r="C3793">
        <v>2.7397260273972603E-3</v>
      </c>
    </row>
    <row r="3794" spans="1:3" x14ac:dyDescent="0.25">
      <c r="A3794" t="s">
        <v>166</v>
      </c>
      <c r="B3794">
        <v>4</v>
      </c>
      <c r="C3794">
        <v>5.4794520547945206E-3</v>
      </c>
    </row>
    <row r="3795" spans="1:3" x14ac:dyDescent="0.25">
      <c r="A3795" t="s">
        <v>212</v>
      </c>
      <c r="B3795">
        <v>12</v>
      </c>
      <c r="C3795">
        <v>2.7397260273972603E-3</v>
      </c>
    </row>
    <row r="3796" spans="1:3" x14ac:dyDescent="0.25">
      <c r="A3796" t="s">
        <v>222</v>
      </c>
      <c r="B3796">
        <v>12</v>
      </c>
      <c r="C3796">
        <v>2.7397260273972603E-3</v>
      </c>
    </row>
    <row r="3797" spans="1:3" x14ac:dyDescent="0.25">
      <c r="A3797" t="s">
        <v>124</v>
      </c>
      <c r="B3797">
        <v>3</v>
      </c>
      <c r="C3797">
        <v>2.7397260273972603E-3</v>
      </c>
    </row>
    <row r="3798" spans="1:3" x14ac:dyDescent="0.25">
      <c r="A3798" t="s">
        <v>176</v>
      </c>
      <c r="B3798">
        <v>6</v>
      </c>
      <c r="C3798">
        <v>2.7397260273972603E-3</v>
      </c>
    </row>
    <row r="3799" spans="1:3" x14ac:dyDescent="0.25">
      <c r="A3799" t="s">
        <v>225</v>
      </c>
      <c r="B3799">
        <v>12</v>
      </c>
      <c r="C3799">
        <v>2.7397260273972603E-3</v>
      </c>
    </row>
    <row r="3800" spans="1:3" x14ac:dyDescent="0.25">
      <c r="A3800" t="s">
        <v>220</v>
      </c>
      <c r="B3800">
        <v>21</v>
      </c>
      <c r="C3800">
        <v>2.7397260273972603E-3</v>
      </c>
    </row>
    <row r="3801" spans="1:3" x14ac:dyDescent="0.25">
      <c r="A3801" t="s">
        <v>208</v>
      </c>
      <c r="B3801">
        <v>2</v>
      </c>
      <c r="C3801">
        <v>2.7397260273972603E-3</v>
      </c>
    </row>
    <row r="3802" spans="1:3" x14ac:dyDescent="0.25">
      <c r="A3802" t="s">
        <v>221</v>
      </c>
      <c r="B3802">
        <v>3</v>
      </c>
      <c r="C3802">
        <v>2.7397260273972603E-3</v>
      </c>
    </row>
    <row r="3803" spans="1:3" x14ac:dyDescent="0.25">
      <c r="A3803" t="s">
        <v>198</v>
      </c>
      <c r="B3803">
        <v>18</v>
      </c>
      <c r="C3803">
        <v>2.7397260273972603E-3</v>
      </c>
    </row>
    <row r="3804" spans="1:3" x14ac:dyDescent="0.25">
      <c r="A3804" t="s">
        <v>139</v>
      </c>
      <c r="B3804">
        <v>1</v>
      </c>
      <c r="C3804">
        <v>2.7397260273972603E-3</v>
      </c>
    </row>
    <row r="3805" spans="1:3" x14ac:dyDescent="0.25">
      <c r="A3805" t="s">
        <v>183</v>
      </c>
      <c r="B3805">
        <v>6</v>
      </c>
      <c r="C3805">
        <v>2.7397260273972603E-3</v>
      </c>
    </row>
    <row r="3806" spans="1:3" x14ac:dyDescent="0.25">
      <c r="A3806" t="s">
        <v>141</v>
      </c>
      <c r="B3806">
        <v>2</v>
      </c>
      <c r="C3806">
        <v>5.4794520547945206E-3</v>
      </c>
    </row>
    <row r="3807" spans="1:3" x14ac:dyDescent="0.25">
      <c r="A3807" t="s">
        <v>205</v>
      </c>
      <c r="B3807">
        <v>14</v>
      </c>
      <c r="C3807">
        <v>2.7397260273972603E-3</v>
      </c>
    </row>
    <row r="3808" spans="1:3" x14ac:dyDescent="0.25">
      <c r="A3808" t="s">
        <v>161</v>
      </c>
      <c r="B3808">
        <v>21</v>
      </c>
      <c r="C3808">
        <v>2.7397260273972603E-3</v>
      </c>
    </row>
    <row r="3809" spans="1:3" x14ac:dyDescent="0.25">
      <c r="A3809" t="s">
        <v>70</v>
      </c>
      <c r="B3809">
        <v>6</v>
      </c>
      <c r="C3809">
        <v>2.7397260273972603E-3</v>
      </c>
    </row>
    <row r="3810" spans="1:3" x14ac:dyDescent="0.25">
      <c r="A3810" t="s">
        <v>150</v>
      </c>
      <c r="B3810">
        <v>4</v>
      </c>
      <c r="C3810">
        <v>5.4794520547945206E-3</v>
      </c>
    </row>
    <row r="3811" spans="1:3" x14ac:dyDescent="0.25">
      <c r="A3811" t="s">
        <v>220</v>
      </c>
      <c r="B3811">
        <v>20</v>
      </c>
      <c r="C3811">
        <v>2.7397260273972603E-3</v>
      </c>
    </row>
    <row r="3812" spans="1:3" x14ac:dyDescent="0.25">
      <c r="A3812" t="s">
        <v>166</v>
      </c>
      <c r="B3812">
        <v>5</v>
      </c>
      <c r="C3812">
        <v>2.7397260273972603E-3</v>
      </c>
    </row>
    <row r="3813" spans="1:3" x14ac:dyDescent="0.25">
      <c r="A3813" t="s">
        <v>206</v>
      </c>
      <c r="B3813">
        <v>20</v>
      </c>
      <c r="C3813">
        <v>2.7397260273972603E-3</v>
      </c>
    </row>
    <row r="3814" spans="1:3" x14ac:dyDescent="0.25">
      <c r="A3814" t="s">
        <v>124</v>
      </c>
      <c r="B3814">
        <v>1</v>
      </c>
      <c r="C3814">
        <v>2.7397260273972603E-3</v>
      </c>
    </row>
    <row r="3815" spans="1:3" x14ac:dyDescent="0.25">
      <c r="A3815" t="s">
        <v>181</v>
      </c>
      <c r="B3815">
        <v>13</v>
      </c>
      <c r="C3815">
        <v>2.7397260273972603E-3</v>
      </c>
    </row>
    <row r="3816" spans="1:3" x14ac:dyDescent="0.25">
      <c r="A3816" t="s">
        <v>197</v>
      </c>
      <c r="B3816">
        <v>19</v>
      </c>
      <c r="C3816">
        <v>2.7397260273972603E-3</v>
      </c>
    </row>
    <row r="3817" spans="1:3" x14ac:dyDescent="0.25">
      <c r="A3817" t="s">
        <v>243</v>
      </c>
      <c r="B3817">
        <v>16</v>
      </c>
      <c r="C3817">
        <v>2.7397260273972603E-3</v>
      </c>
    </row>
    <row r="3818" spans="1:3" x14ac:dyDescent="0.25">
      <c r="A3818" t="s">
        <v>246</v>
      </c>
      <c r="B3818">
        <v>2</v>
      </c>
      <c r="C3818">
        <v>2.7397260273972603E-3</v>
      </c>
    </row>
    <row r="3819" spans="1:3" x14ac:dyDescent="0.25">
      <c r="A3819" t="s">
        <v>83</v>
      </c>
      <c r="B3819">
        <v>23</v>
      </c>
      <c r="C3819">
        <v>2.7397260273972603E-3</v>
      </c>
    </row>
    <row r="3820" spans="1:3" x14ac:dyDescent="0.25">
      <c r="A3820" t="s">
        <v>210</v>
      </c>
      <c r="B3820">
        <v>2</v>
      </c>
      <c r="C3820">
        <v>2.7397260273972603E-3</v>
      </c>
    </row>
    <row r="3821" spans="1:3" x14ac:dyDescent="0.25">
      <c r="A3821" t="s">
        <v>190</v>
      </c>
      <c r="B3821">
        <v>1</v>
      </c>
      <c r="C3821">
        <v>2.7397260273972603E-3</v>
      </c>
    </row>
    <row r="3822" spans="1:3" x14ac:dyDescent="0.25">
      <c r="A3822" t="s">
        <v>243</v>
      </c>
      <c r="B3822">
        <v>10</v>
      </c>
      <c r="C3822">
        <v>2.7397260273972603E-3</v>
      </c>
    </row>
    <row r="3823" spans="1:3" x14ac:dyDescent="0.25">
      <c r="A3823" t="s">
        <v>204</v>
      </c>
      <c r="B3823">
        <v>18</v>
      </c>
      <c r="C3823">
        <v>2.7397260273972603E-3</v>
      </c>
    </row>
    <row r="3824" spans="1:3" x14ac:dyDescent="0.25">
      <c r="A3824" t="s">
        <v>224</v>
      </c>
      <c r="B3824">
        <v>19</v>
      </c>
      <c r="C3824">
        <v>2.7397260273972603E-3</v>
      </c>
    </row>
    <row r="3825" spans="1:3" x14ac:dyDescent="0.25">
      <c r="A3825" t="s">
        <v>97</v>
      </c>
      <c r="B3825">
        <v>3</v>
      </c>
      <c r="C3825">
        <v>2.7397260273972603E-3</v>
      </c>
    </row>
    <row r="3826" spans="1:3" x14ac:dyDescent="0.25">
      <c r="A3826" t="s">
        <v>145</v>
      </c>
      <c r="B3826">
        <v>4</v>
      </c>
      <c r="C3826">
        <v>2.7397260273972603E-3</v>
      </c>
    </row>
    <row r="3827" spans="1:3" x14ac:dyDescent="0.25">
      <c r="A3827" t="s">
        <v>223</v>
      </c>
      <c r="B3827">
        <v>16</v>
      </c>
      <c r="C3827">
        <v>2.7397260273972603E-3</v>
      </c>
    </row>
    <row r="3828" spans="1:3" x14ac:dyDescent="0.25">
      <c r="A3828" t="s">
        <v>119</v>
      </c>
      <c r="B3828">
        <v>1</v>
      </c>
      <c r="C3828">
        <v>2.7397260273972603E-3</v>
      </c>
    </row>
    <row r="3829" spans="1:3" x14ac:dyDescent="0.25">
      <c r="A3829" t="s">
        <v>199</v>
      </c>
      <c r="B3829">
        <v>3</v>
      </c>
      <c r="C3829">
        <v>2.7397260273972603E-3</v>
      </c>
    </row>
    <row r="3830" spans="1:3" x14ac:dyDescent="0.25">
      <c r="A3830" t="s">
        <v>218</v>
      </c>
      <c r="B3830">
        <v>5</v>
      </c>
      <c r="C3830">
        <v>2.7397260273972603E-3</v>
      </c>
    </row>
    <row r="3831" spans="1:3" x14ac:dyDescent="0.25">
      <c r="A3831" t="s">
        <v>139</v>
      </c>
      <c r="B3831">
        <v>3</v>
      </c>
      <c r="C3831">
        <v>5.4794520547945206E-3</v>
      </c>
    </row>
    <row r="3832" spans="1:3" x14ac:dyDescent="0.25">
      <c r="A3832" t="s">
        <v>238</v>
      </c>
      <c r="B3832">
        <v>22</v>
      </c>
      <c r="C3832">
        <v>2.7397260273972603E-3</v>
      </c>
    </row>
    <row r="3833" spans="1:3" x14ac:dyDescent="0.25">
      <c r="A3833" t="s">
        <v>192</v>
      </c>
      <c r="B3833">
        <v>14</v>
      </c>
      <c r="C3833">
        <v>2.7397260273972603E-3</v>
      </c>
    </row>
    <row r="3834" spans="1:3" x14ac:dyDescent="0.25">
      <c r="A3834" t="s">
        <v>212</v>
      </c>
      <c r="B3834">
        <v>0</v>
      </c>
      <c r="C3834">
        <v>2.7397260273972603E-3</v>
      </c>
    </row>
    <row r="3835" spans="1:3" x14ac:dyDescent="0.25">
      <c r="A3835" t="s">
        <v>150</v>
      </c>
      <c r="B3835">
        <v>3</v>
      </c>
      <c r="C3835">
        <v>2.7397260273972603E-3</v>
      </c>
    </row>
    <row r="3836" spans="1:3" x14ac:dyDescent="0.25">
      <c r="A3836" t="s">
        <v>44</v>
      </c>
      <c r="B3836">
        <v>21</v>
      </c>
      <c r="C3836">
        <v>2.7397260273972603E-3</v>
      </c>
    </row>
    <row r="3837" spans="1:3" x14ac:dyDescent="0.25">
      <c r="A3837" t="s">
        <v>208</v>
      </c>
      <c r="B3837">
        <v>1</v>
      </c>
      <c r="C3837">
        <v>2.7397260273972603E-3</v>
      </c>
    </row>
    <row r="3838" spans="1:3" x14ac:dyDescent="0.25">
      <c r="A3838" t="s">
        <v>241</v>
      </c>
      <c r="B3838">
        <v>12</v>
      </c>
      <c r="C3838">
        <v>2.7397260273972603E-3</v>
      </c>
    </row>
    <row r="3839" spans="1:3" x14ac:dyDescent="0.25">
      <c r="A3839" t="s">
        <v>238</v>
      </c>
      <c r="B3839">
        <v>20</v>
      </c>
      <c r="C3839">
        <v>2.7397260273972603E-3</v>
      </c>
    </row>
    <row r="3840" spans="1:3" x14ac:dyDescent="0.25">
      <c r="A3840" t="s">
        <v>238</v>
      </c>
      <c r="B3840">
        <v>18</v>
      </c>
      <c r="C3840">
        <v>2.7397260273972603E-3</v>
      </c>
    </row>
    <row r="3841" spans="1:3" x14ac:dyDescent="0.25">
      <c r="A3841" t="s">
        <v>143</v>
      </c>
      <c r="B3841">
        <v>3</v>
      </c>
      <c r="C3841">
        <v>2.7397260273972603E-3</v>
      </c>
    </row>
    <row r="3842" spans="1:3" x14ac:dyDescent="0.25">
      <c r="A3842" t="s">
        <v>139</v>
      </c>
      <c r="B3842">
        <v>5</v>
      </c>
      <c r="C3842">
        <v>2.7397260273972603E-3</v>
      </c>
    </row>
    <row r="3843" spans="1:3" x14ac:dyDescent="0.25">
      <c r="A3843" t="s">
        <v>234</v>
      </c>
      <c r="B3843">
        <v>14</v>
      </c>
      <c r="C3843">
        <v>2.7397260273972603E-3</v>
      </c>
    </row>
    <row r="3844" spans="1:3" x14ac:dyDescent="0.25">
      <c r="A3844" t="s">
        <v>205</v>
      </c>
      <c r="B3844">
        <v>15</v>
      </c>
      <c r="C3844">
        <v>2.7397260273972603E-3</v>
      </c>
    </row>
    <row r="3845" spans="1:3" x14ac:dyDescent="0.25">
      <c r="A3845" t="s">
        <v>180</v>
      </c>
      <c r="B3845">
        <v>18</v>
      </c>
      <c r="C3845">
        <v>2.7397260273972603E-3</v>
      </c>
    </row>
    <row r="3846" spans="1:3" x14ac:dyDescent="0.25">
      <c r="A3846" t="s">
        <v>222</v>
      </c>
      <c r="B3846">
        <v>23</v>
      </c>
      <c r="C3846">
        <v>2.7397260273972603E-3</v>
      </c>
    </row>
    <row r="3847" spans="1:3" x14ac:dyDescent="0.25">
      <c r="A3847" t="s">
        <v>222</v>
      </c>
      <c r="B3847">
        <v>9</v>
      </c>
      <c r="C3847">
        <v>2.7397260273972603E-3</v>
      </c>
    </row>
    <row r="3848" spans="1:3" x14ac:dyDescent="0.25">
      <c r="A3848" t="s">
        <v>230</v>
      </c>
      <c r="B3848">
        <v>18</v>
      </c>
      <c r="C3848">
        <v>2.7397260273972603E-3</v>
      </c>
    </row>
    <row r="3849" spans="1:3" x14ac:dyDescent="0.25">
      <c r="A3849" t="s">
        <v>230</v>
      </c>
      <c r="B3849">
        <v>12</v>
      </c>
      <c r="C3849">
        <v>2.7397260273972603E-3</v>
      </c>
    </row>
    <row r="3850" spans="1:3" x14ac:dyDescent="0.25">
      <c r="A3850" t="s">
        <v>44</v>
      </c>
      <c r="B3850">
        <v>22</v>
      </c>
      <c r="C3850">
        <v>2.7397260273972603E-3</v>
      </c>
    </row>
    <row r="3851" spans="1:3" x14ac:dyDescent="0.25">
      <c r="A3851" t="s">
        <v>222</v>
      </c>
      <c r="B3851">
        <v>6</v>
      </c>
      <c r="C3851">
        <v>2.7397260273972603E-3</v>
      </c>
    </row>
    <row r="3852" spans="1:3" x14ac:dyDescent="0.25">
      <c r="A3852" t="s">
        <v>116</v>
      </c>
      <c r="B3852">
        <v>3</v>
      </c>
      <c r="C3852">
        <v>2.7397260273972603E-3</v>
      </c>
    </row>
    <row r="3853" spans="1:3" x14ac:dyDescent="0.25">
      <c r="A3853" t="s">
        <v>194</v>
      </c>
      <c r="B3853">
        <v>22</v>
      </c>
      <c r="C3853">
        <v>2.7397260273972603E-3</v>
      </c>
    </row>
    <row r="3854" spans="1:3" x14ac:dyDescent="0.25">
      <c r="A3854" t="s">
        <v>154</v>
      </c>
      <c r="B3854">
        <v>23</v>
      </c>
      <c r="C3854">
        <v>2.7397260273972603E-3</v>
      </c>
    </row>
    <row r="3855" spans="1:3" x14ac:dyDescent="0.25">
      <c r="A3855" t="s">
        <v>149</v>
      </c>
      <c r="B3855">
        <v>4</v>
      </c>
      <c r="C3855">
        <v>2.7397260273972603E-3</v>
      </c>
    </row>
    <row r="3856" spans="1:3" x14ac:dyDescent="0.25">
      <c r="A3856" t="s">
        <v>243</v>
      </c>
      <c r="B3856">
        <v>21</v>
      </c>
      <c r="C3856">
        <v>2.7397260273972603E-3</v>
      </c>
    </row>
    <row r="3857" spans="1:3" x14ac:dyDescent="0.25">
      <c r="A3857" t="s">
        <v>209</v>
      </c>
      <c r="B3857">
        <v>3</v>
      </c>
      <c r="C3857">
        <v>2.7397260273972603E-3</v>
      </c>
    </row>
    <row r="3858" spans="1:3" x14ac:dyDescent="0.25">
      <c r="A3858" t="s">
        <v>96</v>
      </c>
      <c r="B3858">
        <v>6</v>
      </c>
      <c r="C3858">
        <v>2.7397260273972603E-3</v>
      </c>
    </row>
    <row r="3859" spans="1:3" x14ac:dyDescent="0.25">
      <c r="A3859" t="s">
        <v>220</v>
      </c>
      <c r="B3859">
        <v>17</v>
      </c>
      <c r="C3859">
        <v>2.7397260273972603E-3</v>
      </c>
    </row>
    <row r="3860" spans="1:3" x14ac:dyDescent="0.25">
      <c r="A3860" t="s">
        <v>206</v>
      </c>
      <c r="B3860">
        <v>4</v>
      </c>
      <c r="C3860">
        <v>2.7397260273972603E-3</v>
      </c>
    </row>
    <row r="3861" spans="1:3" x14ac:dyDescent="0.25">
      <c r="A3861" t="s">
        <v>219</v>
      </c>
      <c r="B3861">
        <v>9</v>
      </c>
      <c r="C3861">
        <v>2.7397260273972603E-3</v>
      </c>
    </row>
    <row r="3862" spans="1:3" x14ac:dyDescent="0.25">
      <c r="A3862" t="s">
        <v>190</v>
      </c>
      <c r="B3862">
        <v>2</v>
      </c>
      <c r="C3862">
        <v>2.7397260273972603E-3</v>
      </c>
    </row>
    <row r="3863" spans="1:3" x14ac:dyDescent="0.25">
      <c r="A3863" t="s">
        <v>233</v>
      </c>
      <c r="B3863">
        <v>16</v>
      </c>
      <c r="C3863">
        <v>2.7397260273972603E-3</v>
      </c>
    </row>
    <row r="3864" spans="1:3" x14ac:dyDescent="0.25">
      <c r="A3864" t="s">
        <v>245</v>
      </c>
      <c r="B3864">
        <v>19</v>
      </c>
      <c r="C3864">
        <v>2.7397260273972603E-3</v>
      </c>
    </row>
    <row r="3865" spans="1:3" x14ac:dyDescent="0.25">
      <c r="A3865" t="s">
        <v>172</v>
      </c>
      <c r="B3865">
        <v>6</v>
      </c>
      <c r="C3865">
        <v>2.7397260273972603E-3</v>
      </c>
    </row>
    <row r="3866" spans="1:3" x14ac:dyDescent="0.25">
      <c r="A3866" t="s">
        <v>118</v>
      </c>
      <c r="B3866">
        <v>0</v>
      </c>
      <c r="C3866">
        <v>2.7397260273972603E-3</v>
      </c>
    </row>
    <row r="3867" spans="1:3" x14ac:dyDescent="0.25">
      <c r="A3867" t="s">
        <v>97</v>
      </c>
      <c r="B3867">
        <v>22</v>
      </c>
      <c r="C3867">
        <v>2.7397260273972603E-3</v>
      </c>
    </row>
    <row r="3868" spans="1:3" x14ac:dyDescent="0.25">
      <c r="A3868" t="s">
        <v>230</v>
      </c>
      <c r="B3868">
        <v>9</v>
      </c>
      <c r="C3868">
        <v>2.7397260273972603E-3</v>
      </c>
    </row>
    <row r="3869" spans="1:3" x14ac:dyDescent="0.25">
      <c r="A3869" t="s">
        <v>244</v>
      </c>
      <c r="B3869">
        <v>16</v>
      </c>
      <c r="C3869">
        <v>2.7397260273972603E-3</v>
      </c>
    </row>
    <row r="3870" spans="1:3" x14ac:dyDescent="0.25">
      <c r="A3870" t="s">
        <v>147</v>
      </c>
      <c r="B3870">
        <v>5</v>
      </c>
      <c r="C3870">
        <v>2.7397260273972603E-3</v>
      </c>
    </row>
    <row r="3871" spans="1:3" x14ac:dyDescent="0.25">
      <c r="A3871" t="s">
        <v>236</v>
      </c>
      <c r="B3871">
        <v>18</v>
      </c>
      <c r="C3871">
        <v>2.7397260273972603E-3</v>
      </c>
    </row>
    <row r="3872" spans="1:3" x14ac:dyDescent="0.25">
      <c r="A3872" t="s">
        <v>239</v>
      </c>
      <c r="B3872">
        <v>16</v>
      </c>
      <c r="C3872">
        <v>2.7397260273972603E-3</v>
      </c>
    </row>
    <row r="3873" spans="1:3" x14ac:dyDescent="0.25">
      <c r="A3873" t="s">
        <v>192</v>
      </c>
      <c r="B3873">
        <v>2</v>
      </c>
      <c r="C3873">
        <v>2.7397260273972603E-3</v>
      </c>
    </row>
    <row r="3874" spans="1:3" x14ac:dyDescent="0.25">
      <c r="A3874" t="s">
        <v>203</v>
      </c>
      <c r="B3874">
        <v>2</v>
      </c>
      <c r="C3874">
        <v>2.7397260273972603E-3</v>
      </c>
    </row>
    <row r="3875" spans="1:3" x14ac:dyDescent="0.25">
      <c r="A3875" t="s">
        <v>208</v>
      </c>
      <c r="B3875">
        <v>4</v>
      </c>
      <c r="C3875">
        <v>2.7397260273972603E-3</v>
      </c>
    </row>
    <row r="3876" spans="1:3" x14ac:dyDescent="0.25">
      <c r="A3876" t="s">
        <v>209</v>
      </c>
      <c r="B3876">
        <v>4</v>
      </c>
      <c r="C3876">
        <v>2.7397260273972603E-3</v>
      </c>
    </row>
    <row r="3877" spans="1:3" x14ac:dyDescent="0.25">
      <c r="A3877" t="s">
        <v>177</v>
      </c>
      <c r="B3877">
        <v>13</v>
      </c>
      <c r="C3877">
        <v>2.7397260273972603E-3</v>
      </c>
    </row>
    <row r="3878" spans="1:3" x14ac:dyDescent="0.25">
      <c r="A3878" t="s">
        <v>192</v>
      </c>
      <c r="B3878">
        <v>20</v>
      </c>
      <c r="C3878">
        <v>2.7397260273972603E-3</v>
      </c>
    </row>
    <row r="3879" spans="1:3" x14ac:dyDescent="0.25">
      <c r="A3879" t="s">
        <v>124</v>
      </c>
      <c r="B3879">
        <v>7</v>
      </c>
      <c r="C3879">
        <v>2.7397260273972603E-3</v>
      </c>
    </row>
    <row r="3880" spans="1:3" x14ac:dyDescent="0.25">
      <c r="A3880" t="s">
        <v>195</v>
      </c>
      <c r="B3880">
        <v>2</v>
      </c>
      <c r="C3880">
        <v>2.7397260273972603E-3</v>
      </c>
    </row>
    <row r="3881" spans="1:3" x14ac:dyDescent="0.25">
      <c r="A3881" t="s">
        <v>216</v>
      </c>
      <c r="B3881">
        <v>6</v>
      </c>
      <c r="C3881">
        <v>2.7397260273972603E-3</v>
      </c>
    </row>
    <row r="3882" spans="1:3" x14ac:dyDescent="0.25">
      <c r="A3882" t="s">
        <v>219</v>
      </c>
      <c r="B3882">
        <v>21</v>
      </c>
      <c r="C3882">
        <v>2.7397260273972603E-3</v>
      </c>
    </row>
    <row r="3883" spans="1:3" x14ac:dyDescent="0.25">
      <c r="A3883" t="s">
        <v>140</v>
      </c>
      <c r="B3883">
        <v>22</v>
      </c>
      <c r="C3883">
        <v>2.7397260273972603E-3</v>
      </c>
    </row>
    <row r="3884" spans="1:3" x14ac:dyDescent="0.25">
      <c r="A3884" t="s">
        <v>229</v>
      </c>
      <c r="B3884">
        <v>23</v>
      </c>
      <c r="C3884">
        <v>2.7397260273972603E-3</v>
      </c>
    </row>
    <row r="3885" spans="1:3" x14ac:dyDescent="0.25">
      <c r="A3885" t="s">
        <v>204</v>
      </c>
      <c r="B3885">
        <v>17</v>
      </c>
      <c r="C3885">
        <v>2.7397260273972603E-3</v>
      </c>
    </row>
    <row r="3886" spans="1:3" x14ac:dyDescent="0.25">
      <c r="A3886" t="s">
        <v>233</v>
      </c>
      <c r="B3886">
        <v>18</v>
      </c>
      <c r="C3886">
        <v>2.7397260273972603E-3</v>
      </c>
    </row>
    <row r="3887" spans="1:3" x14ac:dyDescent="0.25">
      <c r="A3887" t="s">
        <v>134</v>
      </c>
      <c r="B3887">
        <v>4</v>
      </c>
      <c r="C3887">
        <v>2.7397260273972603E-3</v>
      </c>
    </row>
    <row r="3888" spans="1:3" x14ac:dyDescent="0.25">
      <c r="A3888" t="s">
        <v>43</v>
      </c>
      <c r="B3888">
        <v>5</v>
      </c>
      <c r="C3888">
        <v>2.7397260273972603E-3</v>
      </c>
    </row>
    <row r="3889" spans="1:3" x14ac:dyDescent="0.25">
      <c r="A3889" t="s">
        <v>231</v>
      </c>
      <c r="B3889">
        <v>7</v>
      </c>
      <c r="C3889">
        <v>2.7397260273972603E-3</v>
      </c>
    </row>
    <row r="3890" spans="1:3" x14ac:dyDescent="0.25">
      <c r="A3890" t="s">
        <v>153</v>
      </c>
      <c r="B3890">
        <v>3</v>
      </c>
      <c r="C3890">
        <v>2.7397260273972603E-3</v>
      </c>
    </row>
    <row r="3891" spans="1:3" x14ac:dyDescent="0.25">
      <c r="A3891" t="s">
        <v>235</v>
      </c>
      <c r="B3891">
        <v>7</v>
      </c>
      <c r="C3891">
        <v>2.7397260273972603E-3</v>
      </c>
    </row>
    <row r="3892" spans="1:3" x14ac:dyDescent="0.25">
      <c r="A3892" t="s">
        <v>241</v>
      </c>
      <c r="B3892">
        <v>15</v>
      </c>
      <c r="C3892">
        <v>2.7397260273972603E-3</v>
      </c>
    </row>
    <row r="3893" spans="1:3" x14ac:dyDescent="0.25">
      <c r="A3893" t="s">
        <v>224</v>
      </c>
      <c r="B3893">
        <v>2</v>
      </c>
      <c r="C3893">
        <v>2.7397260273972603E-3</v>
      </c>
    </row>
    <row r="3894" spans="1:3" x14ac:dyDescent="0.25">
      <c r="A3894" t="s">
        <v>87</v>
      </c>
      <c r="B3894">
        <v>2</v>
      </c>
      <c r="C3894">
        <v>2.7397260273972603E-3</v>
      </c>
    </row>
    <row r="3895" spans="1:3" x14ac:dyDescent="0.25">
      <c r="A3895" t="s">
        <v>150</v>
      </c>
      <c r="B3895">
        <v>1</v>
      </c>
      <c r="C3895">
        <v>2.7397260273972603E-3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36BAF-078C-47D3-9407-558662CE0EB2}">
  <sheetPr codeName="Sheet22">
    <tabColor theme="0" tint="-0.14999847407452621"/>
  </sheetPr>
  <dimension ref="A1:C252"/>
  <sheetViews>
    <sheetView workbookViewId="0">
      <selection activeCell="A2" sqref="A2:C252"/>
    </sheetView>
  </sheetViews>
  <sheetFormatPr defaultRowHeight="15" x14ac:dyDescent="0.25"/>
  <cols>
    <col min="1" max="1" width="37.5703125" bestFit="1" customWidth="1"/>
    <col min="2" max="2" width="4.85546875" bestFit="1" customWidth="1"/>
    <col min="3" max="3" width="12.42578125" bestFit="1" customWidth="1"/>
  </cols>
  <sheetData>
    <row r="1" spans="1:3" x14ac:dyDescent="0.25">
      <c r="A1" t="s">
        <v>12</v>
      </c>
      <c r="B1" t="s">
        <v>5</v>
      </c>
      <c r="C1" t="s">
        <v>265</v>
      </c>
    </row>
    <row r="2" spans="1:3" x14ac:dyDescent="0.25">
      <c r="A2" t="s">
        <v>21</v>
      </c>
      <c r="B2">
        <v>0</v>
      </c>
      <c r="C2">
        <v>7.3999999999999996E-2</v>
      </c>
    </row>
    <row r="3" spans="1:3" x14ac:dyDescent="0.25">
      <c r="A3" t="s">
        <v>21</v>
      </c>
      <c r="B3">
        <v>1</v>
      </c>
      <c r="C3">
        <v>1.9E-2</v>
      </c>
    </row>
    <row r="4" spans="1:3" x14ac:dyDescent="0.25">
      <c r="A4" t="s">
        <v>21</v>
      </c>
      <c r="B4">
        <v>2</v>
      </c>
      <c r="C4">
        <v>4.9000000000000002E-2</v>
      </c>
    </row>
    <row r="5" spans="1:3" x14ac:dyDescent="0.25">
      <c r="A5" t="s">
        <v>21</v>
      </c>
      <c r="B5">
        <v>3</v>
      </c>
      <c r="C5">
        <v>1.6E-2</v>
      </c>
    </row>
    <row r="6" spans="1:3" x14ac:dyDescent="0.25">
      <c r="A6" t="s">
        <v>21</v>
      </c>
      <c r="B6">
        <v>4</v>
      </c>
      <c r="C6">
        <v>1.9E-2</v>
      </c>
    </row>
    <row r="7" spans="1:3" x14ac:dyDescent="0.25">
      <c r="A7" t="s">
        <v>21</v>
      </c>
      <c r="B7">
        <v>5</v>
      </c>
      <c r="C7">
        <v>5.0000000000000001E-3</v>
      </c>
    </row>
    <row r="8" spans="1:3" x14ac:dyDescent="0.25">
      <c r="A8" t="s">
        <v>21</v>
      </c>
      <c r="B8">
        <v>6</v>
      </c>
      <c r="C8">
        <v>2.5000000000000001E-2</v>
      </c>
    </row>
    <row r="9" spans="1:3" x14ac:dyDescent="0.25">
      <c r="A9" t="s">
        <v>21</v>
      </c>
      <c r="B9">
        <v>7</v>
      </c>
      <c r="C9">
        <v>4.3999999999999997E-2</v>
      </c>
    </row>
    <row r="10" spans="1:3" x14ac:dyDescent="0.25">
      <c r="A10" t="s">
        <v>21</v>
      </c>
      <c r="B10">
        <v>8</v>
      </c>
      <c r="C10">
        <v>7.9000000000000001E-2</v>
      </c>
    </row>
    <row r="11" spans="1:3" x14ac:dyDescent="0.25">
      <c r="A11" t="s">
        <v>21</v>
      </c>
      <c r="B11">
        <v>9</v>
      </c>
      <c r="C11">
        <v>0.19700000000000001</v>
      </c>
    </row>
    <row r="12" spans="1:3" x14ac:dyDescent="0.25">
      <c r="A12" t="s">
        <v>21</v>
      </c>
      <c r="B12">
        <v>10</v>
      </c>
      <c r="C12">
        <v>0.16700000000000001</v>
      </c>
    </row>
    <row r="13" spans="1:3" x14ac:dyDescent="0.25">
      <c r="A13" t="s">
        <v>21</v>
      </c>
      <c r="B13">
        <v>11</v>
      </c>
      <c r="C13">
        <v>0.112</v>
      </c>
    </row>
    <row r="14" spans="1:3" x14ac:dyDescent="0.25">
      <c r="A14" t="s">
        <v>21</v>
      </c>
      <c r="B14">
        <v>12</v>
      </c>
      <c r="C14">
        <v>9.2999999999999999E-2</v>
      </c>
    </row>
    <row r="15" spans="1:3" x14ac:dyDescent="0.25">
      <c r="A15" t="s">
        <v>21</v>
      </c>
      <c r="B15">
        <v>13</v>
      </c>
      <c r="C15">
        <v>0.11799999999999999</v>
      </c>
    </row>
    <row r="16" spans="1:3" x14ac:dyDescent="0.25">
      <c r="A16" t="s">
        <v>21</v>
      </c>
      <c r="B16">
        <v>14</v>
      </c>
      <c r="C16">
        <v>0.13400000000000001</v>
      </c>
    </row>
    <row r="17" spans="1:3" x14ac:dyDescent="0.25">
      <c r="A17" t="s">
        <v>21</v>
      </c>
      <c r="B17">
        <v>15</v>
      </c>
      <c r="C17">
        <v>0.13700000000000001</v>
      </c>
    </row>
    <row r="18" spans="1:3" x14ac:dyDescent="0.25">
      <c r="A18" t="s">
        <v>21</v>
      </c>
      <c r="B18">
        <v>16</v>
      </c>
      <c r="C18">
        <v>0.14799999999999999</v>
      </c>
    </row>
    <row r="19" spans="1:3" x14ac:dyDescent="0.25">
      <c r="A19" t="s">
        <v>21</v>
      </c>
      <c r="B19">
        <v>17</v>
      </c>
      <c r="C19">
        <v>0.214</v>
      </c>
    </row>
    <row r="20" spans="1:3" x14ac:dyDescent="0.25">
      <c r="A20" t="s">
        <v>21</v>
      </c>
      <c r="B20">
        <v>18</v>
      </c>
      <c r="C20">
        <v>0.186</v>
      </c>
    </row>
    <row r="21" spans="1:3" x14ac:dyDescent="0.25">
      <c r="A21" t="s">
        <v>21</v>
      </c>
      <c r="B21">
        <v>19</v>
      </c>
      <c r="C21">
        <v>0.189</v>
      </c>
    </row>
    <row r="22" spans="1:3" x14ac:dyDescent="0.25">
      <c r="A22" t="s">
        <v>21</v>
      </c>
      <c r="B22">
        <v>20</v>
      </c>
      <c r="C22">
        <v>0.123</v>
      </c>
    </row>
    <row r="23" spans="1:3" x14ac:dyDescent="0.25">
      <c r="A23" t="s">
        <v>21</v>
      </c>
      <c r="B23">
        <v>21</v>
      </c>
      <c r="C23">
        <v>8.2000000000000003E-2</v>
      </c>
    </row>
    <row r="24" spans="1:3" x14ac:dyDescent="0.25">
      <c r="A24" t="s">
        <v>21</v>
      </c>
      <c r="B24">
        <v>22</v>
      </c>
      <c r="C24">
        <v>9.6000000000000002E-2</v>
      </c>
    </row>
    <row r="25" spans="1:3" x14ac:dyDescent="0.25">
      <c r="A25" t="s">
        <v>21</v>
      </c>
      <c r="B25">
        <v>23</v>
      </c>
      <c r="C25">
        <v>6.8000000000000005E-2</v>
      </c>
    </row>
    <row r="26" spans="1:3" x14ac:dyDescent="0.25">
      <c r="A26" t="s">
        <v>32</v>
      </c>
      <c r="B26">
        <v>0</v>
      </c>
      <c r="C26">
        <v>5.5E-2</v>
      </c>
    </row>
    <row r="27" spans="1:3" x14ac:dyDescent="0.25">
      <c r="A27" t="s">
        <v>32</v>
      </c>
      <c r="B27">
        <v>1</v>
      </c>
      <c r="C27">
        <v>2.5000000000000001E-2</v>
      </c>
    </row>
    <row r="28" spans="1:3" x14ac:dyDescent="0.25">
      <c r="A28" t="s">
        <v>32</v>
      </c>
      <c r="B28">
        <v>2</v>
      </c>
      <c r="C28">
        <v>0.03</v>
      </c>
    </row>
    <row r="29" spans="1:3" x14ac:dyDescent="0.25">
      <c r="A29" t="s">
        <v>32</v>
      </c>
      <c r="B29">
        <v>3</v>
      </c>
      <c r="C29">
        <v>2.5000000000000001E-2</v>
      </c>
    </row>
    <row r="30" spans="1:3" x14ac:dyDescent="0.25">
      <c r="A30" t="s">
        <v>32</v>
      </c>
      <c r="B30">
        <v>4</v>
      </c>
      <c r="C30">
        <v>1.6E-2</v>
      </c>
    </row>
    <row r="31" spans="1:3" x14ac:dyDescent="0.25">
      <c r="A31" t="s">
        <v>32</v>
      </c>
      <c r="B31">
        <v>5</v>
      </c>
      <c r="C31">
        <v>1.9E-2</v>
      </c>
    </row>
    <row r="32" spans="1:3" x14ac:dyDescent="0.25">
      <c r="A32" t="s">
        <v>32</v>
      </c>
      <c r="B32">
        <v>6</v>
      </c>
      <c r="C32">
        <v>2.1999999999999999E-2</v>
      </c>
    </row>
    <row r="33" spans="1:3" x14ac:dyDescent="0.25">
      <c r="A33" t="s">
        <v>32</v>
      </c>
      <c r="B33">
        <v>7</v>
      </c>
      <c r="C33">
        <v>9.9000000000000005E-2</v>
      </c>
    </row>
    <row r="34" spans="1:3" x14ac:dyDescent="0.25">
      <c r="A34" t="s">
        <v>32</v>
      </c>
      <c r="B34">
        <v>8</v>
      </c>
      <c r="C34">
        <v>0.11799999999999999</v>
      </c>
    </row>
    <row r="35" spans="1:3" x14ac:dyDescent="0.25">
      <c r="A35" t="s">
        <v>32</v>
      </c>
      <c r="B35">
        <v>9</v>
      </c>
      <c r="C35">
        <v>0.126</v>
      </c>
    </row>
    <row r="36" spans="1:3" x14ac:dyDescent="0.25">
      <c r="A36" t="s">
        <v>32</v>
      </c>
      <c r="B36">
        <v>10</v>
      </c>
      <c r="C36">
        <v>0.11799999999999999</v>
      </c>
    </row>
    <row r="37" spans="1:3" x14ac:dyDescent="0.25">
      <c r="A37" t="s">
        <v>32</v>
      </c>
      <c r="B37">
        <v>11</v>
      </c>
      <c r="C37">
        <v>0.126</v>
      </c>
    </row>
    <row r="38" spans="1:3" x14ac:dyDescent="0.25">
      <c r="A38" t="s">
        <v>32</v>
      </c>
      <c r="B38">
        <v>12</v>
      </c>
      <c r="C38">
        <v>0.14799999999999999</v>
      </c>
    </row>
    <row r="39" spans="1:3" x14ac:dyDescent="0.25">
      <c r="A39" t="s">
        <v>32</v>
      </c>
      <c r="B39">
        <v>13</v>
      </c>
      <c r="C39">
        <v>0.126</v>
      </c>
    </row>
    <row r="40" spans="1:3" x14ac:dyDescent="0.25">
      <c r="A40" t="s">
        <v>32</v>
      </c>
      <c r="B40">
        <v>14</v>
      </c>
      <c r="C40">
        <v>0.14000000000000001</v>
      </c>
    </row>
    <row r="41" spans="1:3" x14ac:dyDescent="0.25">
      <c r="A41" t="s">
        <v>32</v>
      </c>
      <c r="B41">
        <v>15</v>
      </c>
      <c r="C41">
        <v>0.17499999999999999</v>
      </c>
    </row>
    <row r="42" spans="1:3" x14ac:dyDescent="0.25">
      <c r="A42" t="s">
        <v>32</v>
      </c>
      <c r="B42">
        <v>16</v>
      </c>
      <c r="C42">
        <v>0.17</v>
      </c>
    </row>
    <row r="43" spans="1:3" x14ac:dyDescent="0.25">
      <c r="A43" t="s">
        <v>32</v>
      </c>
      <c r="B43">
        <v>17</v>
      </c>
      <c r="C43">
        <v>0.115</v>
      </c>
    </row>
    <row r="44" spans="1:3" x14ac:dyDescent="0.25">
      <c r="A44" t="s">
        <v>32</v>
      </c>
      <c r="B44">
        <v>18</v>
      </c>
      <c r="C44">
        <v>0.189</v>
      </c>
    </row>
    <row r="45" spans="1:3" x14ac:dyDescent="0.25">
      <c r="A45" t="s">
        <v>32</v>
      </c>
      <c r="B45">
        <v>19</v>
      </c>
      <c r="C45">
        <v>0.153</v>
      </c>
    </row>
    <row r="46" spans="1:3" x14ac:dyDescent="0.25">
      <c r="A46" t="s">
        <v>32</v>
      </c>
      <c r="B46">
        <v>20</v>
      </c>
      <c r="C46">
        <v>0.115</v>
      </c>
    </row>
    <row r="47" spans="1:3" x14ac:dyDescent="0.25">
      <c r="A47" t="s">
        <v>32</v>
      </c>
      <c r="B47">
        <v>21</v>
      </c>
      <c r="C47">
        <v>7.9000000000000001E-2</v>
      </c>
    </row>
    <row r="48" spans="1:3" x14ac:dyDescent="0.25">
      <c r="A48" t="s">
        <v>32</v>
      </c>
      <c r="B48">
        <v>22</v>
      </c>
      <c r="C48">
        <v>4.3999999999999997E-2</v>
      </c>
    </row>
    <row r="49" spans="1:3" x14ac:dyDescent="0.25">
      <c r="A49" t="s">
        <v>32</v>
      </c>
      <c r="B49">
        <v>23</v>
      </c>
      <c r="C49">
        <v>5.1999999999999998E-2</v>
      </c>
    </row>
    <row r="50" spans="1:3" x14ac:dyDescent="0.25">
      <c r="A50" t="s">
        <v>25</v>
      </c>
      <c r="B50">
        <v>0</v>
      </c>
      <c r="C50">
        <v>2.5000000000000001E-2</v>
      </c>
    </row>
    <row r="51" spans="1:3" x14ac:dyDescent="0.25">
      <c r="A51" t="s">
        <v>25</v>
      </c>
      <c r="B51">
        <v>1</v>
      </c>
      <c r="C51">
        <v>5.0000000000000001E-3</v>
      </c>
    </row>
    <row r="52" spans="1:3" x14ac:dyDescent="0.25">
      <c r="A52" t="s">
        <v>25</v>
      </c>
      <c r="B52">
        <v>2</v>
      </c>
      <c r="C52">
        <v>1.0999999999999999E-2</v>
      </c>
    </row>
    <row r="53" spans="1:3" x14ac:dyDescent="0.25">
      <c r="A53" t="s">
        <v>25</v>
      </c>
      <c r="B53">
        <v>3</v>
      </c>
      <c r="C53">
        <v>3.0000000000000001E-3</v>
      </c>
    </row>
    <row r="54" spans="1:3" x14ac:dyDescent="0.25">
      <c r="A54" t="s">
        <v>25</v>
      </c>
      <c r="B54">
        <v>4</v>
      </c>
      <c r="C54">
        <v>8.0000000000000002E-3</v>
      </c>
    </row>
    <row r="55" spans="1:3" x14ac:dyDescent="0.25">
      <c r="A55" t="s">
        <v>25</v>
      </c>
      <c r="B55">
        <v>5</v>
      </c>
      <c r="C55">
        <v>5.0000000000000001E-3</v>
      </c>
    </row>
    <row r="56" spans="1:3" x14ac:dyDescent="0.25">
      <c r="A56" t="s">
        <v>25</v>
      </c>
      <c r="B56">
        <v>6</v>
      </c>
      <c r="C56">
        <v>3.0000000000000001E-3</v>
      </c>
    </row>
    <row r="57" spans="1:3" x14ac:dyDescent="0.25">
      <c r="A57" t="s">
        <v>25</v>
      </c>
      <c r="B57">
        <v>7</v>
      </c>
      <c r="C57">
        <v>4.3999999999999997E-2</v>
      </c>
    </row>
    <row r="58" spans="1:3" x14ac:dyDescent="0.25">
      <c r="A58" t="s">
        <v>25</v>
      </c>
      <c r="B58">
        <v>8</v>
      </c>
      <c r="C58">
        <v>4.1000000000000002E-2</v>
      </c>
    </row>
    <row r="59" spans="1:3" x14ac:dyDescent="0.25">
      <c r="A59" t="s">
        <v>25</v>
      </c>
      <c r="B59">
        <v>9</v>
      </c>
      <c r="C59">
        <v>7.0999999999999994E-2</v>
      </c>
    </row>
    <row r="60" spans="1:3" x14ac:dyDescent="0.25">
      <c r="A60" t="s">
        <v>25</v>
      </c>
      <c r="B60">
        <v>10</v>
      </c>
      <c r="C60">
        <v>4.7E-2</v>
      </c>
    </row>
    <row r="61" spans="1:3" x14ac:dyDescent="0.25">
      <c r="A61" t="s">
        <v>25</v>
      </c>
      <c r="B61">
        <v>11</v>
      </c>
      <c r="C61">
        <v>4.7E-2</v>
      </c>
    </row>
    <row r="62" spans="1:3" x14ac:dyDescent="0.25">
      <c r="A62" t="s">
        <v>25</v>
      </c>
      <c r="B62">
        <v>12</v>
      </c>
      <c r="C62">
        <v>1.4E-2</v>
      </c>
    </row>
    <row r="63" spans="1:3" x14ac:dyDescent="0.25">
      <c r="A63" t="s">
        <v>25</v>
      </c>
      <c r="B63">
        <v>13</v>
      </c>
      <c r="C63">
        <v>3.5999999999999997E-2</v>
      </c>
    </row>
    <row r="64" spans="1:3" x14ac:dyDescent="0.25">
      <c r="A64" t="s">
        <v>25</v>
      </c>
      <c r="B64">
        <v>14</v>
      </c>
      <c r="C64">
        <v>3.5999999999999997E-2</v>
      </c>
    </row>
    <row r="65" spans="1:3" x14ac:dyDescent="0.25">
      <c r="A65" t="s">
        <v>25</v>
      </c>
      <c r="B65">
        <v>15</v>
      </c>
      <c r="C65">
        <v>5.5E-2</v>
      </c>
    </row>
    <row r="66" spans="1:3" x14ac:dyDescent="0.25">
      <c r="A66" t="s">
        <v>25</v>
      </c>
      <c r="B66">
        <v>16</v>
      </c>
      <c r="C66">
        <v>4.7E-2</v>
      </c>
    </row>
    <row r="67" spans="1:3" x14ac:dyDescent="0.25">
      <c r="A67" t="s">
        <v>25</v>
      </c>
      <c r="B67">
        <v>17</v>
      </c>
      <c r="C67">
        <v>6.3E-2</v>
      </c>
    </row>
    <row r="68" spans="1:3" x14ac:dyDescent="0.25">
      <c r="A68" t="s">
        <v>25</v>
      </c>
      <c r="B68">
        <v>18</v>
      </c>
      <c r="C68">
        <v>6.6000000000000003E-2</v>
      </c>
    </row>
    <row r="69" spans="1:3" x14ac:dyDescent="0.25">
      <c r="A69" t="s">
        <v>25</v>
      </c>
      <c r="B69">
        <v>19</v>
      </c>
      <c r="C69">
        <v>7.6999999999999999E-2</v>
      </c>
    </row>
    <row r="70" spans="1:3" x14ac:dyDescent="0.25">
      <c r="A70" t="s">
        <v>25</v>
      </c>
      <c r="B70">
        <v>20</v>
      </c>
      <c r="C70">
        <v>3.3000000000000002E-2</v>
      </c>
    </row>
    <row r="71" spans="1:3" x14ac:dyDescent="0.25">
      <c r="A71" t="s">
        <v>25</v>
      </c>
      <c r="B71">
        <v>21</v>
      </c>
      <c r="C71">
        <v>2.1999999999999999E-2</v>
      </c>
    </row>
    <row r="72" spans="1:3" x14ac:dyDescent="0.25">
      <c r="A72" t="s">
        <v>25</v>
      </c>
      <c r="B72">
        <v>22</v>
      </c>
      <c r="C72">
        <v>1.6E-2</v>
      </c>
    </row>
    <row r="73" spans="1:3" x14ac:dyDescent="0.25">
      <c r="A73" t="s">
        <v>25</v>
      </c>
      <c r="B73">
        <v>23</v>
      </c>
      <c r="C73">
        <v>2.5000000000000001E-2</v>
      </c>
    </row>
    <row r="74" spans="1:3" x14ac:dyDescent="0.25">
      <c r="A74" t="s">
        <v>42</v>
      </c>
      <c r="B74">
        <v>0</v>
      </c>
      <c r="C74">
        <v>4.1000000000000002E-2</v>
      </c>
    </row>
    <row r="75" spans="1:3" x14ac:dyDescent="0.25">
      <c r="A75" t="s">
        <v>42</v>
      </c>
      <c r="B75">
        <v>1</v>
      </c>
      <c r="C75">
        <v>1.0999999999999999E-2</v>
      </c>
    </row>
    <row r="76" spans="1:3" x14ac:dyDescent="0.25">
      <c r="A76" t="s">
        <v>42</v>
      </c>
      <c r="B76">
        <v>2</v>
      </c>
      <c r="C76">
        <v>2.5000000000000001E-2</v>
      </c>
    </row>
    <row r="77" spans="1:3" x14ac:dyDescent="0.25">
      <c r="A77" t="s">
        <v>42</v>
      </c>
      <c r="B77">
        <v>3</v>
      </c>
      <c r="C77">
        <v>3.0000000000000001E-3</v>
      </c>
    </row>
    <row r="78" spans="1:3" x14ac:dyDescent="0.25">
      <c r="A78" t="s">
        <v>42</v>
      </c>
      <c r="B78">
        <v>4</v>
      </c>
      <c r="C78">
        <v>8.0000000000000002E-3</v>
      </c>
    </row>
    <row r="79" spans="1:3" x14ac:dyDescent="0.25">
      <c r="A79" t="s">
        <v>42</v>
      </c>
      <c r="B79">
        <v>5</v>
      </c>
      <c r="C79">
        <v>1.4E-2</v>
      </c>
    </row>
    <row r="80" spans="1:3" x14ac:dyDescent="0.25">
      <c r="A80" t="s">
        <v>42</v>
      </c>
      <c r="B80">
        <v>6</v>
      </c>
      <c r="C80">
        <v>2.7E-2</v>
      </c>
    </row>
    <row r="81" spans="1:3" x14ac:dyDescent="0.25">
      <c r="A81" t="s">
        <v>42</v>
      </c>
      <c r="B81">
        <v>7</v>
      </c>
      <c r="C81">
        <v>2.7E-2</v>
      </c>
    </row>
    <row r="82" spans="1:3" x14ac:dyDescent="0.25">
      <c r="A82" t="s">
        <v>42</v>
      </c>
      <c r="B82">
        <v>8</v>
      </c>
      <c r="C82">
        <v>7.0999999999999994E-2</v>
      </c>
    </row>
    <row r="83" spans="1:3" x14ac:dyDescent="0.25">
      <c r="A83" t="s">
        <v>42</v>
      </c>
      <c r="B83">
        <v>9</v>
      </c>
      <c r="C83">
        <v>9.2999999999999999E-2</v>
      </c>
    </row>
    <row r="84" spans="1:3" x14ac:dyDescent="0.25">
      <c r="A84" t="s">
        <v>42</v>
      </c>
      <c r="B84">
        <v>10</v>
      </c>
      <c r="C84">
        <v>8.5000000000000006E-2</v>
      </c>
    </row>
    <row r="85" spans="1:3" x14ac:dyDescent="0.25">
      <c r="A85" t="s">
        <v>42</v>
      </c>
      <c r="B85">
        <v>11</v>
      </c>
      <c r="C85">
        <v>8.2000000000000003E-2</v>
      </c>
    </row>
    <row r="86" spans="1:3" x14ac:dyDescent="0.25">
      <c r="A86" t="s">
        <v>42</v>
      </c>
      <c r="B86">
        <v>12</v>
      </c>
      <c r="C86">
        <v>6.6000000000000003E-2</v>
      </c>
    </row>
    <row r="87" spans="1:3" x14ac:dyDescent="0.25">
      <c r="A87" t="s">
        <v>42</v>
      </c>
      <c r="B87">
        <v>13</v>
      </c>
      <c r="C87">
        <v>8.7999999999999995E-2</v>
      </c>
    </row>
    <row r="88" spans="1:3" x14ac:dyDescent="0.25">
      <c r="A88" t="s">
        <v>42</v>
      </c>
      <c r="B88">
        <v>14</v>
      </c>
      <c r="C88">
        <v>0.107</v>
      </c>
    </row>
    <row r="89" spans="1:3" x14ac:dyDescent="0.25">
      <c r="A89" t="s">
        <v>42</v>
      </c>
      <c r="B89">
        <v>15</v>
      </c>
      <c r="C89">
        <v>7.6999999999999999E-2</v>
      </c>
    </row>
    <row r="90" spans="1:3" x14ac:dyDescent="0.25">
      <c r="A90" t="s">
        <v>42</v>
      </c>
      <c r="B90">
        <v>16</v>
      </c>
      <c r="C90">
        <v>9.6000000000000002E-2</v>
      </c>
    </row>
    <row r="91" spans="1:3" x14ac:dyDescent="0.25">
      <c r="A91" t="s">
        <v>42</v>
      </c>
      <c r="B91">
        <v>17</v>
      </c>
      <c r="C91">
        <v>0.11799999999999999</v>
      </c>
    </row>
    <row r="92" spans="1:3" x14ac:dyDescent="0.25">
      <c r="A92" t="s">
        <v>42</v>
      </c>
      <c r="B92">
        <v>18</v>
      </c>
      <c r="C92">
        <v>0.13400000000000001</v>
      </c>
    </row>
    <row r="93" spans="1:3" x14ac:dyDescent="0.25">
      <c r="A93" t="s">
        <v>42</v>
      </c>
      <c r="B93">
        <v>19</v>
      </c>
      <c r="C93">
        <v>0.115</v>
      </c>
    </row>
    <row r="94" spans="1:3" x14ac:dyDescent="0.25">
      <c r="A94" t="s">
        <v>42</v>
      </c>
      <c r="B94">
        <v>20</v>
      </c>
      <c r="C94">
        <v>7.3999999999999996E-2</v>
      </c>
    </row>
    <row r="95" spans="1:3" x14ac:dyDescent="0.25">
      <c r="A95" t="s">
        <v>42</v>
      </c>
      <c r="B95">
        <v>21</v>
      </c>
      <c r="C95">
        <v>4.9000000000000002E-2</v>
      </c>
    </row>
    <row r="96" spans="1:3" x14ac:dyDescent="0.25">
      <c r="A96" t="s">
        <v>42</v>
      </c>
      <c r="B96">
        <v>22</v>
      </c>
      <c r="C96">
        <v>6.6000000000000003E-2</v>
      </c>
    </row>
    <row r="97" spans="1:3" x14ac:dyDescent="0.25">
      <c r="A97" t="s">
        <v>42</v>
      </c>
      <c r="B97">
        <v>23</v>
      </c>
      <c r="C97">
        <v>2.1999999999999999E-2</v>
      </c>
    </row>
    <row r="98" spans="1:3" x14ac:dyDescent="0.25">
      <c r="A98" t="s">
        <v>28</v>
      </c>
      <c r="B98">
        <v>0</v>
      </c>
      <c r="C98">
        <v>4.7E-2</v>
      </c>
    </row>
    <row r="99" spans="1:3" x14ac:dyDescent="0.25">
      <c r="A99" t="s">
        <v>28</v>
      </c>
      <c r="B99">
        <v>1</v>
      </c>
      <c r="C99">
        <v>2.7E-2</v>
      </c>
    </row>
    <row r="100" spans="1:3" x14ac:dyDescent="0.25">
      <c r="A100" t="s">
        <v>28</v>
      </c>
      <c r="B100">
        <v>2</v>
      </c>
      <c r="C100">
        <v>3.5999999999999997E-2</v>
      </c>
    </row>
    <row r="101" spans="1:3" x14ac:dyDescent="0.25">
      <c r="A101" t="s">
        <v>28</v>
      </c>
      <c r="B101">
        <v>3</v>
      </c>
      <c r="C101">
        <v>8.0000000000000002E-3</v>
      </c>
    </row>
    <row r="102" spans="1:3" x14ac:dyDescent="0.25">
      <c r="A102" t="s">
        <v>28</v>
      </c>
      <c r="B102">
        <v>4</v>
      </c>
      <c r="C102">
        <v>1.4E-2</v>
      </c>
    </row>
    <row r="103" spans="1:3" x14ac:dyDescent="0.25">
      <c r="A103" t="s">
        <v>28</v>
      </c>
      <c r="B103">
        <v>5</v>
      </c>
      <c r="C103">
        <v>1.6E-2</v>
      </c>
    </row>
    <row r="104" spans="1:3" x14ac:dyDescent="0.25">
      <c r="A104" t="s">
        <v>28</v>
      </c>
      <c r="B104">
        <v>6</v>
      </c>
      <c r="C104">
        <v>3.3000000000000002E-2</v>
      </c>
    </row>
    <row r="105" spans="1:3" x14ac:dyDescent="0.25">
      <c r="A105" t="s">
        <v>28</v>
      </c>
      <c r="B105">
        <v>7</v>
      </c>
      <c r="C105">
        <v>6.3E-2</v>
      </c>
    </row>
    <row r="106" spans="1:3" x14ac:dyDescent="0.25">
      <c r="A106" t="s">
        <v>28</v>
      </c>
      <c r="B106">
        <v>8</v>
      </c>
      <c r="C106">
        <v>0.104</v>
      </c>
    </row>
    <row r="107" spans="1:3" x14ac:dyDescent="0.25">
      <c r="A107" t="s">
        <v>28</v>
      </c>
      <c r="B107">
        <v>9</v>
      </c>
      <c r="C107">
        <v>0.20799999999999999</v>
      </c>
    </row>
    <row r="108" spans="1:3" x14ac:dyDescent="0.25">
      <c r="A108" t="s">
        <v>28</v>
      </c>
      <c r="B108">
        <v>10</v>
      </c>
      <c r="C108">
        <v>0.189</v>
      </c>
    </row>
    <row r="109" spans="1:3" x14ac:dyDescent="0.25">
      <c r="A109" t="s">
        <v>28</v>
      </c>
      <c r="B109">
        <v>11</v>
      </c>
      <c r="C109">
        <v>0.153</v>
      </c>
    </row>
    <row r="110" spans="1:3" x14ac:dyDescent="0.25">
      <c r="A110" t="s">
        <v>28</v>
      </c>
      <c r="B110">
        <v>12</v>
      </c>
      <c r="C110">
        <v>0.09</v>
      </c>
    </row>
    <row r="111" spans="1:3" x14ac:dyDescent="0.25">
      <c r="A111" t="s">
        <v>28</v>
      </c>
      <c r="B111">
        <v>13</v>
      </c>
      <c r="C111">
        <v>9.2999999999999999E-2</v>
      </c>
    </row>
    <row r="112" spans="1:3" x14ac:dyDescent="0.25">
      <c r="A112" t="s">
        <v>28</v>
      </c>
      <c r="B112">
        <v>14</v>
      </c>
      <c r="C112">
        <v>7.9000000000000001E-2</v>
      </c>
    </row>
    <row r="113" spans="1:3" x14ac:dyDescent="0.25">
      <c r="A113" t="s">
        <v>28</v>
      </c>
      <c r="B113">
        <v>15</v>
      </c>
      <c r="C113">
        <v>0.123</v>
      </c>
    </row>
    <row r="114" spans="1:3" x14ac:dyDescent="0.25">
      <c r="A114" t="s">
        <v>28</v>
      </c>
      <c r="B114">
        <v>16</v>
      </c>
      <c r="C114">
        <v>9.2999999999999999E-2</v>
      </c>
    </row>
    <row r="115" spans="1:3" x14ac:dyDescent="0.25">
      <c r="A115" t="s">
        <v>28</v>
      </c>
      <c r="B115">
        <v>17</v>
      </c>
      <c r="C115">
        <v>0.22500000000000001</v>
      </c>
    </row>
    <row r="116" spans="1:3" x14ac:dyDescent="0.25">
      <c r="A116" t="s">
        <v>28</v>
      </c>
      <c r="B116">
        <v>18</v>
      </c>
      <c r="C116">
        <v>0.151</v>
      </c>
    </row>
    <row r="117" spans="1:3" x14ac:dyDescent="0.25">
      <c r="A117" t="s">
        <v>28</v>
      </c>
      <c r="B117">
        <v>19</v>
      </c>
      <c r="C117">
        <v>0.16400000000000001</v>
      </c>
    </row>
    <row r="118" spans="1:3" x14ac:dyDescent="0.25">
      <c r="A118" t="s">
        <v>28</v>
      </c>
      <c r="B118">
        <v>20</v>
      </c>
      <c r="C118">
        <v>9.9000000000000005E-2</v>
      </c>
    </row>
    <row r="119" spans="1:3" x14ac:dyDescent="0.25">
      <c r="A119" t="s">
        <v>28</v>
      </c>
      <c r="B119">
        <v>21</v>
      </c>
      <c r="C119">
        <v>7.0999999999999994E-2</v>
      </c>
    </row>
    <row r="120" spans="1:3" x14ac:dyDescent="0.25">
      <c r="A120" t="s">
        <v>28</v>
      </c>
      <c r="B120">
        <v>22</v>
      </c>
      <c r="C120">
        <v>4.3999999999999997E-2</v>
      </c>
    </row>
    <row r="121" spans="1:3" x14ac:dyDescent="0.25">
      <c r="A121" t="s">
        <v>28</v>
      </c>
      <c r="B121">
        <v>23</v>
      </c>
      <c r="C121">
        <v>5.8000000000000003E-2</v>
      </c>
    </row>
    <row r="122" spans="1:3" x14ac:dyDescent="0.25">
      <c r="A122" t="s">
        <v>284</v>
      </c>
      <c r="B122">
        <v>7</v>
      </c>
      <c r="C122">
        <v>3.3000000000000002E-2</v>
      </c>
    </row>
    <row r="123" spans="1:3" x14ac:dyDescent="0.25">
      <c r="A123" t="s">
        <v>284</v>
      </c>
      <c r="B123">
        <v>8</v>
      </c>
      <c r="C123">
        <v>3.3000000000000002E-2</v>
      </c>
    </row>
    <row r="124" spans="1:3" x14ac:dyDescent="0.25">
      <c r="A124" t="s">
        <v>284</v>
      </c>
      <c r="B124">
        <v>9</v>
      </c>
      <c r="C124">
        <v>3.5999999999999997E-2</v>
      </c>
    </row>
    <row r="125" spans="1:3" x14ac:dyDescent="0.25">
      <c r="A125" t="s">
        <v>284</v>
      </c>
      <c r="B125">
        <v>10</v>
      </c>
      <c r="C125">
        <v>4.9000000000000002E-2</v>
      </c>
    </row>
    <row r="126" spans="1:3" x14ac:dyDescent="0.25">
      <c r="A126" t="s">
        <v>284</v>
      </c>
      <c r="B126">
        <v>11</v>
      </c>
      <c r="C126">
        <v>4.3999999999999997E-2</v>
      </c>
    </row>
    <row r="127" spans="1:3" x14ac:dyDescent="0.25">
      <c r="A127" t="s">
        <v>284</v>
      </c>
      <c r="B127">
        <v>12</v>
      </c>
      <c r="C127">
        <v>1.6E-2</v>
      </c>
    </row>
    <row r="128" spans="1:3" x14ac:dyDescent="0.25">
      <c r="A128" t="s">
        <v>284</v>
      </c>
      <c r="B128">
        <v>13</v>
      </c>
      <c r="C128">
        <v>5.8000000000000003E-2</v>
      </c>
    </row>
    <row r="129" spans="1:3" x14ac:dyDescent="0.25">
      <c r="A129" t="s">
        <v>43</v>
      </c>
      <c r="B129">
        <v>0</v>
      </c>
      <c r="C129">
        <v>1.0999999999999999E-2</v>
      </c>
    </row>
    <row r="130" spans="1:3" x14ac:dyDescent="0.25">
      <c r="A130" t="s">
        <v>43</v>
      </c>
      <c r="B130">
        <v>1</v>
      </c>
      <c r="C130">
        <v>2.7E-2</v>
      </c>
    </row>
    <row r="131" spans="1:3" x14ac:dyDescent="0.25">
      <c r="A131" t="s">
        <v>43</v>
      </c>
      <c r="B131">
        <v>2</v>
      </c>
      <c r="C131">
        <v>3.0000000000000001E-3</v>
      </c>
    </row>
    <row r="132" spans="1:3" x14ac:dyDescent="0.25">
      <c r="A132" t="s">
        <v>43</v>
      </c>
      <c r="B132">
        <v>4</v>
      </c>
      <c r="C132">
        <v>5.0000000000000001E-3</v>
      </c>
    </row>
    <row r="133" spans="1:3" x14ac:dyDescent="0.25">
      <c r="A133" t="s">
        <v>43</v>
      </c>
      <c r="B133">
        <v>5</v>
      </c>
      <c r="C133">
        <v>3.0000000000000001E-3</v>
      </c>
    </row>
    <row r="134" spans="1:3" x14ac:dyDescent="0.25">
      <c r="A134" t="s">
        <v>43</v>
      </c>
      <c r="B134">
        <v>6</v>
      </c>
      <c r="C134">
        <v>5.0000000000000001E-3</v>
      </c>
    </row>
    <row r="135" spans="1:3" x14ac:dyDescent="0.25">
      <c r="A135" t="s">
        <v>43</v>
      </c>
      <c r="B135">
        <v>14</v>
      </c>
      <c r="C135">
        <v>3.3000000000000002E-2</v>
      </c>
    </row>
    <row r="136" spans="1:3" x14ac:dyDescent="0.25">
      <c r="A136" t="s">
        <v>43</v>
      </c>
      <c r="B136">
        <v>15</v>
      </c>
      <c r="C136">
        <v>6.6000000000000003E-2</v>
      </c>
    </row>
    <row r="137" spans="1:3" x14ac:dyDescent="0.25">
      <c r="A137" t="s">
        <v>43</v>
      </c>
      <c r="B137">
        <v>16</v>
      </c>
      <c r="C137">
        <v>2.7E-2</v>
      </c>
    </row>
    <row r="138" spans="1:3" x14ac:dyDescent="0.25">
      <c r="A138" t="s">
        <v>43</v>
      </c>
      <c r="B138">
        <v>17</v>
      </c>
      <c r="C138">
        <v>0.06</v>
      </c>
    </row>
    <row r="139" spans="1:3" x14ac:dyDescent="0.25">
      <c r="A139" t="s">
        <v>43</v>
      </c>
      <c r="B139">
        <v>18</v>
      </c>
      <c r="C139">
        <v>0.09</v>
      </c>
    </row>
    <row r="140" spans="1:3" x14ac:dyDescent="0.25">
      <c r="A140" t="s">
        <v>43</v>
      </c>
      <c r="B140">
        <v>19</v>
      </c>
      <c r="C140">
        <v>2.5000000000000001E-2</v>
      </c>
    </row>
    <row r="141" spans="1:3" x14ac:dyDescent="0.25">
      <c r="A141" t="s">
        <v>43</v>
      </c>
      <c r="B141">
        <v>20</v>
      </c>
      <c r="C141">
        <v>4.1000000000000002E-2</v>
      </c>
    </row>
    <row r="142" spans="1:3" x14ac:dyDescent="0.25">
      <c r="A142" t="s">
        <v>43</v>
      </c>
      <c r="B142">
        <v>21</v>
      </c>
      <c r="C142">
        <v>3.3000000000000002E-2</v>
      </c>
    </row>
    <row r="143" spans="1:3" x14ac:dyDescent="0.25">
      <c r="A143" t="s">
        <v>43</v>
      </c>
      <c r="B143">
        <v>22</v>
      </c>
      <c r="C143">
        <v>1.4E-2</v>
      </c>
    </row>
    <row r="144" spans="1:3" x14ac:dyDescent="0.25">
      <c r="A144" t="s">
        <v>43</v>
      </c>
      <c r="B144">
        <v>23</v>
      </c>
      <c r="C144">
        <v>2.7E-2</v>
      </c>
    </row>
    <row r="145" spans="1:3" x14ac:dyDescent="0.25">
      <c r="A145" t="s">
        <v>30</v>
      </c>
      <c r="B145">
        <v>0</v>
      </c>
      <c r="C145">
        <v>5.1999999999999998E-2</v>
      </c>
    </row>
    <row r="146" spans="1:3" x14ac:dyDescent="0.25">
      <c r="A146" t="s">
        <v>30</v>
      </c>
      <c r="B146">
        <v>1</v>
      </c>
      <c r="C146">
        <v>4.1000000000000002E-2</v>
      </c>
    </row>
    <row r="147" spans="1:3" x14ac:dyDescent="0.25">
      <c r="A147" t="s">
        <v>30</v>
      </c>
      <c r="B147">
        <v>2</v>
      </c>
      <c r="C147">
        <v>4.3999999999999997E-2</v>
      </c>
    </row>
    <row r="148" spans="1:3" x14ac:dyDescent="0.25">
      <c r="A148" t="s">
        <v>30</v>
      </c>
      <c r="B148">
        <v>3</v>
      </c>
      <c r="C148">
        <v>1.9E-2</v>
      </c>
    </row>
    <row r="149" spans="1:3" x14ac:dyDescent="0.25">
      <c r="A149" t="s">
        <v>30</v>
      </c>
      <c r="B149">
        <v>4</v>
      </c>
      <c r="C149">
        <v>2.7E-2</v>
      </c>
    </row>
    <row r="150" spans="1:3" x14ac:dyDescent="0.25">
      <c r="A150" t="s">
        <v>30</v>
      </c>
      <c r="B150">
        <v>5</v>
      </c>
      <c r="C150">
        <v>1.9E-2</v>
      </c>
    </row>
    <row r="151" spans="1:3" x14ac:dyDescent="0.25">
      <c r="A151" t="s">
        <v>30</v>
      </c>
      <c r="B151">
        <v>6</v>
      </c>
      <c r="C151">
        <v>0.03</v>
      </c>
    </row>
    <row r="152" spans="1:3" x14ac:dyDescent="0.25">
      <c r="A152" t="s">
        <v>30</v>
      </c>
      <c r="B152">
        <v>7</v>
      </c>
      <c r="C152">
        <v>9.9000000000000005E-2</v>
      </c>
    </row>
    <row r="153" spans="1:3" x14ac:dyDescent="0.25">
      <c r="A153" t="s">
        <v>30</v>
      </c>
      <c r="B153">
        <v>8</v>
      </c>
      <c r="C153">
        <v>0.16400000000000001</v>
      </c>
    </row>
    <row r="154" spans="1:3" x14ac:dyDescent="0.25">
      <c r="A154" t="s">
        <v>30</v>
      </c>
      <c r="B154">
        <v>9</v>
      </c>
      <c r="C154">
        <v>0.26</v>
      </c>
    </row>
    <row r="155" spans="1:3" x14ac:dyDescent="0.25">
      <c r="A155" t="s">
        <v>30</v>
      </c>
      <c r="B155">
        <v>10</v>
      </c>
      <c r="C155">
        <v>0.115</v>
      </c>
    </row>
    <row r="156" spans="1:3" x14ac:dyDescent="0.25">
      <c r="A156" t="s">
        <v>30</v>
      </c>
      <c r="B156">
        <v>11</v>
      </c>
      <c r="C156">
        <v>0.112</v>
      </c>
    </row>
    <row r="157" spans="1:3" x14ac:dyDescent="0.25">
      <c r="A157" t="s">
        <v>30</v>
      </c>
      <c r="B157">
        <v>12</v>
      </c>
      <c r="C157">
        <v>8.5000000000000006E-2</v>
      </c>
    </row>
    <row r="158" spans="1:3" x14ac:dyDescent="0.25">
      <c r="A158" t="s">
        <v>30</v>
      </c>
      <c r="B158">
        <v>13</v>
      </c>
      <c r="C158">
        <v>0.104</v>
      </c>
    </row>
    <row r="159" spans="1:3" x14ac:dyDescent="0.25">
      <c r="A159" t="s">
        <v>30</v>
      </c>
      <c r="B159">
        <v>14</v>
      </c>
      <c r="C159">
        <v>0.129</v>
      </c>
    </row>
    <row r="160" spans="1:3" x14ac:dyDescent="0.25">
      <c r="A160" t="s">
        <v>30</v>
      </c>
      <c r="B160">
        <v>15</v>
      </c>
      <c r="C160">
        <v>0.11</v>
      </c>
    </row>
    <row r="161" spans="1:3" x14ac:dyDescent="0.25">
      <c r="A161" t="s">
        <v>30</v>
      </c>
      <c r="B161">
        <v>16</v>
      </c>
      <c r="C161">
        <v>0.11799999999999999</v>
      </c>
    </row>
    <row r="162" spans="1:3" x14ac:dyDescent="0.25">
      <c r="A162" t="s">
        <v>30</v>
      </c>
      <c r="B162">
        <v>17</v>
      </c>
      <c r="C162">
        <v>0.104</v>
      </c>
    </row>
    <row r="163" spans="1:3" x14ac:dyDescent="0.25">
      <c r="A163" t="s">
        <v>30</v>
      </c>
      <c r="B163">
        <v>18</v>
      </c>
      <c r="C163">
        <v>9.2999999999999999E-2</v>
      </c>
    </row>
    <row r="164" spans="1:3" x14ac:dyDescent="0.25">
      <c r="A164" t="s">
        <v>30</v>
      </c>
      <c r="B164">
        <v>19</v>
      </c>
      <c r="C164">
        <v>0.126</v>
      </c>
    </row>
    <row r="165" spans="1:3" x14ac:dyDescent="0.25">
      <c r="A165" t="s">
        <v>30</v>
      </c>
      <c r="B165">
        <v>20</v>
      </c>
      <c r="C165">
        <v>0.09</v>
      </c>
    </row>
    <row r="166" spans="1:3" x14ac:dyDescent="0.25">
      <c r="A166" t="s">
        <v>30</v>
      </c>
      <c r="B166">
        <v>21</v>
      </c>
      <c r="C166">
        <v>5.5E-2</v>
      </c>
    </row>
    <row r="167" spans="1:3" x14ac:dyDescent="0.25">
      <c r="A167" t="s">
        <v>30</v>
      </c>
      <c r="B167">
        <v>22</v>
      </c>
      <c r="C167">
        <v>8.2000000000000003E-2</v>
      </c>
    </row>
    <row r="168" spans="1:3" x14ac:dyDescent="0.25">
      <c r="A168" t="s">
        <v>30</v>
      </c>
      <c r="B168">
        <v>23</v>
      </c>
      <c r="C168">
        <v>0.06</v>
      </c>
    </row>
    <row r="169" spans="1:3" x14ac:dyDescent="0.25">
      <c r="A169" t="s">
        <v>23</v>
      </c>
      <c r="B169">
        <v>0</v>
      </c>
      <c r="C169">
        <v>4.1000000000000002E-2</v>
      </c>
    </row>
    <row r="170" spans="1:3" x14ac:dyDescent="0.25">
      <c r="A170" t="s">
        <v>23</v>
      </c>
      <c r="B170">
        <v>1</v>
      </c>
      <c r="C170">
        <v>1.4E-2</v>
      </c>
    </row>
    <row r="171" spans="1:3" x14ac:dyDescent="0.25">
      <c r="A171" t="s">
        <v>23</v>
      </c>
      <c r="B171">
        <v>2</v>
      </c>
      <c r="C171">
        <v>3.7999999999999999E-2</v>
      </c>
    </row>
    <row r="172" spans="1:3" x14ac:dyDescent="0.25">
      <c r="A172" t="s">
        <v>23</v>
      </c>
      <c r="B172">
        <v>3</v>
      </c>
      <c r="C172">
        <v>1.0999999999999999E-2</v>
      </c>
    </row>
    <row r="173" spans="1:3" x14ac:dyDescent="0.25">
      <c r="A173" t="s">
        <v>23</v>
      </c>
      <c r="B173">
        <v>4</v>
      </c>
      <c r="C173">
        <v>1.4E-2</v>
      </c>
    </row>
    <row r="174" spans="1:3" x14ac:dyDescent="0.25">
      <c r="A174" t="s">
        <v>23</v>
      </c>
      <c r="B174">
        <v>5</v>
      </c>
      <c r="C174">
        <v>1.0999999999999999E-2</v>
      </c>
    </row>
    <row r="175" spans="1:3" x14ac:dyDescent="0.25">
      <c r="A175" t="s">
        <v>23</v>
      </c>
      <c r="B175">
        <v>6</v>
      </c>
      <c r="C175">
        <v>1.0999999999999999E-2</v>
      </c>
    </row>
    <row r="176" spans="1:3" x14ac:dyDescent="0.25">
      <c r="A176" t="s">
        <v>23</v>
      </c>
      <c r="B176">
        <v>7</v>
      </c>
      <c r="C176">
        <v>7.3999999999999996E-2</v>
      </c>
    </row>
    <row r="177" spans="1:3" x14ac:dyDescent="0.25">
      <c r="A177" t="s">
        <v>23</v>
      </c>
      <c r="B177">
        <v>8</v>
      </c>
      <c r="C177">
        <v>6.8000000000000005E-2</v>
      </c>
    </row>
    <row r="178" spans="1:3" x14ac:dyDescent="0.25">
      <c r="A178" t="s">
        <v>23</v>
      </c>
      <c r="B178">
        <v>9</v>
      </c>
      <c r="C178">
        <v>0.153</v>
      </c>
    </row>
    <row r="179" spans="1:3" x14ac:dyDescent="0.25">
      <c r="A179" t="s">
        <v>23</v>
      </c>
      <c r="B179">
        <v>10</v>
      </c>
      <c r="C179">
        <v>0.126</v>
      </c>
    </row>
    <row r="180" spans="1:3" x14ac:dyDescent="0.25">
      <c r="A180" t="s">
        <v>23</v>
      </c>
      <c r="B180">
        <v>11</v>
      </c>
      <c r="C180">
        <v>9.9000000000000005E-2</v>
      </c>
    </row>
    <row r="181" spans="1:3" x14ac:dyDescent="0.25">
      <c r="A181" t="s">
        <v>23</v>
      </c>
      <c r="B181">
        <v>12</v>
      </c>
      <c r="C181">
        <v>5.8000000000000003E-2</v>
      </c>
    </row>
    <row r="182" spans="1:3" x14ac:dyDescent="0.25">
      <c r="A182" t="s">
        <v>23</v>
      </c>
      <c r="B182">
        <v>13</v>
      </c>
      <c r="C182">
        <v>8.2000000000000003E-2</v>
      </c>
    </row>
    <row r="183" spans="1:3" x14ac:dyDescent="0.25">
      <c r="A183" t="s">
        <v>23</v>
      </c>
      <c r="B183">
        <v>14</v>
      </c>
      <c r="C183">
        <v>7.3999999999999996E-2</v>
      </c>
    </row>
    <row r="184" spans="1:3" x14ac:dyDescent="0.25">
      <c r="A184" t="s">
        <v>23</v>
      </c>
      <c r="B184">
        <v>15</v>
      </c>
      <c r="C184">
        <v>8.7999999999999995E-2</v>
      </c>
    </row>
    <row r="185" spans="1:3" x14ac:dyDescent="0.25">
      <c r="A185" t="s">
        <v>23</v>
      </c>
      <c r="B185">
        <v>16</v>
      </c>
      <c r="C185">
        <v>0.14499999999999999</v>
      </c>
    </row>
    <row r="186" spans="1:3" x14ac:dyDescent="0.25">
      <c r="A186" t="s">
        <v>23</v>
      </c>
      <c r="B186">
        <v>17</v>
      </c>
      <c r="C186">
        <v>0.17299999999999999</v>
      </c>
    </row>
    <row r="187" spans="1:3" x14ac:dyDescent="0.25">
      <c r="A187" t="s">
        <v>23</v>
      </c>
      <c r="B187">
        <v>18</v>
      </c>
      <c r="C187">
        <v>0.16200000000000001</v>
      </c>
    </row>
    <row r="188" spans="1:3" x14ac:dyDescent="0.25">
      <c r="A188" t="s">
        <v>23</v>
      </c>
      <c r="B188">
        <v>19</v>
      </c>
      <c r="C188">
        <v>0.2</v>
      </c>
    </row>
    <row r="189" spans="1:3" x14ac:dyDescent="0.25">
      <c r="A189" t="s">
        <v>23</v>
      </c>
      <c r="B189">
        <v>20</v>
      </c>
      <c r="C189">
        <v>0.104</v>
      </c>
    </row>
    <row r="190" spans="1:3" x14ac:dyDescent="0.25">
      <c r="A190" t="s">
        <v>23</v>
      </c>
      <c r="B190">
        <v>21</v>
      </c>
      <c r="C190">
        <v>6.3E-2</v>
      </c>
    </row>
    <row r="191" spans="1:3" x14ac:dyDescent="0.25">
      <c r="A191" t="s">
        <v>23</v>
      </c>
      <c r="B191">
        <v>22</v>
      </c>
      <c r="C191">
        <v>5.5E-2</v>
      </c>
    </row>
    <row r="192" spans="1:3" x14ac:dyDescent="0.25">
      <c r="A192" t="s">
        <v>23</v>
      </c>
      <c r="B192">
        <v>23</v>
      </c>
      <c r="C192">
        <v>3.5999999999999997E-2</v>
      </c>
    </row>
    <row r="193" spans="1:3" x14ac:dyDescent="0.25">
      <c r="A193" t="s">
        <v>34</v>
      </c>
      <c r="B193">
        <v>0</v>
      </c>
      <c r="C193">
        <v>4.1000000000000002E-2</v>
      </c>
    </row>
    <row r="194" spans="1:3" x14ac:dyDescent="0.25">
      <c r="A194" t="s">
        <v>34</v>
      </c>
      <c r="B194">
        <v>1</v>
      </c>
      <c r="C194">
        <v>1.6E-2</v>
      </c>
    </row>
    <row r="195" spans="1:3" x14ac:dyDescent="0.25">
      <c r="A195" t="s">
        <v>34</v>
      </c>
      <c r="B195">
        <v>2</v>
      </c>
      <c r="C195">
        <v>1.9E-2</v>
      </c>
    </row>
    <row r="196" spans="1:3" x14ac:dyDescent="0.25">
      <c r="A196" t="s">
        <v>34</v>
      </c>
      <c r="B196">
        <v>4</v>
      </c>
      <c r="C196">
        <v>2.1999999999999999E-2</v>
      </c>
    </row>
    <row r="197" spans="1:3" x14ac:dyDescent="0.25">
      <c r="A197" t="s">
        <v>34</v>
      </c>
      <c r="B197">
        <v>5</v>
      </c>
      <c r="C197">
        <v>8.0000000000000002E-3</v>
      </c>
    </row>
    <row r="198" spans="1:3" x14ac:dyDescent="0.25">
      <c r="A198" t="s">
        <v>34</v>
      </c>
      <c r="B198">
        <v>6</v>
      </c>
      <c r="C198">
        <v>1.9E-2</v>
      </c>
    </row>
    <row r="199" spans="1:3" x14ac:dyDescent="0.25">
      <c r="A199" t="s">
        <v>34</v>
      </c>
      <c r="B199">
        <v>7</v>
      </c>
      <c r="C199">
        <v>8.2000000000000003E-2</v>
      </c>
    </row>
    <row r="200" spans="1:3" x14ac:dyDescent="0.25">
      <c r="A200" t="s">
        <v>34</v>
      </c>
      <c r="B200">
        <v>8</v>
      </c>
      <c r="C200">
        <v>7.9000000000000001E-2</v>
      </c>
    </row>
    <row r="201" spans="1:3" x14ac:dyDescent="0.25">
      <c r="A201" t="s">
        <v>34</v>
      </c>
      <c r="B201">
        <v>9</v>
      </c>
      <c r="C201">
        <v>5.8000000000000003E-2</v>
      </c>
    </row>
    <row r="202" spans="1:3" x14ac:dyDescent="0.25">
      <c r="A202" t="s">
        <v>34</v>
      </c>
      <c r="B202">
        <v>10</v>
      </c>
      <c r="C202">
        <v>0.14000000000000001</v>
      </c>
    </row>
    <row r="203" spans="1:3" x14ac:dyDescent="0.25">
      <c r="A203" t="s">
        <v>34</v>
      </c>
      <c r="B203">
        <v>11</v>
      </c>
      <c r="C203">
        <v>7.3999999999999996E-2</v>
      </c>
    </row>
    <row r="204" spans="1:3" x14ac:dyDescent="0.25">
      <c r="A204" t="s">
        <v>34</v>
      </c>
      <c r="B204">
        <v>12</v>
      </c>
      <c r="C204">
        <v>6.6000000000000003E-2</v>
      </c>
    </row>
    <row r="205" spans="1:3" x14ac:dyDescent="0.25">
      <c r="A205" t="s">
        <v>34</v>
      </c>
      <c r="B205">
        <v>13</v>
      </c>
      <c r="C205">
        <v>0.17299999999999999</v>
      </c>
    </row>
    <row r="206" spans="1:3" x14ac:dyDescent="0.25">
      <c r="A206" t="s">
        <v>34</v>
      </c>
      <c r="B206">
        <v>14</v>
      </c>
      <c r="C206">
        <v>0.06</v>
      </c>
    </row>
    <row r="207" spans="1:3" x14ac:dyDescent="0.25">
      <c r="A207" t="s">
        <v>34</v>
      </c>
      <c r="B207">
        <v>15</v>
      </c>
      <c r="C207">
        <v>0.13400000000000001</v>
      </c>
    </row>
    <row r="208" spans="1:3" x14ac:dyDescent="0.25">
      <c r="A208" t="s">
        <v>34</v>
      </c>
      <c r="B208">
        <v>16</v>
      </c>
      <c r="C208">
        <v>0.10100000000000001</v>
      </c>
    </row>
    <row r="209" spans="1:3" x14ac:dyDescent="0.25">
      <c r="A209" t="s">
        <v>34</v>
      </c>
      <c r="B209">
        <v>17</v>
      </c>
      <c r="C209">
        <v>0.10100000000000001</v>
      </c>
    </row>
    <row r="210" spans="1:3" x14ac:dyDescent="0.25">
      <c r="A210" t="s">
        <v>34</v>
      </c>
      <c r="B210">
        <v>18</v>
      </c>
      <c r="C210">
        <v>0.121</v>
      </c>
    </row>
    <row r="211" spans="1:3" x14ac:dyDescent="0.25">
      <c r="A211" t="s">
        <v>34</v>
      </c>
      <c r="B211">
        <v>19</v>
      </c>
      <c r="C211">
        <v>7.0999999999999994E-2</v>
      </c>
    </row>
    <row r="212" spans="1:3" x14ac:dyDescent="0.25">
      <c r="A212" t="s">
        <v>34</v>
      </c>
      <c r="B212">
        <v>20</v>
      </c>
      <c r="C212">
        <v>7.6999999999999999E-2</v>
      </c>
    </row>
    <row r="213" spans="1:3" x14ac:dyDescent="0.25">
      <c r="A213" t="s">
        <v>34</v>
      </c>
      <c r="B213">
        <v>21</v>
      </c>
      <c r="C213">
        <v>5.5E-2</v>
      </c>
    </row>
    <row r="214" spans="1:3" x14ac:dyDescent="0.25">
      <c r="A214" t="s">
        <v>34</v>
      </c>
      <c r="B214">
        <v>22</v>
      </c>
      <c r="C214">
        <v>2.1999999999999999E-2</v>
      </c>
    </row>
    <row r="215" spans="1:3" x14ac:dyDescent="0.25">
      <c r="A215" t="s">
        <v>34</v>
      </c>
      <c r="B215">
        <v>23</v>
      </c>
      <c r="C215">
        <v>6.3E-2</v>
      </c>
    </row>
    <row r="216" spans="1:3" x14ac:dyDescent="0.25">
      <c r="A216" t="s">
        <v>38</v>
      </c>
      <c r="B216">
        <v>1</v>
      </c>
      <c r="C216">
        <v>8.0000000000000002E-3</v>
      </c>
    </row>
    <row r="217" spans="1:3" x14ac:dyDescent="0.25">
      <c r="A217" t="s">
        <v>38</v>
      </c>
      <c r="B217">
        <v>2</v>
      </c>
      <c r="C217">
        <v>5.0000000000000001E-3</v>
      </c>
    </row>
    <row r="218" spans="1:3" x14ac:dyDescent="0.25">
      <c r="A218" t="s">
        <v>38</v>
      </c>
      <c r="B218">
        <v>3</v>
      </c>
      <c r="C218">
        <v>3.0000000000000001E-3</v>
      </c>
    </row>
    <row r="219" spans="1:3" x14ac:dyDescent="0.25">
      <c r="A219" t="s">
        <v>38</v>
      </c>
      <c r="B219">
        <v>4</v>
      </c>
      <c r="C219">
        <v>5.0000000000000001E-3</v>
      </c>
    </row>
    <row r="220" spans="1:3" x14ac:dyDescent="0.25">
      <c r="A220" t="s">
        <v>38</v>
      </c>
      <c r="B220">
        <v>7</v>
      </c>
      <c r="C220">
        <v>5.0000000000000001E-3</v>
      </c>
    </row>
    <row r="221" spans="1:3" x14ac:dyDescent="0.25">
      <c r="A221" t="s">
        <v>38</v>
      </c>
      <c r="B221">
        <v>8</v>
      </c>
      <c r="C221">
        <v>1.0999999999999999E-2</v>
      </c>
    </row>
    <row r="222" spans="1:3" x14ac:dyDescent="0.25">
      <c r="A222" t="s">
        <v>38</v>
      </c>
      <c r="B222">
        <v>9</v>
      </c>
      <c r="C222">
        <v>2.7E-2</v>
      </c>
    </row>
    <row r="223" spans="1:3" x14ac:dyDescent="0.25">
      <c r="A223" t="s">
        <v>38</v>
      </c>
      <c r="B223">
        <v>10</v>
      </c>
      <c r="C223">
        <v>3.5999999999999997E-2</v>
      </c>
    </row>
    <row r="224" spans="1:3" x14ac:dyDescent="0.25">
      <c r="A224" t="s">
        <v>38</v>
      </c>
      <c r="B224">
        <v>11</v>
      </c>
      <c r="C224">
        <v>5.0000000000000001E-3</v>
      </c>
    </row>
    <row r="225" spans="1:3" x14ac:dyDescent="0.25">
      <c r="A225" t="s">
        <v>38</v>
      </c>
      <c r="B225">
        <v>12</v>
      </c>
      <c r="C225">
        <v>1.4E-2</v>
      </c>
    </row>
    <row r="226" spans="1:3" x14ac:dyDescent="0.25">
      <c r="A226" t="s">
        <v>38</v>
      </c>
      <c r="B226">
        <v>13</v>
      </c>
      <c r="C226">
        <v>3.5999999999999997E-2</v>
      </c>
    </row>
    <row r="227" spans="1:3" x14ac:dyDescent="0.25">
      <c r="A227" t="s">
        <v>38</v>
      </c>
      <c r="B227">
        <v>14</v>
      </c>
      <c r="C227">
        <v>1.4E-2</v>
      </c>
    </row>
    <row r="228" spans="1:3" x14ac:dyDescent="0.25">
      <c r="A228" t="s">
        <v>38</v>
      </c>
      <c r="B228">
        <v>15</v>
      </c>
      <c r="C228">
        <v>3.7999999999999999E-2</v>
      </c>
    </row>
    <row r="229" spans="1:3" x14ac:dyDescent="0.25">
      <c r="A229" t="s">
        <v>38</v>
      </c>
      <c r="B229">
        <v>16</v>
      </c>
      <c r="C229">
        <v>1.6E-2</v>
      </c>
    </row>
    <row r="230" spans="1:3" x14ac:dyDescent="0.25">
      <c r="A230" t="s">
        <v>38</v>
      </c>
      <c r="B230">
        <v>17</v>
      </c>
      <c r="C230">
        <v>1.9E-2</v>
      </c>
    </row>
    <row r="231" spans="1:3" x14ac:dyDescent="0.25">
      <c r="A231" t="s">
        <v>38</v>
      </c>
      <c r="B231">
        <v>18</v>
      </c>
      <c r="C231">
        <v>3.3000000000000002E-2</v>
      </c>
    </row>
    <row r="232" spans="1:3" x14ac:dyDescent="0.25">
      <c r="A232" t="s">
        <v>38</v>
      </c>
      <c r="B232">
        <v>19</v>
      </c>
      <c r="C232">
        <v>8.0000000000000002E-3</v>
      </c>
    </row>
    <row r="233" spans="1:3" x14ac:dyDescent="0.25">
      <c r="A233" t="s">
        <v>38</v>
      </c>
      <c r="B233">
        <v>20</v>
      </c>
      <c r="C233">
        <v>8.0000000000000002E-3</v>
      </c>
    </row>
    <row r="234" spans="1:3" x14ac:dyDescent="0.25">
      <c r="A234" t="s">
        <v>38</v>
      </c>
      <c r="B234">
        <v>21</v>
      </c>
      <c r="C234">
        <v>1.0999999999999999E-2</v>
      </c>
    </row>
    <row r="235" spans="1:3" x14ac:dyDescent="0.25">
      <c r="A235" t="s">
        <v>38</v>
      </c>
      <c r="B235">
        <v>23</v>
      </c>
      <c r="C235">
        <v>1.4E-2</v>
      </c>
    </row>
    <row r="236" spans="1:3" x14ac:dyDescent="0.25">
      <c r="A236" t="s">
        <v>44</v>
      </c>
      <c r="B236">
        <v>2</v>
      </c>
      <c r="C236">
        <v>3.0000000000000001E-3</v>
      </c>
    </row>
    <row r="237" spans="1:3" x14ac:dyDescent="0.25">
      <c r="A237" t="s">
        <v>44</v>
      </c>
      <c r="B237">
        <v>3</v>
      </c>
      <c r="C237">
        <v>3.0000000000000001E-3</v>
      </c>
    </row>
    <row r="238" spans="1:3" x14ac:dyDescent="0.25">
      <c r="A238" t="s">
        <v>44</v>
      </c>
      <c r="B238">
        <v>8</v>
      </c>
      <c r="C238">
        <v>1.0999999999999999E-2</v>
      </c>
    </row>
    <row r="239" spans="1:3" x14ac:dyDescent="0.25">
      <c r="A239" t="s">
        <v>44</v>
      </c>
      <c r="B239">
        <v>9</v>
      </c>
      <c r="C239">
        <v>8.0000000000000002E-3</v>
      </c>
    </row>
    <row r="240" spans="1:3" x14ac:dyDescent="0.25">
      <c r="A240" t="s">
        <v>44</v>
      </c>
      <c r="B240">
        <v>10</v>
      </c>
      <c r="C240">
        <v>3.3000000000000002E-2</v>
      </c>
    </row>
    <row r="241" spans="1:3" x14ac:dyDescent="0.25">
      <c r="A241" t="s">
        <v>44</v>
      </c>
      <c r="B241">
        <v>11</v>
      </c>
      <c r="C241">
        <v>1.0999999999999999E-2</v>
      </c>
    </row>
    <row r="242" spans="1:3" x14ac:dyDescent="0.25">
      <c r="A242" t="s">
        <v>44</v>
      </c>
      <c r="B242">
        <v>13</v>
      </c>
      <c r="C242">
        <v>1.4E-2</v>
      </c>
    </row>
    <row r="243" spans="1:3" x14ac:dyDescent="0.25">
      <c r="A243" t="s">
        <v>44</v>
      </c>
      <c r="B243">
        <v>14</v>
      </c>
      <c r="C243">
        <v>8.0000000000000002E-3</v>
      </c>
    </row>
    <row r="244" spans="1:3" x14ac:dyDescent="0.25">
      <c r="A244" t="s">
        <v>44</v>
      </c>
      <c r="B244">
        <v>15</v>
      </c>
      <c r="C244">
        <v>1.0999999999999999E-2</v>
      </c>
    </row>
    <row r="245" spans="1:3" x14ac:dyDescent="0.25">
      <c r="A245" t="s">
        <v>44</v>
      </c>
      <c r="B245">
        <v>16</v>
      </c>
      <c r="C245">
        <v>8.0000000000000002E-3</v>
      </c>
    </row>
    <row r="246" spans="1:3" x14ac:dyDescent="0.25">
      <c r="A246" t="s">
        <v>44</v>
      </c>
      <c r="B246">
        <v>17</v>
      </c>
      <c r="C246">
        <v>1.4E-2</v>
      </c>
    </row>
    <row r="247" spans="1:3" x14ac:dyDescent="0.25">
      <c r="A247" t="s">
        <v>44</v>
      </c>
      <c r="B247">
        <v>18</v>
      </c>
      <c r="C247">
        <v>2.1999999999999999E-2</v>
      </c>
    </row>
    <row r="248" spans="1:3" x14ac:dyDescent="0.25">
      <c r="A248" t="s">
        <v>44</v>
      </c>
      <c r="B248">
        <v>19</v>
      </c>
      <c r="C248">
        <v>3.0000000000000001E-3</v>
      </c>
    </row>
    <row r="249" spans="1:3" x14ac:dyDescent="0.25">
      <c r="A249" t="s">
        <v>44</v>
      </c>
      <c r="B249">
        <v>20</v>
      </c>
      <c r="C249">
        <v>3.0000000000000001E-3</v>
      </c>
    </row>
    <row r="250" spans="1:3" x14ac:dyDescent="0.25">
      <c r="A250" t="s">
        <v>44</v>
      </c>
      <c r="B250">
        <v>21</v>
      </c>
      <c r="C250">
        <v>3.0000000000000001E-3</v>
      </c>
    </row>
    <row r="251" spans="1:3" x14ac:dyDescent="0.25">
      <c r="A251" t="s">
        <v>44</v>
      </c>
      <c r="B251">
        <v>22</v>
      </c>
      <c r="C251">
        <v>3.0000000000000001E-3</v>
      </c>
    </row>
    <row r="252" spans="1:3" x14ac:dyDescent="0.25">
      <c r="A252" t="s">
        <v>44</v>
      </c>
      <c r="B252">
        <v>23</v>
      </c>
      <c r="C252">
        <v>3.0000000000000001E-3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440C70FBDD0F8428D25035883E6B994" ma:contentTypeVersion="9" ma:contentTypeDescription="Criar um novo documento." ma:contentTypeScope="" ma:versionID="4c89f517ef158aaacd394484ee720b79">
  <xsd:schema xmlns:xsd="http://www.w3.org/2001/XMLSchema" xmlns:xs="http://www.w3.org/2001/XMLSchema" xmlns:p="http://schemas.microsoft.com/office/2006/metadata/properties" xmlns:ns2="ec3e4db5-91e3-4c2c-8813-6c7785edc113" xmlns:ns3="7bbf6975-ce3e-42e3-a8ba-53475221f6c9" targetNamespace="http://schemas.microsoft.com/office/2006/metadata/properties" ma:root="true" ma:fieldsID="57b21f1eee92963de3815c19bcdc78aa" ns2:_="" ns3:_="">
    <xsd:import namespace="ec3e4db5-91e3-4c2c-8813-6c7785edc113"/>
    <xsd:import namespace="7bbf6975-ce3e-42e3-a8ba-53475221f6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3e4db5-91e3-4c2c-8813-6c7785edc1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bf6975-ce3e-42e3-a8ba-53475221f6c9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Props1.xml><?xml version="1.0" encoding="utf-8"?>
<ds:datastoreItem xmlns:ds="http://schemas.openxmlformats.org/officeDocument/2006/customXml" ds:itemID="{93F24CAA-84A3-4A31-AD51-CFEC289833A4}">
  <ds:schemaRefs>
    <ds:schemaRef ds:uri="http://schemas.microsoft.com/office/2006/metadata/properties"/>
    <ds:schemaRef ds:uri="http://schemas.microsoft.com/office/2006/documentManagement/types"/>
    <ds:schemaRef ds:uri="http://purl.org/dc/dcmitype/"/>
    <ds:schemaRef ds:uri="ec3e4db5-91e3-4c2c-8813-6c7785edc113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  <ds:schemaRef ds:uri="7bbf6975-ce3e-42e3-a8ba-53475221f6c9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65D5C9D-32AD-40FA-BD75-A0130DBACF79}">
  <ds:schemaRefs/>
</ds:datastoreItem>
</file>

<file path=customXml/itemProps3.xml><?xml version="1.0" encoding="utf-8"?>
<ds:datastoreItem xmlns:ds="http://schemas.openxmlformats.org/officeDocument/2006/customXml" ds:itemID="{C6E004F6-839A-450C-B6E8-596A74D0CABC}">
  <ds:schemaRefs/>
</ds:datastoreItem>
</file>

<file path=customXml/itemProps4.xml><?xml version="1.0" encoding="utf-8"?>
<ds:datastoreItem xmlns:ds="http://schemas.openxmlformats.org/officeDocument/2006/customXml" ds:itemID="{156276AF-B572-4133-9535-AD9B04F2545E}">
  <ds:schemaRefs/>
</ds:datastoreItem>
</file>

<file path=customXml/itemProps5.xml><?xml version="1.0" encoding="utf-8"?>
<ds:datastoreItem xmlns:ds="http://schemas.openxmlformats.org/officeDocument/2006/customXml" ds:itemID="{5AED92BA-84E2-4C2D-A4C6-0C0A9305A480}">
  <ds:schemaRefs/>
</ds:datastoreItem>
</file>

<file path=customXml/itemProps6.xml><?xml version="1.0" encoding="utf-8"?>
<ds:datastoreItem xmlns:ds="http://schemas.openxmlformats.org/officeDocument/2006/customXml" ds:itemID="{EB6CBF72-BD61-4569-868B-15DF29C581F2}">
  <ds:schemaRefs/>
</ds:datastoreItem>
</file>

<file path=customXml/itemProps7.xml><?xml version="1.0" encoding="utf-8"?>
<ds:datastoreItem xmlns:ds="http://schemas.openxmlformats.org/officeDocument/2006/customXml" ds:itemID="{01096B2B-8563-4BD6-895F-11831C39235B}">
  <ds:schemaRefs/>
</ds:datastoreItem>
</file>

<file path=customXml/itemProps8.xml><?xml version="1.0" encoding="utf-8"?>
<ds:datastoreItem xmlns:ds="http://schemas.openxmlformats.org/officeDocument/2006/customXml" ds:itemID="{1E79CE8D-659F-4FF0-9FE4-0E96B849D993}">
  <ds:schemaRefs/>
</ds:datastoreItem>
</file>

<file path=customXml/itemProps9.xml><?xml version="1.0" encoding="utf-8"?>
<ds:datastoreItem xmlns:ds="http://schemas.openxmlformats.org/officeDocument/2006/customXml" ds:itemID="{F5697B0A-5C14-4103-A848-6A78E24A94DF}">
  <ds:schemaRefs/>
</ds:datastoreItem>
</file>

<file path=customXml/itemProps10.xml><?xml version="1.0" encoding="utf-8"?>
<ds:datastoreItem xmlns:ds="http://schemas.openxmlformats.org/officeDocument/2006/customXml" ds:itemID="{690F7AFC-D4BB-4CE1-A714-AC239176D463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8E06EA72-F892-4841-AF22-14BCB1EB7C96}">
  <ds:schemaRefs/>
</ds:datastoreItem>
</file>

<file path=customXml/itemProps12.xml><?xml version="1.0" encoding="utf-8"?>
<ds:datastoreItem xmlns:ds="http://schemas.openxmlformats.org/officeDocument/2006/customXml" ds:itemID="{0883CDC1-BD62-4854-BF5B-889C9C9E185C}">
  <ds:schemaRefs/>
</ds:datastoreItem>
</file>

<file path=customXml/itemProps13.xml><?xml version="1.0" encoding="utf-8"?>
<ds:datastoreItem xmlns:ds="http://schemas.openxmlformats.org/officeDocument/2006/customXml" ds:itemID="{29243424-BE6C-41B4-9C60-69FC4B0F9164}">
  <ds:schemaRefs/>
</ds:datastoreItem>
</file>

<file path=customXml/itemProps14.xml><?xml version="1.0" encoding="utf-8"?>
<ds:datastoreItem xmlns:ds="http://schemas.openxmlformats.org/officeDocument/2006/customXml" ds:itemID="{9B6D8C36-C87B-4666-82C4-994789461BBD}">
  <ds:schemaRefs/>
</ds:datastoreItem>
</file>

<file path=customXml/itemProps15.xml><?xml version="1.0" encoding="utf-8"?>
<ds:datastoreItem xmlns:ds="http://schemas.openxmlformats.org/officeDocument/2006/customXml" ds:itemID="{64093A4A-3813-487F-B02F-F73B85BE8128}">
  <ds:schemaRefs/>
</ds:datastoreItem>
</file>

<file path=customXml/itemProps16.xml><?xml version="1.0" encoding="utf-8"?>
<ds:datastoreItem xmlns:ds="http://schemas.openxmlformats.org/officeDocument/2006/customXml" ds:itemID="{0CC26A0D-B855-402B-8332-B59C1BF97C99}">
  <ds:schemaRefs/>
</ds:datastoreItem>
</file>

<file path=customXml/itemProps17.xml><?xml version="1.0" encoding="utf-8"?>
<ds:datastoreItem xmlns:ds="http://schemas.openxmlformats.org/officeDocument/2006/customXml" ds:itemID="{42931A15-6829-49E0-A87A-FFF151FFAD39}">
  <ds:schemaRefs/>
</ds:datastoreItem>
</file>

<file path=customXml/itemProps18.xml><?xml version="1.0" encoding="utf-8"?>
<ds:datastoreItem xmlns:ds="http://schemas.openxmlformats.org/officeDocument/2006/customXml" ds:itemID="{0CA56C7F-B3D7-4A48-BFAF-490C1D379181}">
  <ds:schemaRefs/>
</ds:datastoreItem>
</file>

<file path=customXml/itemProps19.xml><?xml version="1.0" encoding="utf-8"?>
<ds:datastoreItem xmlns:ds="http://schemas.openxmlformats.org/officeDocument/2006/customXml" ds:itemID="{B49A8A16-5387-446B-AF7C-638FB78FD4C9}">
  <ds:schemaRefs/>
</ds:datastoreItem>
</file>

<file path=customXml/itemProps20.xml><?xml version="1.0" encoding="utf-8"?>
<ds:datastoreItem xmlns:ds="http://schemas.openxmlformats.org/officeDocument/2006/customXml" ds:itemID="{C1053642-2E16-48F4-88B1-055613B9B630}">
  <ds:schemaRefs/>
</ds:datastoreItem>
</file>

<file path=customXml/itemProps21.xml><?xml version="1.0" encoding="utf-8"?>
<ds:datastoreItem xmlns:ds="http://schemas.openxmlformats.org/officeDocument/2006/customXml" ds:itemID="{D9CACBA2-DD22-4D4F-BC8D-E50323A39C2B}">
  <ds:schemaRefs/>
</ds:datastoreItem>
</file>

<file path=customXml/itemProps22.xml><?xml version="1.0" encoding="utf-8"?>
<ds:datastoreItem xmlns:ds="http://schemas.openxmlformats.org/officeDocument/2006/customXml" ds:itemID="{229B0517-373F-4DBF-AC01-1D8B590728B0}">
  <ds:schemaRefs/>
</ds:datastoreItem>
</file>

<file path=customXml/itemProps23.xml><?xml version="1.0" encoding="utf-8"?>
<ds:datastoreItem xmlns:ds="http://schemas.openxmlformats.org/officeDocument/2006/customXml" ds:itemID="{2E7BAF27-9FDC-43AA-B9C1-9D2DC1EB4339}">
  <ds:schemaRefs/>
</ds:datastoreItem>
</file>

<file path=customXml/itemProps24.xml><?xml version="1.0" encoding="utf-8"?>
<ds:datastoreItem xmlns:ds="http://schemas.openxmlformats.org/officeDocument/2006/customXml" ds:itemID="{D3ABBD61-406A-42B3-AF48-5E2A6E68E4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3e4db5-91e3-4c2c-8813-6c7785edc113"/>
    <ds:schemaRef ds:uri="7bbf6975-ce3e-42e3-a8ba-53475221f6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5.xml><?xml version="1.0" encoding="utf-8"?>
<ds:datastoreItem xmlns:ds="http://schemas.openxmlformats.org/officeDocument/2006/customXml" ds:itemID="{24584D56-22D4-4F7A-81E4-F1877EAA8994}">
  <ds:schemaRefs/>
</ds:datastoreItem>
</file>

<file path=customXml/itemProps26.xml><?xml version="1.0" encoding="utf-8"?>
<ds:datastoreItem xmlns:ds="http://schemas.openxmlformats.org/officeDocument/2006/customXml" ds:itemID="{439B2AF5-079F-4888-8FA9-5B393C85C135}">
  <ds:schemaRefs/>
</ds:datastoreItem>
</file>

<file path=customXml/itemProps27.xml><?xml version="1.0" encoding="utf-8"?>
<ds:datastoreItem xmlns:ds="http://schemas.openxmlformats.org/officeDocument/2006/customXml" ds:itemID="{D312EB6F-C8A3-4890-A9C0-D6C3C47E95DF}">
  <ds:schemaRefs/>
</ds:datastoreItem>
</file>

<file path=customXml/itemProps28.xml><?xml version="1.0" encoding="utf-8"?>
<ds:datastoreItem xmlns:ds="http://schemas.openxmlformats.org/officeDocument/2006/customXml" ds:itemID="{E81B9107-CACB-4C71-B198-5F8CBEEC5322}">
  <ds:schemaRefs/>
</ds:datastoreItem>
</file>

<file path=customXml/itemProps29.xml><?xml version="1.0" encoding="utf-8"?>
<ds:datastoreItem xmlns:ds="http://schemas.openxmlformats.org/officeDocument/2006/customXml" ds:itemID="{FACE0C2E-3A46-4305-BCDE-8AF17AF3BC99}">
  <ds:schemaRefs/>
</ds:datastoreItem>
</file>

<file path=customXml/itemProps30.xml><?xml version="1.0" encoding="utf-8"?>
<ds:datastoreItem xmlns:ds="http://schemas.openxmlformats.org/officeDocument/2006/customXml" ds:itemID="{12D51AE5-4431-4F22-8E27-20C611816A11}">
  <ds:schemaRefs/>
</ds:datastoreItem>
</file>

<file path=customXml/itemProps31.xml><?xml version="1.0" encoding="utf-8"?>
<ds:datastoreItem xmlns:ds="http://schemas.openxmlformats.org/officeDocument/2006/customXml" ds:itemID="{65CCD068-7EBA-475E-9B2B-C6E1F9652F2C}">
  <ds:schemaRefs/>
</ds:datastoreItem>
</file>

<file path=customXml/itemProps32.xml><?xml version="1.0" encoding="utf-8"?>
<ds:datastoreItem xmlns:ds="http://schemas.openxmlformats.org/officeDocument/2006/customXml" ds:itemID="{489CADC6-B2E6-4902-8BE5-E927F30A080E}">
  <ds:schemaRefs/>
</ds:datastoreItem>
</file>

<file path=customXml/itemProps33.xml><?xml version="1.0" encoding="utf-8"?>
<ds:datastoreItem xmlns:ds="http://schemas.openxmlformats.org/officeDocument/2006/customXml" ds:itemID="{A1D0DCDA-D682-41EC-8A47-46EC36508940}">
  <ds:schemaRefs/>
</ds:datastoreItem>
</file>

<file path=customXml/itemProps34.xml><?xml version="1.0" encoding="utf-8"?>
<ds:datastoreItem xmlns:ds="http://schemas.openxmlformats.org/officeDocument/2006/customXml" ds:itemID="{7F27258D-0453-4EE1-8F68-9DB18061294F}">
  <ds:schemaRefs/>
</ds:datastoreItem>
</file>

<file path=customXml/itemProps35.xml><?xml version="1.0" encoding="utf-8"?>
<ds:datastoreItem xmlns:ds="http://schemas.openxmlformats.org/officeDocument/2006/customXml" ds:itemID="{C8E314E7-1284-4022-8ABA-354777AA38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Menu</vt:lpstr>
      <vt:lpstr>Parametros</vt:lpstr>
      <vt:lpstr>Inputs - 1. Nós</vt:lpstr>
      <vt:lpstr>Inputs - 2. Distâncias</vt:lpstr>
      <vt:lpstr>Inputs - 3. Turno</vt:lpstr>
      <vt:lpstr>Inputs - 4. Paragens Obrig.</vt:lpstr>
      <vt:lpstr>Inputs - 5. Áreas Serviço</vt:lpstr>
      <vt:lpstr>Inputs - 6. Probabilidades</vt:lpstr>
      <vt:lpstr>Dados Solução Carro 1</vt:lpstr>
      <vt:lpstr>Mapa visual_1</vt:lpstr>
      <vt:lpstr>Dados Solução Carro 2</vt:lpstr>
      <vt:lpstr>Mapa visual_2</vt:lpstr>
      <vt:lpstr>01. nos</vt:lpstr>
      <vt:lpstr>02. distancias</vt:lpstr>
      <vt:lpstr>03. turnos</vt:lpstr>
      <vt:lpstr>04. pausas obrigatorias</vt:lpstr>
      <vt:lpstr>05. areas de servico</vt:lpstr>
      <vt:lpstr>probabilidades sem zeros</vt:lpstr>
      <vt:lpstr>probabilidades com zeros</vt:lpstr>
      <vt:lpstr>FilePath</vt:lpstr>
      <vt:lpstr>hora_inicio</vt:lpstr>
      <vt:lpstr>n_voltas_visual_1</vt:lpstr>
      <vt:lpstr>sol1_detalhe</vt:lpstr>
      <vt:lpstr>sol1_filepath</vt:lpstr>
      <vt:lpstr>sol1_tempo_passagem</vt:lpstr>
      <vt:lpstr>sol1_tempo_resposta</vt:lpstr>
      <vt:lpstr>sol2_detalhe</vt:lpstr>
      <vt:lpstr>sol2_filepath</vt:lpstr>
      <vt:lpstr>sol2_tempo_resposta</vt:lpstr>
      <vt:lpstr>velocidade_nos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Abreu</dc:creator>
  <cp:lastModifiedBy>Liliana Ramalho</cp:lastModifiedBy>
  <dcterms:created xsi:type="dcterms:W3CDTF">2021-07-11T08:24:31Z</dcterms:created>
  <dcterms:modified xsi:type="dcterms:W3CDTF">2021-09-13T09:26:05Z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0x010100F440C70FBDD0F8428D25035883E6B994</vt:lpwstr>
  </property>
</Properties>
</file>